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OWER BI DATA\CHENNAI\"/>
    </mc:Choice>
  </mc:AlternateContent>
  <xr:revisionPtr revIDLastSave="0" documentId="13_ncr:1_{3B198BFA-0DAA-488C-AFF2-AD8BA6D2C341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Field Details" sheetId="4" r:id="rId1"/>
    <sheet name="RECEVING FEED BACK DETAILS " sheetId="1" r:id="rId2"/>
    <sheet name="PACKING QTY" sheetId="6" r:id="rId3"/>
    <sheet name="CONSUMPTION" sheetId="7" r:id="rId4"/>
    <sheet name="PROCESS LOSS" sheetId="5" r:id="rId5"/>
    <sheet name="Container Details" sheetId="8" r:id="rId6"/>
    <sheet name="WASTE LOSS" sheetId="12" r:id="rId7"/>
  </sheets>
  <definedNames>
    <definedName name="_xlnm._FilterDatabase" localSheetId="0" hidden="1">'Field Details'!$A$1:$T$386</definedName>
    <definedName name="_xlnm._FilterDatabase" localSheetId="4" hidden="1">'PROCESS LOSS'!$A$1:$X$701</definedName>
    <definedName name="_xlnm._FilterDatabase" localSheetId="1" hidden="1">'RECEVING FEED BACK DETAILS '!$A$1:$V$1502</definedName>
    <definedName name="_xlnm._FilterDatabase" localSheetId="6" hidden="1">'WASTE LOSS'!$N$1:$N$2202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2" i="5"/>
  <c r="G1015" i="12"/>
  <c r="G1009" i="12"/>
  <c r="G1007" i="12"/>
  <c r="G991" i="12"/>
  <c r="G2201" i="12"/>
  <c r="G2200" i="12"/>
  <c r="G2131" i="12"/>
  <c r="G2126" i="12"/>
  <c r="G2119" i="12"/>
  <c r="G2113" i="12"/>
  <c r="G2107" i="12"/>
  <c r="G2102" i="12"/>
  <c r="G2098" i="12"/>
  <c r="G2093" i="12"/>
  <c r="G2090" i="12"/>
  <c r="G2086" i="12"/>
  <c r="G2085" i="12"/>
  <c r="G2079" i="12"/>
  <c r="G2075" i="12"/>
  <c r="G2074" i="12"/>
  <c r="G2070" i="12"/>
  <c r="G2069" i="12"/>
  <c r="G2068" i="12"/>
  <c r="G2063" i="12"/>
  <c r="G2062" i="12"/>
  <c r="G2057" i="12"/>
  <c r="G2041" i="12"/>
  <c r="G2029" i="12"/>
  <c r="G2027" i="12"/>
  <c r="G2023" i="12"/>
  <c r="G2018" i="12"/>
  <c r="G2016" i="12"/>
  <c r="G2013" i="12"/>
  <c r="G2009" i="12"/>
  <c r="G2007" i="12"/>
  <c r="G2005" i="12"/>
  <c r="G2003" i="12"/>
  <c r="G2002" i="12"/>
  <c r="G1998" i="12"/>
  <c r="G1997" i="12"/>
  <c r="G1992" i="12"/>
  <c r="G1983" i="12"/>
  <c r="G1982" i="12"/>
  <c r="G1978" i="12"/>
  <c r="G1975" i="12"/>
  <c r="G1972" i="12"/>
  <c r="G1958" i="12"/>
  <c r="G1950" i="12"/>
  <c r="G1948" i="12"/>
  <c r="G1944" i="12"/>
  <c r="G1940" i="12"/>
  <c r="G1939" i="12"/>
  <c r="G1938" i="12"/>
  <c r="G1935" i="12"/>
  <c r="G1932" i="12"/>
  <c r="G1928" i="12"/>
  <c r="G1898" i="12"/>
  <c r="G1897" i="12"/>
  <c r="G1894" i="12"/>
  <c r="G1890" i="12"/>
  <c r="G1889" i="12"/>
  <c r="G1879" i="12"/>
  <c r="G1877" i="12"/>
  <c r="G1876" i="12"/>
  <c r="G1872" i="12"/>
  <c r="G1871" i="12"/>
  <c r="G1870" i="12"/>
  <c r="G1864" i="12"/>
  <c r="G1863" i="12"/>
  <c r="G1861" i="12"/>
  <c r="G1858" i="12"/>
  <c r="G1857" i="12"/>
  <c r="G1852" i="12"/>
  <c r="G1849" i="12"/>
  <c r="G1847" i="12"/>
  <c r="G1842" i="12"/>
  <c r="G1840" i="12"/>
  <c r="G1838" i="12"/>
  <c r="G1837" i="12"/>
  <c r="G1835" i="12"/>
  <c r="G1827" i="12"/>
  <c r="G1819" i="12"/>
  <c r="G1813" i="12"/>
  <c r="G1810" i="12"/>
  <c r="G1808" i="12"/>
  <c r="G1806" i="12"/>
  <c r="G1805" i="12"/>
  <c r="G1800" i="12"/>
  <c r="G1798" i="12"/>
  <c r="G1796" i="12"/>
  <c r="G1794" i="12"/>
  <c r="G1793" i="12"/>
  <c r="G1792" i="12"/>
  <c r="G1785" i="12"/>
  <c r="G1775" i="12"/>
  <c r="G1772" i="12"/>
  <c r="G1764" i="12"/>
  <c r="G1755" i="12"/>
  <c r="G1750" i="12"/>
  <c r="G1749" i="12"/>
  <c r="G1743" i="12"/>
  <c r="G1741" i="12"/>
  <c r="G1740" i="12"/>
  <c r="G1735" i="12"/>
  <c r="G1733" i="12"/>
  <c r="G1731" i="12"/>
  <c r="G1728" i="12"/>
  <c r="G1724" i="12"/>
  <c r="G1723" i="12"/>
  <c r="G1720" i="12"/>
  <c r="G1719" i="12"/>
  <c r="G1717" i="12"/>
  <c r="G1714" i="12"/>
  <c r="G1713" i="12"/>
  <c r="G1711" i="12"/>
  <c r="G1704" i="12"/>
  <c r="G1699" i="12"/>
  <c r="G1679" i="12"/>
  <c r="G1674" i="12"/>
  <c r="G1668" i="12"/>
  <c r="G1666" i="12"/>
  <c r="G1661" i="12"/>
  <c r="G1656" i="12"/>
  <c r="G1653" i="12"/>
  <c r="G1649" i="12"/>
  <c r="G1648" i="12"/>
  <c r="G1643" i="12"/>
  <c r="G1642" i="12"/>
  <c r="G1638" i="12"/>
  <c r="G1637" i="12"/>
  <c r="G1636" i="12"/>
  <c r="G1630" i="12"/>
  <c r="G1629" i="12"/>
  <c r="G1625" i="12"/>
  <c r="G1624" i="12"/>
  <c r="G1617" i="12"/>
  <c r="G1615" i="12"/>
  <c r="G1614" i="12"/>
  <c r="G1611" i="12"/>
  <c r="G1603" i="12"/>
  <c r="G1602" i="12"/>
  <c r="G1599" i="12"/>
  <c r="G1594" i="12"/>
  <c r="G1571" i="12"/>
  <c r="G1568" i="12"/>
  <c r="G1556" i="12"/>
  <c r="G1549" i="12"/>
  <c r="G1543" i="12"/>
  <c r="G1540" i="12"/>
  <c r="G1528" i="12"/>
  <c r="G1525" i="12"/>
  <c r="G1502" i="12"/>
  <c r="G1499" i="12"/>
  <c r="G1496" i="12"/>
  <c r="G1493" i="12"/>
  <c r="G1490" i="12"/>
  <c r="G1487" i="12"/>
  <c r="G1484" i="12"/>
  <c r="G1481" i="12"/>
  <c r="G1478" i="12"/>
  <c r="G1475" i="12"/>
  <c r="G1472" i="12"/>
  <c r="G1469" i="12"/>
  <c r="G1466" i="12"/>
  <c r="G1463" i="12"/>
  <c r="G1461" i="12"/>
  <c r="G1458" i="12"/>
  <c r="G1455" i="12"/>
  <c r="G1452" i="12"/>
  <c r="G1449" i="12"/>
  <c r="G1446" i="12"/>
  <c r="G1443" i="12"/>
  <c r="G1440" i="12"/>
  <c r="G1437" i="12"/>
  <c r="G1434" i="12"/>
  <c r="G1431" i="12"/>
  <c r="G1429" i="12"/>
  <c r="G1426" i="12"/>
  <c r="G1423" i="12"/>
  <c r="G1420" i="12"/>
  <c r="G1418" i="12"/>
  <c r="G1415" i="12"/>
  <c r="G1412" i="12"/>
  <c r="G1409" i="12"/>
  <c r="G1406" i="12"/>
  <c r="G1402" i="12"/>
  <c r="G1399" i="12"/>
  <c r="G1396" i="12"/>
  <c r="G1393" i="12"/>
  <c r="G1390" i="12"/>
  <c r="G1387" i="12"/>
  <c r="G1384" i="12"/>
  <c r="G1381" i="12"/>
  <c r="G1377" i="12"/>
  <c r="G1374" i="12"/>
  <c r="G1371" i="12"/>
  <c r="G1368" i="12"/>
  <c r="G1365" i="12"/>
  <c r="G1362" i="12"/>
  <c r="G1359" i="12"/>
  <c r="G1356" i="12"/>
  <c r="G1353" i="12"/>
  <c r="G1350" i="12"/>
  <c r="G1347" i="12"/>
  <c r="G1344" i="12"/>
  <c r="G1341" i="12"/>
  <c r="G1338" i="12"/>
  <c r="G1335" i="12"/>
  <c r="G1332" i="12"/>
  <c r="G1329" i="12"/>
  <c r="G1326" i="12"/>
  <c r="G1323" i="12"/>
  <c r="G1320" i="12"/>
  <c r="G1317" i="12"/>
  <c r="G1314" i="12"/>
  <c r="G1311" i="12"/>
  <c r="G1308" i="12"/>
  <c r="G1305" i="12"/>
  <c r="G1303" i="12"/>
  <c r="G1300" i="12"/>
  <c r="G1297" i="12"/>
  <c r="G1295" i="12"/>
  <c r="G1292" i="12"/>
  <c r="G1289" i="12"/>
  <c r="G1286" i="12"/>
  <c r="G1283" i="12"/>
  <c r="G1280" i="12"/>
  <c r="G1277" i="12"/>
  <c r="G1274" i="12"/>
  <c r="G1271" i="12"/>
  <c r="G1268" i="12"/>
  <c r="G1265" i="12"/>
  <c r="G1262" i="12"/>
  <c r="G1259" i="12"/>
  <c r="G1256" i="12"/>
  <c r="G1253" i="12"/>
  <c r="G1250" i="12"/>
  <c r="G1247" i="12"/>
  <c r="G1244" i="12"/>
  <c r="G1241" i="12"/>
  <c r="G1238" i="12"/>
  <c r="G1234" i="12"/>
  <c r="G1231" i="12"/>
  <c r="G1227" i="12"/>
  <c r="G1222" i="12"/>
  <c r="G1218" i="12"/>
  <c r="G1215" i="12"/>
  <c r="G1212" i="12"/>
  <c r="G1207" i="12"/>
  <c r="G1202" i="12"/>
  <c r="G1198" i="12"/>
  <c r="G1194" i="12"/>
  <c r="G1189" i="12"/>
  <c r="G1186" i="12"/>
  <c r="G1183" i="12"/>
  <c r="G1179" i="12"/>
  <c r="G1176" i="12"/>
  <c r="G1173" i="12"/>
  <c r="G1170" i="12"/>
  <c r="G1167" i="12"/>
  <c r="G1164" i="12"/>
  <c r="G1161" i="12"/>
  <c r="G1158" i="12"/>
  <c r="G1153" i="12"/>
  <c r="G1148" i="12"/>
  <c r="G1145" i="12"/>
  <c r="G1142" i="12"/>
  <c r="G1139" i="12"/>
  <c r="G1136" i="12"/>
  <c r="G1133" i="12"/>
  <c r="G1128" i="12"/>
  <c r="G1124" i="12"/>
  <c r="G1121" i="12"/>
  <c r="G1118" i="12"/>
  <c r="G1115" i="12"/>
  <c r="G1112" i="12"/>
  <c r="G1109" i="12"/>
  <c r="G1106" i="12"/>
  <c r="G1101" i="12"/>
  <c r="G1096" i="12"/>
  <c r="G1093" i="12"/>
  <c r="G1090" i="12"/>
  <c r="G1087" i="12"/>
  <c r="G1084" i="12"/>
  <c r="G1080" i="12"/>
  <c r="G1076" i="12"/>
  <c r="G1073" i="12"/>
  <c r="G1070" i="12"/>
  <c r="G1067" i="12"/>
  <c r="G1064" i="12"/>
  <c r="G1061" i="12"/>
  <c r="G1058" i="12"/>
  <c r="G1055" i="12"/>
  <c r="G1052" i="12"/>
  <c r="G1047" i="12"/>
  <c r="G1042" i="12"/>
  <c r="G1039" i="12"/>
  <c r="G1036" i="12"/>
  <c r="G1033" i="12"/>
  <c r="G1029" i="12"/>
  <c r="G1024" i="12"/>
  <c r="G1021" i="12"/>
  <c r="G1018" i="12"/>
  <c r="G1016" i="12"/>
  <c r="G1012" i="12"/>
  <c r="G1003" i="12"/>
  <c r="G998" i="12"/>
  <c r="G993" i="12"/>
  <c r="G990" i="12"/>
  <c r="G987" i="12"/>
  <c r="G982" i="12"/>
  <c r="G977" i="12"/>
  <c r="G973" i="12"/>
  <c r="G969" i="12"/>
  <c r="G966" i="12"/>
  <c r="G959" i="12"/>
  <c r="G956" i="12"/>
  <c r="G951" i="12"/>
  <c r="G948" i="12"/>
  <c r="G942" i="12"/>
  <c r="G938" i="12"/>
  <c r="G935" i="12"/>
  <c r="G931" i="12"/>
  <c r="G927" i="12"/>
  <c r="G923" i="12"/>
  <c r="G918" i="12"/>
  <c r="G914" i="12"/>
  <c r="G910" i="12"/>
  <c r="G905" i="12"/>
  <c r="G902" i="12"/>
  <c r="G899" i="12"/>
  <c r="G895" i="12"/>
  <c r="G891" i="12"/>
  <c r="G887" i="12"/>
  <c r="G882" i="12"/>
  <c r="G877" i="12"/>
  <c r="G872" i="12"/>
  <c r="G868" i="12"/>
  <c r="G864" i="12"/>
  <c r="G860" i="12"/>
  <c r="G856" i="12"/>
  <c r="G851" i="12"/>
  <c r="G847" i="12"/>
  <c r="G843" i="12"/>
  <c r="G838" i="12"/>
  <c r="G834" i="12"/>
  <c r="G830" i="12"/>
  <c r="G826" i="12"/>
  <c r="G823" i="12"/>
  <c r="G819" i="12"/>
  <c r="G814" i="12"/>
  <c r="G810" i="12"/>
  <c r="G806" i="12"/>
  <c r="G801" i="12"/>
  <c r="G797" i="12"/>
  <c r="G793" i="12"/>
  <c r="G789" i="12"/>
  <c r="G786" i="12"/>
  <c r="G781" i="12"/>
  <c r="G777" i="12"/>
  <c r="G772" i="12"/>
  <c r="G768" i="12"/>
  <c r="G764" i="12"/>
  <c r="G759" i="12"/>
  <c r="G755" i="12"/>
  <c r="G751" i="12"/>
  <c r="G748" i="12"/>
  <c r="G744" i="12"/>
  <c r="G739" i="12"/>
  <c r="G735" i="12"/>
  <c r="G731" i="12"/>
  <c r="G727" i="12"/>
  <c r="G723" i="12"/>
  <c r="G719" i="12"/>
  <c r="G715" i="12"/>
  <c r="G711" i="12"/>
  <c r="G706" i="12"/>
  <c r="G702" i="12"/>
  <c r="G698" i="12"/>
  <c r="G695" i="12"/>
  <c r="G691" i="12"/>
  <c r="G686" i="12"/>
  <c r="G682" i="12"/>
  <c r="G678" i="12"/>
  <c r="G674" i="12"/>
  <c r="G670" i="12"/>
  <c r="G666" i="12"/>
  <c r="G662" i="12"/>
  <c r="G658" i="12"/>
  <c r="G653" i="12"/>
  <c r="G649" i="12"/>
  <c r="G644" i="12"/>
  <c r="G640" i="12"/>
  <c r="G636" i="12"/>
  <c r="G632" i="12"/>
  <c r="G628" i="12"/>
  <c r="G624" i="12"/>
  <c r="G619" i="12"/>
  <c r="G615" i="12"/>
  <c r="G611" i="12"/>
  <c r="G607" i="12"/>
  <c r="G603" i="12"/>
  <c r="G599" i="12"/>
  <c r="G595" i="12"/>
  <c r="G591" i="12"/>
  <c r="G587" i="12"/>
  <c r="G583" i="12"/>
  <c r="G579" i="12"/>
  <c r="G575" i="12"/>
  <c r="G571" i="12"/>
  <c r="G567" i="12"/>
  <c r="G563" i="12"/>
  <c r="G559" i="12"/>
  <c r="G555" i="12"/>
  <c r="G551" i="12"/>
  <c r="G547" i="12"/>
  <c r="G543" i="12"/>
  <c r="G539" i="12"/>
  <c r="G535" i="12"/>
  <c r="G531" i="12"/>
  <c r="G528" i="12"/>
  <c r="G524" i="12"/>
  <c r="G520" i="12"/>
  <c r="G516" i="12"/>
  <c r="G513" i="12"/>
  <c r="G509" i="12"/>
  <c r="G505" i="12"/>
  <c r="G501" i="12"/>
  <c r="G497" i="12"/>
  <c r="G493" i="12"/>
  <c r="G490" i="12"/>
  <c r="G486" i="12"/>
  <c r="G482" i="12"/>
  <c r="G478" i="12"/>
  <c r="G475" i="12"/>
  <c r="G471" i="12"/>
  <c r="G467" i="12"/>
  <c r="G463" i="12"/>
  <c r="G459" i="12"/>
  <c r="G455" i="12"/>
  <c r="G451" i="12"/>
  <c r="G447" i="12"/>
  <c r="G443" i="12"/>
  <c r="G439" i="12"/>
  <c r="G435" i="12"/>
  <c r="G430" i="12"/>
  <c r="G426" i="12"/>
  <c r="G422" i="12"/>
  <c r="G418" i="12"/>
  <c r="G413" i="12"/>
  <c r="G409" i="12"/>
  <c r="G405" i="12"/>
  <c r="G401" i="12"/>
  <c r="G397" i="12"/>
  <c r="G393" i="12"/>
  <c r="G389" i="12"/>
  <c r="G384" i="12"/>
  <c r="G380" i="12"/>
  <c r="G376" i="12"/>
  <c r="G372" i="12"/>
  <c r="G368" i="12"/>
  <c r="G364" i="12"/>
  <c r="G360" i="12"/>
  <c r="G356" i="12"/>
  <c r="G353" i="12"/>
  <c r="G349" i="12"/>
  <c r="G345" i="12"/>
  <c r="G341" i="12"/>
  <c r="G337" i="12"/>
  <c r="G334" i="12"/>
  <c r="G331" i="12"/>
  <c r="G328" i="12"/>
  <c r="G324" i="12"/>
  <c r="G320" i="12"/>
  <c r="G316" i="12"/>
  <c r="G313" i="12"/>
  <c r="G310" i="12"/>
  <c r="G307" i="12"/>
  <c r="G303" i="12"/>
  <c r="G299" i="12"/>
  <c r="G294" i="12"/>
  <c r="G290" i="12"/>
  <c r="G286" i="12"/>
  <c r="G283" i="12"/>
  <c r="G280" i="12"/>
  <c r="G277" i="12"/>
  <c r="G273" i="12"/>
  <c r="G269" i="12"/>
  <c r="G265" i="12"/>
  <c r="G261" i="12"/>
  <c r="G257" i="12"/>
  <c r="G254" i="12"/>
  <c r="G251" i="12"/>
  <c r="G246" i="12"/>
  <c r="G242" i="12"/>
  <c r="G239" i="12"/>
  <c r="G236" i="12"/>
  <c r="G232" i="12"/>
  <c r="G228" i="12"/>
  <c r="G224" i="12"/>
  <c r="G220" i="12"/>
  <c r="G216" i="12"/>
  <c r="G211" i="12"/>
  <c r="G207" i="12"/>
  <c r="G202" i="12"/>
  <c r="G199" i="12"/>
  <c r="G195" i="12"/>
  <c r="G191" i="12"/>
  <c r="G187" i="12"/>
  <c r="G184" i="12"/>
  <c r="G180" i="12"/>
  <c r="G177" i="12"/>
  <c r="G174" i="12"/>
  <c r="G170" i="12"/>
  <c r="G166" i="12"/>
  <c r="G162" i="12"/>
  <c r="G159" i="12"/>
  <c r="G155" i="12"/>
  <c r="G151" i="12"/>
  <c r="G148" i="12"/>
  <c r="G144" i="12"/>
  <c r="G140" i="12"/>
  <c r="G136" i="12"/>
  <c r="G132" i="12"/>
  <c r="G129" i="12"/>
  <c r="G126" i="12"/>
  <c r="G123" i="12"/>
  <c r="G120" i="12"/>
  <c r="G116" i="12"/>
  <c r="G112" i="12"/>
  <c r="G108" i="12"/>
  <c r="G105" i="12"/>
  <c r="G102" i="12"/>
  <c r="G97" i="12"/>
  <c r="G94" i="12"/>
  <c r="G91" i="12"/>
  <c r="G87" i="12"/>
  <c r="G83" i="12"/>
  <c r="G78" i="12"/>
  <c r="G75" i="12"/>
  <c r="G72" i="12"/>
  <c r="G70" i="12"/>
  <c r="G66" i="12"/>
  <c r="G62" i="12"/>
  <c r="G58" i="12"/>
  <c r="G53" i="12"/>
  <c r="G50" i="12"/>
  <c r="G46" i="12"/>
  <c r="G41" i="12"/>
  <c r="G38" i="12"/>
  <c r="G35" i="12"/>
  <c r="G30" i="12"/>
  <c r="G26" i="12"/>
  <c r="G23" i="12"/>
  <c r="G20" i="12"/>
  <c r="G16" i="12"/>
  <c r="G12" i="12"/>
  <c r="G8" i="12"/>
  <c r="G4" i="12"/>
  <c r="G2199" i="12"/>
  <c r="G2188" i="12"/>
  <c r="G2186" i="12"/>
  <c r="G2185" i="12"/>
  <c r="G2172" i="12"/>
  <c r="G2167" i="12"/>
  <c r="G2118" i="12"/>
  <c r="G2110" i="12"/>
  <c r="G2080" i="12"/>
  <c r="G2067" i="12"/>
  <c r="G2066" i="12"/>
  <c r="G2060" i="12"/>
  <c r="G2059" i="12"/>
  <c r="G2056" i="12"/>
  <c r="G2053" i="12"/>
  <c r="G2050" i="12"/>
  <c r="G2048" i="12"/>
  <c r="G2047" i="12"/>
  <c r="G2039" i="12"/>
  <c r="G2034" i="12"/>
  <c r="G2032" i="12"/>
  <c r="G2030" i="12"/>
  <c r="G2026" i="12"/>
  <c r="G2025" i="12"/>
  <c r="G2024" i="12"/>
  <c r="G2022" i="12"/>
  <c r="G2020" i="12"/>
  <c r="G2019" i="12"/>
  <c r="G2017" i="12"/>
  <c r="G2012" i="12"/>
  <c r="G2011" i="12"/>
  <c r="G2008" i="12"/>
  <c r="G2006" i="12"/>
  <c r="G2001" i="12"/>
  <c r="G2000" i="12"/>
  <c r="G1999" i="12"/>
  <c r="G1996" i="12"/>
  <c r="G1994" i="12"/>
  <c r="G1993" i="12"/>
  <c r="G1991" i="12"/>
  <c r="G1989" i="12"/>
  <c r="G1988" i="12"/>
  <c r="G1987" i="12"/>
  <c r="G1985" i="12"/>
  <c r="G1981" i="12"/>
  <c r="G1980" i="12"/>
  <c r="G1977" i="12"/>
  <c r="G1974" i="12"/>
  <c r="G1967" i="12"/>
  <c r="G1966" i="12"/>
  <c r="G1963" i="12"/>
  <c r="G1957" i="12"/>
  <c r="G1956" i="12"/>
  <c r="G1955" i="12"/>
  <c r="G1953" i="12"/>
  <c r="G1949" i="12"/>
  <c r="G1945" i="12"/>
  <c r="G1943" i="12"/>
  <c r="G1937" i="12"/>
  <c r="G1936" i="12"/>
  <c r="G1933" i="12"/>
  <c r="G1931" i="12"/>
  <c r="G1927" i="12"/>
  <c r="G1919" i="12"/>
  <c r="G1916" i="12"/>
  <c r="G1906" i="12"/>
  <c r="G1904" i="12"/>
  <c r="G1902" i="12"/>
  <c r="G1899" i="12"/>
  <c r="G1896" i="12"/>
  <c r="G1895" i="12"/>
  <c r="G1893" i="12"/>
  <c r="G1892" i="12"/>
  <c r="G1887" i="12"/>
  <c r="G1878" i="12"/>
  <c r="G1874" i="12"/>
  <c r="G1869" i="12"/>
  <c r="G1866" i="12"/>
  <c r="G1860" i="12"/>
  <c r="G1856" i="12"/>
  <c r="G1850" i="12"/>
  <c r="G1844" i="12"/>
  <c r="G1843" i="12"/>
  <c r="G1834" i="12"/>
  <c r="G1833" i="12"/>
  <c r="G1830" i="12"/>
  <c r="G1829" i="12"/>
  <c r="G1828" i="12"/>
  <c r="G1825" i="12"/>
  <c r="G1824" i="12"/>
  <c r="G1822" i="12"/>
  <c r="G1820" i="12"/>
  <c r="G1815" i="12"/>
  <c r="G1811" i="12"/>
  <c r="G1802" i="12"/>
  <c r="G1791" i="12"/>
  <c r="G1786" i="12"/>
  <c r="G1784" i="12"/>
  <c r="G1782" i="12"/>
  <c r="G1781" i="12"/>
  <c r="G1778" i="12"/>
  <c r="G1773" i="12"/>
  <c r="G1770" i="12"/>
  <c r="G1766" i="12"/>
  <c r="G1760" i="12"/>
  <c r="G1747" i="12"/>
  <c r="G1701" i="12"/>
  <c r="G1696" i="12"/>
  <c r="G1694" i="12"/>
  <c r="G1690" i="12"/>
  <c r="G1689" i="12"/>
  <c r="G1686" i="12"/>
  <c r="G1685" i="12"/>
  <c r="G1682" i="12"/>
  <c r="G1681" i="12"/>
  <c r="G1676" i="12"/>
  <c r="G1675" i="12"/>
  <c r="G1670" i="12"/>
  <c r="G1669" i="12"/>
  <c r="G1664" i="12"/>
  <c r="G1663" i="12"/>
  <c r="G1659" i="12"/>
  <c r="G1655" i="12"/>
  <c r="G1652" i="12"/>
  <c r="G1651" i="12"/>
  <c r="G1650" i="12"/>
  <c r="G1645" i="12"/>
  <c r="G1640" i="12"/>
  <c r="G1639" i="12"/>
  <c r="G1632" i="12"/>
  <c r="G1626" i="12"/>
  <c r="G1622" i="12"/>
  <c r="G1621" i="12"/>
  <c r="G1613" i="12"/>
  <c r="G1612" i="12"/>
  <c r="G1610" i="12"/>
  <c r="G1609" i="12"/>
  <c r="G1606" i="12"/>
  <c r="G1605" i="12"/>
  <c r="G1601" i="12"/>
  <c r="G1600" i="12"/>
  <c r="G1598" i="12"/>
  <c r="G1597" i="12"/>
  <c r="G1596" i="12"/>
  <c r="G1595" i="12"/>
  <c r="G1591" i="12"/>
  <c r="G1590" i="12"/>
  <c r="G1588" i="12"/>
  <c r="G1585" i="12"/>
  <c r="G1582" i="12"/>
  <c r="G1579" i="12"/>
  <c r="G1576" i="12"/>
  <c r="G1569" i="12"/>
  <c r="G1562" i="12"/>
  <c r="G1557" i="12"/>
  <c r="G1548" i="12"/>
  <c r="G1538" i="12"/>
  <c r="G1533" i="12"/>
  <c r="G1531" i="12"/>
  <c r="G1526" i="12"/>
  <c r="G1523" i="12"/>
  <c r="G1520" i="12"/>
  <c r="G1519" i="12"/>
  <c r="G1515" i="12"/>
  <c r="G1512" i="12"/>
  <c r="G1508" i="12"/>
  <c r="G1507" i="12"/>
  <c r="G1500" i="12"/>
  <c r="G1497" i="12"/>
  <c r="G1494" i="12"/>
  <c r="G1491" i="12"/>
  <c r="G1488" i="12"/>
  <c r="G1485" i="12"/>
  <c r="G1482" i="12"/>
  <c r="G1479" i="12"/>
  <c r="G1476" i="12"/>
  <c r="G1473" i="12"/>
  <c r="G1470" i="12"/>
  <c r="G1467" i="12"/>
  <c r="G1464" i="12"/>
  <c r="G1459" i="12"/>
  <c r="G1456" i="12"/>
  <c r="G1453" i="12"/>
  <c r="G1450" i="12"/>
  <c r="G1447" i="12"/>
  <c r="G1444" i="12"/>
  <c r="G1441" i="12"/>
  <c r="G1438" i="12"/>
  <c r="G1435" i="12"/>
  <c r="G1432" i="12"/>
  <c r="G1427" i="12"/>
  <c r="G1424" i="12"/>
  <c r="G1421" i="12"/>
  <c r="G1416" i="12"/>
  <c r="G1413" i="12"/>
  <c r="G1410" i="12"/>
  <c r="G1407" i="12"/>
  <c r="G1403" i="12"/>
  <c r="G1400" i="12"/>
  <c r="G1397" i="12"/>
  <c r="G1391" i="12"/>
  <c r="G1388" i="12"/>
  <c r="G1385" i="12"/>
  <c r="G1382" i="12"/>
  <c r="G1378" i="12"/>
  <c r="G1375" i="12"/>
  <c r="G1372" i="12"/>
  <c r="G1369" i="12"/>
  <c r="G1366" i="12"/>
  <c r="G1363" i="12"/>
  <c r="G1360" i="12"/>
  <c r="G1357" i="12"/>
  <c r="G1354" i="12"/>
  <c r="G1351" i="12"/>
  <c r="G1348" i="12"/>
  <c r="G1345" i="12"/>
  <c r="G1342" i="12"/>
  <c r="G1339" i="12"/>
  <c r="G1336" i="12"/>
  <c r="G1333" i="12"/>
  <c r="G1330" i="12"/>
  <c r="G1327" i="12"/>
  <c r="G1324" i="12"/>
  <c r="G1321" i="12"/>
  <c r="G1318" i="12"/>
  <c r="G1315" i="12"/>
  <c r="G1312" i="12"/>
  <c r="G1309" i="12"/>
  <c r="G1306" i="12"/>
  <c r="G1301" i="12"/>
  <c r="G1298" i="12"/>
  <c r="G1293" i="12"/>
  <c r="G1290" i="12"/>
  <c r="G1287" i="12"/>
  <c r="G1284" i="12"/>
  <c r="G1281" i="12"/>
  <c r="G1278" i="12"/>
  <c r="G1275" i="12"/>
  <c r="G1272" i="12"/>
  <c r="G1269" i="12"/>
  <c r="G1266" i="12"/>
  <c r="G1263" i="12"/>
  <c r="G1260" i="12"/>
  <c r="G1257" i="12"/>
  <c r="G1254" i="12"/>
  <c r="G1251" i="12"/>
  <c r="G1248" i="12"/>
  <c r="G1245" i="12"/>
  <c r="G1242" i="12"/>
  <c r="G1239" i="12"/>
  <c r="G1235" i="12"/>
  <c r="G1232" i="12"/>
  <c r="G1228" i="12"/>
  <c r="G1223" i="12"/>
  <c r="G1219" i="12"/>
  <c r="G1216" i="12"/>
  <c r="G1213" i="12"/>
  <c r="G1208" i="12"/>
  <c r="G1203" i="12"/>
  <c r="G1199" i="12"/>
  <c r="G1195" i="12"/>
  <c r="G1190" i="12"/>
  <c r="G1187" i="12"/>
  <c r="G1184" i="12"/>
  <c r="G1180" i="12"/>
  <c r="G1177" i="12"/>
  <c r="G1174" i="12"/>
  <c r="G1171" i="12"/>
  <c r="G1168" i="12"/>
  <c r="G1165" i="12"/>
  <c r="G1162" i="12"/>
  <c r="G1159" i="12"/>
  <c r="G1154" i="12"/>
  <c r="G1149" i="12"/>
  <c r="G1146" i="12"/>
  <c r="G1143" i="12"/>
  <c r="G1140" i="12"/>
  <c r="G1137" i="12"/>
  <c r="G1134" i="12"/>
  <c r="G1129" i="12"/>
  <c r="G1125" i="12"/>
  <c r="G1122" i="12"/>
  <c r="G1119" i="12"/>
  <c r="G1116" i="12"/>
  <c r="G1113" i="12"/>
  <c r="G1110" i="12"/>
  <c r="G1107" i="12"/>
  <c r="G1102" i="12"/>
  <c r="G1097" i="12"/>
  <c r="G1094" i="12"/>
  <c r="G1091" i="12"/>
  <c r="G1088" i="12"/>
  <c r="G1085" i="12"/>
  <c r="G1081" i="12"/>
  <c r="G1077" i="12"/>
  <c r="G1074" i="12"/>
  <c r="G1071" i="12"/>
  <c r="G1068" i="12"/>
  <c r="G1065" i="12"/>
  <c r="G1062" i="12"/>
  <c r="G1059" i="12"/>
  <c r="G1056" i="12"/>
  <c r="G1053" i="12"/>
  <c r="G1048" i="12"/>
  <c r="G1043" i="12"/>
  <c r="G1040" i="12"/>
  <c r="G1037" i="12"/>
  <c r="G1034" i="12"/>
  <c r="G1030" i="12"/>
  <c r="G1025" i="12"/>
  <c r="G1022" i="12"/>
  <c r="G1019" i="12"/>
  <c r="G1013" i="12"/>
  <c r="G1004" i="12"/>
  <c r="G999" i="12"/>
  <c r="G994" i="12"/>
  <c r="G988" i="12"/>
  <c r="G983" i="12"/>
  <c r="G978" i="12"/>
  <c r="G974" i="12"/>
  <c r="G970" i="12"/>
  <c r="G967" i="12"/>
  <c r="G960" i="12"/>
  <c r="G957" i="12"/>
  <c r="G952" i="12"/>
  <c r="G949" i="12"/>
  <c r="G943" i="12"/>
  <c r="G939" i="12"/>
  <c r="G936" i="12"/>
  <c r="G932" i="12"/>
  <c r="G928" i="12"/>
  <c r="G924" i="12"/>
  <c r="G919" i="12"/>
  <c r="G915" i="12"/>
  <c r="G911" i="12"/>
  <c r="G906" i="12"/>
  <c r="G903" i="12"/>
  <c r="G900" i="12"/>
  <c r="G896" i="12"/>
  <c r="G892" i="12"/>
  <c r="G888" i="12"/>
  <c r="G883" i="12"/>
  <c r="G878" i="12"/>
  <c r="G873" i="12"/>
  <c r="G869" i="12"/>
  <c r="G865" i="12"/>
  <c r="G861" i="12"/>
  <c r="G857" i="12"/>
  <c r="G852" i="12"/>
  <c r="G848" i="12"/>
  <c r="G844" i="12"/>
  <c r="G839" i="12"/>
  <c r="G835" i="12"/>
  <c r="G831" i="12"/>
  <c r="G827" i="12"/>
  <c r="G824" i="12"/>
  <c r="G820" i="12"/>
  <c r="G815" i="12"/>
  <c r="G811" i="12"/>
  <c r="G807" i="12"/>
  <c r="G802" i="12"/>
  <c r="G798" i="12"/>
  <c r="G794" i="12"/>
  <c r="G790" i="12"/>
  <c r="G787" i="12"/>
  <c r="G782" i="12"/>
  <c r="G778" i="12"/>
  <c r="G773" i="12"/>
  <c r="G769" i="12"/>
  <c r="G765" i="12"/>
  <c r="G760" i="12"/>
  <c r="G756" i="12"/>
  <c r="G752" i="12"/>
  <c r="G749" i="12"/>
  <c r="G745" i="12"/>
  <c r="G740" i="12"/>
  <c r="G736" i="12"/>
  <c r="G732" i="12"/>
  <c r="G728" i="12"/>
  <c r="G724" i="12"/>
  <c r="G720" i="12"/>
  <c r="G716" i="12"/>
  <c r="G712" i="12"/>
  <c r="G707" i="12"/>
  <c r="G703" i="12"/>
  <c r="G699" i="12"/>
  <c r="G696" i="12"/>
  <c r="G692" i="12"/>
  <c r="G687" i="12"/>
  <c r="G683" i="12"/>
  <c r="G679" i="12"/>
  <c r="G675" i="12"/>
  <c r="G671" i="12"/>
  <c r="G667" i="12"/>
  <c r="G663" i="12"/>
  <c r="G659" i="12"/>
  <c r="G654" i="12"/>
  <c r="G650" i="12"/>
  <c r="G645" i="12"/>
  <c r="G641" i="12"/>
  <c r="G637" i="12"/>
  <c r="G633" i="12"/>
  <c r="G629" i="12"/>
  <c r="G625" i="12"/>
  <c r="G620" i="12"/>
  <c r="G616" i="12"/>
  <c r="G612" i="12"/>
  <c r="G608" i="12"/>
  <c r="G604" i="12"/>
  <c r="G600" i="12"/>
  <c r="G596" i="12"/>
  <c r="G592" i="12"/>
  <c r="G588" i="12"/>
  <c r="G584" i="12"/>
  <c r="G580" i="12"/>
  <c r="G576" i="12"/>
  <c r="G572" i="12"/>
  <c r="G568" i="12"/>
  <c r="G564" i="12"/>
  <c r="G560" i="12"/>
  <c r="G556" i="12"/>
  <c r="G552" i="12"/>
  <c r="G548" i="12"/>
  <c r="G544" i="12"/>
  <c r="G540" i="12"/>
  <c r="G536" i="12"/>
  <c r="G532" i="12"/>
  <c r="G529" i="12"/>
  <c r="G525" i="12"/>
  <c r="G521" i="12"/>
  <c r="G517" i="12"/>
  <c r="G514" i="12"/>
  <c r="G510" i="12"/>
  <c r="G506" i="12"/>
  <c r="G502" i="12"/>
  <c r="G498" i="12"/>
  <c r="G494" i="12"/>
  <c r="G491" i="12"/>
  <c r="G487" i="12"/>
  <c r="G483" i="12"/>
  <c r="G479" i="12"/>
  <c r="G476" i="12"/>
  <c r="G472" i="12"/>
  <c r="G468" i="12"/>
  <c r="G464" i="12"/>
  <c r="G460" i="12"/>
  <c r="G456" i="12"/>
  <c r="G452" i="12"/>
  <c r="G448" i="12"/>
  <c r="G444" i="12"/>
  <c r="G440" i="12"/>
  <c r="G436" i="12"/>
  <c r="G431" i="12"/>
  <c r="G427" i="12"/>
  <c r="G423" i="12"/>
  <c r="G419" i="12"/>
  <c r="G414" i="12"/>
  <c r="G410" i="12"/>
  <c r="G406" i="12"/>
  <c r="G402" i="12"/>
  <c r="G398" i="12"/>
  <c r="G394" i="12"/>
  <c r="G390" i="12"/>
  <c r="G385" i="12"/>
  <c r="G381" i="12"/>
  <c r="G377" i="12"/>
  <c r="G373" i="12"/>
  <c r="G369" i="12"/>
  <c r="G365" i="12"/>
  <c r="G361" i="12"/>
  <c r="G357" i="12"/>
  <c r="G354" i="12"/>
  <c r="G350" i="12"/>
  <c r="G346" i="12"/>
  <c r="G342" i="12"/>
  <c r="G338" i="12"/>
  <c r="G335" i="12"/>
  <c r="G332" i="12"/>
  <c r="G329" i="12"/>
  <c r="G325" i="12"/>
  <c r="G321" i="12"/>
  <c r="G317" i="12"/>
  <c r="G314" i="12"/>
  <c r="G311" i="12"/>
  <c r="G308" i="12"/>
  <c r="G304" i="12"/>
  <c r="G300" i="12"/>
  <c r="G295" i="12"/>
  <c r="G291" i="12"/>
  <c r="G287" i="12"/>
  <c r="G284" i="12"/>
  <c r="G281" i="12"/>
  <c r="G278" i="12"/>
  <c r="G274" i="12"/>
  <c r="G270" i="12"/>
  <c r="G266" i="12"/>
  <c r="G262" i="12"/>
  <c r="G258" i="12"/>
  <c r="G255" i="12"/>
  <c r="G252" i="12"/>
  <c r="G247" i="12"/>
  <c r="G243" i="12"/>
  <c r="G240" i="12"/>
  <c r="G237" i="12"/>
  <c r="G233" i="12"/>
  <c r="G229" i="12"/>
  <c r="G225" i="12"/>
  <c r="G221" i="12"/>
  <c r="G217" i="12"/>
  <c r="G212" i="12"/>
  <c r="G208" i="12"/>
  <c r="G203" i="12"/>
  <c r="G200" i="12"/>
  <c r="G196" i="12"/>
  <c r="G192" i="12"/>
  <c r="G188" i="12"/>
  <c r="G181" i="12"/>
  <c r="G175" i="12"/>
  <c r="G171" i="12"/>
  <c r="G167" i="12"/>
  <c r="G163" i="12"/>
  <c r="G156" i="12"/>
  <c r="G152" i="12"/>
  <c r="G149" i="12"/>
  <c r="G145" i="12"/>
  <c r="G141" i="12"/>
  <c r="G137" i="12"/>
  <c r="G133" i="12"/>
  <c r="G127" i="12"/>
  <c r="G124" i="12"/>
  <c r="G121" i="12"/>
  <c r="G117" i="12"/>
  <c r="G113" i="12"/>
  <c r="G109" i="12"/>
  <c r="G103" i="12"/>
  <c r="G98" i="12"/>
  <c r="G95" i="12"/>
  <c r="G92" i="12"/>
  <c r="G88" i="12"/>
  <c r="G84" i="12"/>
  <c r="G79" i="12"/>
  <c r="G73" i="12"/>
  <c r="G67" i="12"/>
  <c r="G63" i="12"/>
  <c r="G59" i="12"/>
  <c r="G54" i="12"/>
  <c r="G51" i="12"/>
  <c r="G47" i="12"/>
  <c r="G42" i="12"/>
  <c r="G39" i="12"/>
  <c r="G36" i="12"/>
  <c r="G31" i="12"/>
  <c r="G27" i="12"/>
  <c r="G24" i="12"/>
  <c r="G21" i="12"/>
  <c r="G17" i="12"/>
  <c r="G13" i="12"/>
  <c r="G9" i="12"/>
  <c r="G5" i="12"/>
  <c r="G2202" i="12"/>
  <c r="G2198" i="12"/>
  <c r="G2196" i="12"/>
  <c r="G2190" i="12"/>
  <c r="G2189" i="12"/>
  <c r="G2183" i="12"/>
  <c r="G2179" i="12"/>
  <c r="G2158" i="12"/>
  <c r="G2156" i="12"/>
  <c r="G2151" i="12"/>
  <c r="G2144" i="12"/>
  <c r="G2143" i="12"/>
  <c r="G2138" i="12"/>
  <c r="G2137" i="12"/>
  <c r="G2094" i="12"/>
  <c r="G2072" i="12"/>
  <c r="G2071" i="12"/>
  <c r="G2065" i="12"/>
  <c r="G2064" i="12"/>
  <c r="G2055" i="12"/>
  <c r="G2052" i="12"/>
  <c r="G2051" i="12"/>
  <c r="G2045" i="12"/>
  <c r="G2044" i="12"/>
  <c r="G2042" i="12"/>
  <c r="G2040" i="12"/>
  <c r="G2038" i="12"/>
  <c r="G2037" i="12"/>
  <c r="G2035" i="12"/>
  <c r="G2031" i="12"/>
  <c r="G2028" i="12"/>
  <c r="G2021" i="12"/>
  <c r="G2014" i="12"/>
  <c r="G2004" i="12"/>
  <c r="G1995" i="12"/>
  <c r="G1990" i="12"/>
  <c r="G1986" i="12"/>
  <c r="G1976" i="12"/>
  <c r="G1973" i="12"/>
  <c r="G1969" i="12"/>
  <c r="G1968" i="12"/>
  <c r="G1964" i="12"/>
  <c r="G1960" i="12"/>
  <c r="G1959" i="12"/>
  <c r="G1954" i="12"/>
  <c r="G1951" i="12"/>
  <c r="G1934" i="12"/>
  <c r="G1930" i="12"/>
  <c r="G1925" i="12"/>
  <c r="G1924" i="12"/>
  <c r="G1923" i="12"/>
  <c r="G1922" i="12"/>
  <c r="G1920" i="12"/>
  <c r="G1918" i="12"/>
  <c r="G1911" i="12"/>
  <c r="G1867" i="12"/>
  <c r="G1862" i="12"/>
  <c r="G1859" i="12"/>
  <c r="G1854" i="12"/>
  <c r="G1848" i="12"/>
  <c r="G1836" i="12"/>
  <c r="G1826" i="12"/>
  <c r="G1823" i="12"/>
  <c r="G1821" i="12"/>
  <c r="G1816" i="12"/>
  <c r="G1801" i="12"/>
  <c r="G1799" i="12"/>
  <c r="G1787" i="12"/>
  <c r="G1779" i="12"/>
  <c r="G1777" i="12"/>
  <c r="G1776" i="12"/>
  <c r="G1769" i="12"/>
  <c r="G1768" i="12"/>
  <c r="G1763" i="12"/>
  <c r="G1762" i="12"/>
  <c r="G1761" i="12"/>
  <c r="G1759" i="12"/>
  <c r="G1757" i="12"/>
  <c r="G1756" i="12"/>
  <c r="G1753" i="12"/>
  <c r="G1752" i="12"/>
  <c r="G1751" i="12"/>
  <c r="G1746" i="12"/>
  <c r="G1745" i="12"/>
  <c r="G1744" i="12"/>
  <c r="G1737" i="12"/>
  <c r="G1736" i="12"/>
  <c r="G1732" i="12"/>
  <c r="G1729" i="12"/>
  <c r="G1726" i="12"/>
  <c r="G1722" i="12"/>
  <c r="G1718" i="12"/>
  <c r="G1712" i="12"/>
  <c r="G1708" i="12"/>
  <c r="G1706" i="12"/>
  <c r="G1697" i="12"/>
  <c r="G1695" i="12"/>
  <c r="G1693" i="12"/>
  <c r="G1691" i="12"/>
  <c r="G1688" i="12"/>
  <c r="G1687" i="12"/>
  <c r="G1684" i="12"/>
  <c r="G1683" i="12"/>
  <c r="G1678" i="12"/>
  <c r="G1677" i="12"/>
  <c r="G1672" i="12"/>
  <c r="G1671" i="12"/>
  <c r="G1665" i="12"/>
  <c r="G1660" i="12"/>
  <c r="G1592" i="12"/>
  <c r="G1587" i="12"/>
  <c r="G1586" i="12"/>
  <c r="G1583" i="12"/>
  <c r="G1572" i="12"/>
  <c r="G1567" i="12"/>
  <c r="G1565" i="12"/>
  <c r="G1558" i="12"/>
  <c r="G1555" i="12"/>
  <c r="G1552" i="12"/>
  <c r="G1551" i="12"/>
  <c r="G1542" i="12"/>
  <c r="G1541" i="12"/>
  <c r="G1536" i="12"/>
  <c r="G1529" i="12"/>
  <c r="G1522" i="12"/>
  <c r="G1516" i="12"/>
  <c r="G1509" i="12"/>
  <c r="G1503" i="12"/>
  <c r="G1224" i="12"/>
  <c r="G1209" i="12"/>
  <c r="G1204" i="12"/>
  <c r="G1191" i="12"/>
  <c r="G1155" i="12"/>
  <c r="G1150" i="12"/>
  <c r="G1130" i="12"/>
  <c r="G1126" i="12"/>
  <c r="G1103" i="12"/>
  <c r="G1098" i="12"/>
  <c r="G1078" i="12"/>
  <c r="G1049" i="12"/>
  <c r="G1044" i="12"/>
  <c r="G1031" i="12"/>
  <c r="G1026" i="12"/>
  <c r="G1005" i="12"/>
  <c r="G1000" i="12"/>
  <c r="G995" i="12"/>
  <c r="G984" i="12"/>
  <c r="G979" i="12"/>
  <c r="G971" i="12"/>
  <c r="G963" i="12"/>
  <c r="G953" i="12"/>
  <c r="G945" i="12"/>
  <c r="G940" i="12"/>
  <c r="G929" i="12"/>
  <c r="G921" i="12"/>
  <c r="G916" i="12"/>
  <c r="G908" i="12"/>
  <c r="G897" i="12"/>
  <c r="G893" i="12"/>
  <c r="G889" i="12"/>
  <c r="G885" i="12"/>
  <c r="G880" i="12"/>
  <c r="G875" i="12"/>
  <c r="G870" i="12"/>
  <c r="G866" i="12"/>
  <c r="G862" i="12"/>
  <c r="G854" i="12"/>
  <c r="G849" i="12"/>
  <c r="G845" i="12"/>
  <c r="G841" i="12"/>
  <c r="G836" i="12"/>
  <c r="G832" i="12"/>
  <c r="G828" i="12"/>
  <c r="G821" i="12"/>
  <c r="G817" i="12"/>
  <c r="G812" i="12"/>
  <c r="G808" i="12"/>
  <c r="G804" i="12"/>
  <c r="G799" i="12"/>
  <c r="G795" i="12"/>
  <c r="G791" i="12"/>
  <c r="G784" i="12"/>
  <c r="G779" i="12"/>
  <c r="G774" i="12"/>
  <c r="G770" i="12"/>
  <c r="G766" i="12"/>
  <c r="G762" i="12"/>
  <c r="G757" i="12"/>
  <c r="G753" i="12"/>
  <c r="G746" i="12"/>
  <c r="G742" i="12"/>
  <c r="G737" i="12"/>
  <c r="G733" i="12"/>
  <c r="G729" i="12"/>
  <c r="G725" i="12"/>
  <c r="G721" i="12"/>
  <c r="G717" i="12"/>
  <c r="G713" i="12"/>
  <c r="G709" i="12"/>
  <c r="G704" i="12"/>
  <c r="G700" i="12"/>
  <c r="G693" i="12"/>
  <c r="G689" i="12"/>
  <c r="G684" i="12"/>
  <c r="G680" i="12"/>
  <c r="G676" i="12"/>
  <c r="G672" i="12"/>
  <c r="G668" i="12"/>
  <c r="G664" i="12"/>
  <c r="G660" i="12"/>
  <c r="G656" i="12"/>
  <c r="G651" i="12"/>
  <c r="G647" i="12"/>
  <c r="G642" i="12"/>
  <c r="G638" i="12"/>
  <c r="G634" i="12"/>
  <c r="G630" i="12"/>
  <c r="G626" i="12"/>
  <c r="G622" i="12"/>
  <c r="G617" i="12"/>
  <c r="G613" i="12"/>
  <c r="G609" i="12"/>
  <c r="G605" i="12"/>
  <c r="G601" i="12"/>
  <c r="G597" i="12"/>
  <c r="G593" i="12"/>
  <c r="G589" i="12"/>
  <c r="G585" i="12"/>
  <c r="G581" i="12"/>
  <c r="G577" i="12"/>
  <c r="G573" i="12"/>
  <c r="G569" i="12"/>
  <c r="G565" i="12"/>
  <c r="G561" i="12"/>
  <c r="G557" i="12"/>
  <c r="G553" i="12"/>
  <c r="G549" i="12"/>
  <c r="G545" i="12"/>
  <c r="G541" i="12"/>
  <c r="G537" i="12"/>
  <c r="G533" i="12"/>
  <c r="G526" i="12"/>
  <c r="G522" i="12"/>
  <c r="G518" i="12"/>
  <c r="G511" i="12"/>
  <c r="G507" i="12"/>
  <c r="G503" i="12"/>
  <c r="G499" i="12"/>
  <c r="G495" i="12"/>
  <c r="G488" i="12"/>
  <c r="G484" i="12"/>
  <c r="G480" i="12"/>
  <c r="G473" i="12"/>
  <c r="G469" i="12"/>
  <c r="G465" i="12"/>
  <c r="G461" i="12"/>
  <c r="G457" i="12"/>
  <c r="G453" i="12"/>
  <c r="G449" i="12"/>
  <c r="G445" i="12"/>
  <c r="G441" i="12"/>
  <c r="G433" i="12"/>
  <c r="G428" i="12"/>
  <c r="G424" i="12"/>
  <c r="G420" i="12"/>
  <c r="G416" i="12"/>
  <c r="G411" i="12"/>
  <c r="G407" i="12"/>
  <c r="G403" i="12"/>
  <c r="G399" i="12"/>
  <c r="G395" i="12"/>
  <c r="G391" i="12"/>
  <c r="G386" i="12"/>
  <c r="G382" i="12"/>
  <c r="G378" i="12"/>
  <c r="G374" i="12"/>
  <c r="G370" i="12"/>
  <c r="G366" i="12"/>
  <c r="G362" i="12"/>
  <c r="G358" i="12"/>
  <c r="G351" i="12"/>
  <c r="G343" i="12"/>
  <c r="G339" i="12"/>
  <c r="G326" i="12"/>
  <c r="G322" i="12"/>
  <c r="G318" i="12"/>
  <c r="G305" i="12"/>
  <c r="G297" i="12"/>
  <c r="G292" i="12"/>
  <c r="G288" i="12"/>
  <c r="G275" i="12"/>
  <c r="G271" i="12"/>
  <c r="G267" i="12"/>
  <c r="G263" i="12"/>
  <c r="G259" i="12"/>
  <c r="G249" i="12"/>
  <c r="G244" i="12"/>
  <c r="G230" i="12"/>
  <c r="G226" i="12"/>
  <c r="G222" i="12"/>
  <c r="G218" i="12"/>
  <c r="G214" i="12"/>
  <c r="G209" i="12"/>
  <c r="G205" i="12"/>
  <c r="G193" i="12"/>
  <c r="G189" i="12"/>
  <c r="G185" i="12"/>
  <c r="G178" i="12"/>
  <c r="G172" i="12"/>
  <c r="G168" i="12"/>
  <c r="G164" i="12"/>
  <c r="G160" i="12"/>
  <c r="G153" i="12"/>
  <c r="G146" i="12"/>
  <c r="G142" i="12"/>
  <c r="G138" i="12"/>
  <c r="G134" i="12"/>
  <c r="G130" i="12"/>
  <c r="G118" i="12"/>
  <c r="G114" i="12"/>
  <c r="G110" i="12"/>
  <c r="G106" i="12"/>
  <c r="G100" i="12"/>
  <c r="G89" i="12"/>
  <c r="G81" i="12"/>
  <c r="G76" i="12"/>
  <c r="G64" i="12"/>
  <c r="G60" i="12"/>
  <c r="G55" i="12"/>
  <c r="G48" i="12"/>
  <c r="G43" i="12"/>
  <c r="G32" i="12"/>
  <c r="G28" i="12"/>
  <c r="G18" i="12"/>
  <c r="G14" i="12"/>
  <c r="G10" i="12"/>
  <c r="G6" i="12"/>
  <c r="G2" i="12"/>
  <c r="G2195" i="12"/>
  <c r="G2187" i="12"/>
  <c r="G2153" i="12"/>
  <c r="G2152" i="12"/>
  <c r="G2150" i="12"/>
  <c r="G2149" i="12"/>
  <c r="G2145" i="12"/>
  <c r="G2141" i="12"/>
  <c r="G2140" i="12"/>
  <c r="G2139" i="12"/>
  <c r="G2136" i="12"/>
  <c r="G2135" i="12"/>
  <c r="G2134" i="12"/>
  <c r="G2130" i="12"/>
  <c r="G2129" i="12"/>
  <c r="G2128" i="12"/>
  <c r="G2125" i="12"/>
  <c r="G2124" i="12"/>
  <c r="G2123" i="12"/>
  <c r="G2120" i="12"/>
  <c r="G2117" i="12"/>
  <c r="G2116" i="12"/>
  <c r="G2112" i="12"/>
  <c r="G2111" i="12"/>
  <c r="G2106" i="12"/>
  <c r="G2105" i="12"/>
  <c r="G2100" i="12"/>
  <c r="G2097" i="12"/>
  <c r="G2087" i="12"/>
  <c r="G2083" i="12"/>
  <c r="G2081" i="12"/>
  <c r="G2078" i="12"/>
  <c r="G2076" i="12"/>
  <c r="G2061" i="12"/>
  <c r="G2043" i="12"/>
  <c r="G2036" i="12"/>
  <c r="G2033" i="12"/>
  <c r="G2015" i="12"/>
  <c r="G2010" i="12"/>
  <c r="G1984" i="12"/>
  <c r="G1979" i="12"/>
  <c r="G1971" i="12"/>
  <c r="G1970" i="12"/>
  <c r="G1965" i="12"/>
  <c r="G1961" i="12"/>
  <c r="G1952" i="12"/>
  <c r="G1947" i="12"/>
  <c r="G1946" i="12"/>
  <c r="G1942" i="12"/>
  <c r="G1941" i="12"/>
  <c r="G1929" i="12"/>
  <c r="G1926" i="12"/>
  <c r="G1921" i="12"/>
  <c r="G1917" i="12"/>
  <c r="G1910" i="12"/>
  <c r="G1886" i="12"/>
  <c r="G1885" i="12"/>
  <c r="G1884" i="12"/>
  <c r="G1883" i="12"/>
  <c r="G1881" i="12"/>
  <c r="G1880" i="12"/>
  <c r="G1868" i="12"/>
  <c r="G1841" i="12"/>
  <c r="G1839" i="12"/>
  <c r="G1832" i="12"/>
  <c r="G1817" i="12"/>
  <c r="G1814" i="12"/>
  <c r="G1812" i="12"/>
  <c r="G1809" i="12"/>
  <c r="G1807" i="12"/>
  <c r="G1804" i="12"/>
  <c r="G1803" i="12"/>
  <c r="G1797" i="12"/>
  <c r="G1795" i="12"/>
  <c r="G1790" i="12"/>
  <c r="G1789" i="12"/>
  <c r="G1788" i="12"/>
  <c r="G1783" i="12"/>
  <c r="G1780" i="12"/>
  <c r="G1774" i="12"/>
  <c r="G1771" i="12"/>
  <c r="G1765" i="12"/>
  <c r="G1758" i="12"/>
  <c r="G1754" i="12"/>
  <c r="G1742" i="12"/>
  <c r="G1739" i="12"/>
  <c r="G1734" i="12"/>
  <c r="G1727" i="12"/>
  <c r="G1721" i="12"/>
  <c r="G1716" i="12"/>
  <c r="G1715" i="12"/>
  <c r="G1710" i="12"/>
  <c r="G1709" i="12"/>
  <c r="G1707" i="12"/>
  <c r="G1705" i="12"/>
  <c r="G1703" i="12"/>
  <c r="G1702" i="12"/>
  <c r="G1700" i="12"/>
  <c r="G1698" i="12"/>
  <c r="G1692" i="12"/>
  <c r="G1680" i="12"/>
  <c r="G1673" i="12"/>
  <c r="G1667" i="12"/>
  <c r="G1662" i="12"/>
  <c r="G1657" i="12"/>
  <c r="G1654" i="12"/>
  <c r="G1647" i="12"/>
  <c r="G1644" i="12"/>
  <c r="G1635" i="12"/>
  <c r="G1631" i="12"/>
  <c r="G1618" i="12"/>
  <c r="G1616" i="12"/>
  <c r="G1607" i="12"/>
  <c r="G1580" i="12"/>
  <c r="G1577" i="12"/>
  <c r="G1573" i="12"/>
  <c r="G1566" i="12"/>
  <c r="G1563" i="12"/>
  <c r="G1560" i="12"/>
  <c r="G1559" i="12"/>
  <c r="G1554" i="12"/>
  <c r="G1553" i="12"/>
  <c r="G1547" i="12"/>
  <c r="G1546" i="12"/>
  <c r="G1545" i="12"/>
  <c r="G1535" i="12"/>
  <c r="G1530" i="12"/>
  <c r="G1514" i="12"/>
  <c r="G1511" i="12"/>
  <c r="G1505" i="12"/>
  <c r="G1501" i="12"/>
  <c r="G1498" i="12"/>
  <c r="G1495" i="12"/>
  <c r="G1492" i="12"/>
  <c r="G1489" i="12"/>
  <c r="G1486" i="12"/>
  <c r="G1483" i="12"/>
  <c r="G1480" i="12"/>
  <c r="G1477" i="12"/>
  <c r="G1474" i="12"/>
  <c r="G1471" i="12"/>
  <c r="G1468" i="12"/>
  <c r="G1465" i="12"/>
  <c r="G1462" i="12"/>
  <c r="G1460" i="12"/>
  <c r="G1457" i="12"/>
  <c r="G1454" i="12"/>
  <c r="G1451" i="12"/>
  <c r="G1448" i="12"/>
  <c r="G1445" i="12"/>
  <c r="G1442" i="12"/>
  <c r="G1439" i="12"/>
  <c r="G1436" i="12"/>
  <c r="G1433" i="12"/>
  <c r="G1430" i="12"/>
  <c r="G1428" i="12"/>
  <c r="G1425" i="12"/>
  <c r="G1422" i="12"/>
  <c r="G1419" i="12"/>
  <c r="G1417" i="12"/>
  <c r="G1414" i="12"/>
  <c r="G1411" i="12"/>
  <c r="G1408" i="12"/>
  <c r="G1405" i="12"/>
  <c r="G1401" i="12"/>
  <c r="G1398" i="12"/>
  <c r="G1395" i="12"/>
  <c r="G1392" i="12"/>
  <c r="G1389" i="12"/>
  <c r="G1386" i="12"/>
  <c r="G1383" i="12"/>
  <c r="G1380" i="12"/>
  <c r="G1376" i="12"/>
  <c r="G1373" i="12"/>
  <c r="G1370" i="12"/>
  <c r="G1367" i="12"/>
  <c r="G1364" i="12"/>
  <c r="G1361" i="12"/>
  <c r="G1358" i="12"/>
  <c r="G1355" i="12"/>
  <c r="G1352" i="12"/>
  <c r="G1349" i="12"/>
  <c r="G1346" i="12"/>
  <c r="G1343" i="12"/>
  <c r="G1340" i="12"/>
  <c r="G1337" i="12"/>
  <c r="G1334" i="12"/>
  <c r="G1331" i="12"/>
  <c r="G1328" i="12"/>
  <c r="G1325" i="12"/>
  <c r="G1322" i="12"/>
  <c r="G1319" i="12"/>
  <c r="G1316" i="12"/>
  <c r="G1313" i="12"/>
  <c r="G1310" i="12"/>
  <c r="G1307" i="12"/>
  <c r="G1304" i="12"/>
  <c r="G1302" i="12"/>
  <c r="G1299" i="12"/>
  <c r="G1296" i="12"/>
  <c r="G1294" i="12"/>
  <c r="G1291" i="12"/>
  <c r="G1288" i="12"/>
  <c r="G1285" i="12"/>
  <c r="G1282" i="12"/>
  <c r="G1279" i="12"/>
  <c r="G1276" i="12"/>
  <c r="G1273" i="12"/>
  <c r="G1270" i="12"/>
  <c r="G1267" i="12"/>
  <c r="G1264" i="12"/>
  <c r="G1261" i="12"/>
  <c r="G1258" i="12"/>
  <c r="G1255" i="12"/>
  <c r="G1252" i="12"/>
  <c r="G1249" i="12"/>
  <c r="G1246" i="12"/>
  <c r="G1243" i="12"/>
  <c r="G1240" i="12"/>
  <c r="G1236" i="12"/>
  <c r="G1233" i="12"/>
  <c r="G1229" i="12"/>
  <c r="G1225" i="12"/>
  <c r="G1220" i="12"/>
  <c r="G1217" i="12"/>
  <c r="G1214" i="12"/>
  <c r="G1210" i="12"/>
  <c r="G1205" i="12"/>
  <c r="G1200" i="12"/>
  <c r="G1196" i="12"/>
  <c r="G1192" i="12"/>
  <c r="G1188" i="12"/>
  <c r="G1185" i="12"/>
  <c r="G1181" i="12"/>
  <c r="G1178" i="12"/>
  <c r="G1175" i="12"/>
  <c r="G1172" i="12"/>
  <c r="G1169" i="12"/>
  <c r="G1166" i="12"/>
  <c r="G1163" i="12"/>
  <c r="G1160" i="12"/>
  <c r="G1156" i="12"/>
  <c r="G1151" i="12"/>
  <c r="G1147" i="12"/>
  <c r="G1144" i="12"/>
  <c r="G1141" i="12"/>
  <c r="G1138" i="12"/>
  <c r="G1135" i="12"/>
  <c r="G1131" i="12"/>
  <c r="G1127" i="12"/>
  <c r="G1123" i="12"/>
  <c r="G1120" i="12"/>
  <c r="G1117" i="12"/>
  <c r="G1114" i="12"/>
  <c r="G1111" i="12"/>
  <c r="G1108" i="12"/>
  <c r="G1104" i="12"/>
  <c r="G1099" i="12"/>
  <c r="G1095" i="12"/>
  <c r="G1092" i="12"/>
  <c r="G1089" i="12"/>
  <c r="G1086" i="12"/>
  <c r="G1082" i="12"/>
  <c r="G1079" i="12"/>
  <c r="G1075" i="12"/>
  <c r="G1072" i="12"/>
  <c r="G1069" i="12"/>
  <c r="G1066" i="12"/>
  <c r="G1063" i="12"/>
  <c r="G1060" i="12"/>
  <c r="G1057" i="12"/>
  <c r="G1054" i="12"/>
  <c r="G1050" i="12"/>
  <c r="G1045" i="12"/>
  <c r="G1041" i="12"/>
  <c r="G1038" i="12"/>
  <c r="G1035" i="12"/>
  <c r="G1032" i="12"/>
  <c r="G1027" i="12"/>
  <c r="G1023" i="12"/>
  <c r="G1020" i="12"/>
  <c r="G1017" i="12"/>
  <c r="G1014" i="12"/>
  <c r="G1010" i="12"/>
  <c r="G1008" i="12"/>
  <c r="G1006" i="12"/>
  <c r="G1001" i="12"/>
  <c r="G996" i="12"/>
  <c r="G992" i="12"/>
  <c r="G989" i="12"/>
  <c r="G985" i="12"/>
  <c r="G980" i="12"/>
  <c r="G976" i="12"/>
  <c r="G972" i="12"/>
  <c r="G968" i="12"/>
  <c r="G964" i="12"/>
  <c r="G961" i="12"/>
  <c r="G958" i="12"/>
  <c r="G954" i="12"/>
  <c r="G950" i="12"/>
  <c r="G946" i="12"/>
  <c r="G941" i="12"/>
  <c r="G937" i="12"/>
  <c r="G934" i="12"/>
  <c r="G930" i="12"/>
  <c r="G926" i="12"/>
  <c r="G922" i="12"/>
  <c r="G917" i="12"/>
  <c r="G913" i="12"/>
  <c r="G909" i="12"/>
  <c r="G904" i="12"/>
  <c r="G901" i="12"/>
  <c r="G898" i="12"/>
  <c r="G894" i="12"/>
  <c r="G890" i="12"/>
  <c r="G886" i="12"/>
  <c r="G881" i="12"/>
  <c r="G876" i="12"/>
  <c r="G871" i="12"/>
  <c r="G867" i="12"/>
  <c r="G863" i="12"/>
  <c r="G859" i="12"/>
  <c r="G855" i="12"/>
  <c r="G850" i="12"/>
  <c r="G846" i="12"/>
  <c r="G842" i="12"/>
  <c r="G837" i="12"/>
  <c r="G833" i="12"/>
  <c r="G829" i="12"/>
  <c r="G825" i="12"/>
  <c r="G822" i="12"/>
  <c r="G818" i="12"/>
  <c r="G813" i="12"/>
  <c r="G809" i="12"/>
  <c r="G805" i="12"/>
  <c r="G800" i="12"/>
  <c r="G796" i="12"/>
  <c r="G792" i="12"/>
  <c r="G788" i="12"/>
  <c r="G785" i="12"/>
  <c r="G780" i="12"/>
  <c r="G775" i="12"/>
  <c r="G771" i="12"/>
  <c r="G767" i="12"/>
  <c r="G763" i="12"/>
  <c r="G758" i="12"/>
  <c r="G754" i="12"/>
  <c r="G750" i="12"/>
  <c r="G747" i="12"/>
  <c r="G743" i="12"/>
  <c r="G738" i="12"/>
  <c r="G734" i="12"/>
  <c r="G730" i="12"/>
  <c r="G726" i="12"/>
  <c r="G722" i="12"/>
  <c r="G718" i="12"/>
  <c r="G714" i="12"/>
  <c r="G710" i="12"/>
  <c r="G705" i="12"/>
  <c r="G701" i="12"/>
  <c r="G697" i="12"/>
  <c r="G694" i="12"/>
  <c r="G690" i="12"/>
  <c r="G685" i="12"/>
  <c r="G681" i="12"/>
  <c r="G677" i="12"/>
  <c r="G673" i="12"/>
  <c r="G669" i="12"/>
  <c r="G665" i="12"/>
  <c r="G661" i="12"/>
  <c r="G657" i="12"/>
  <c r="G652" i="12"/>
  <c r="G648" i="12"/>
  <c r="G643" i="12"/>
  <c r="G639" i="12"/>
  <c r="G635" i="12"/>
  <c r="G631" i="12"/>
  <c r="G627" i="12"/>
  <c r="G623" i="12"/>
  <c r="G618" i="12"/>
  <c r="G614" i="12"/>
  <c r="G610" i="12"/>
  <c r="G606" i="12"/>
  <c r="G602" i="12"/>
  <c r="G598" i="12"/>
  <c r="G594" i="12"/>
  <c r="G590" i="12"/>
  <c r="G586" i="12"/>
  <c r="G582" i="12"/>
  <c r="G578" i="12"/>
  <c r="G574" i="12"/>
  <c r="G570" i="12"/>
  <c r="G566" i="12"/>
  <c r="G562" i="12"/>
  <c r="G558" i="12"/>
  <c r="G554" i="12"/>
  <c r="G550" i="12"/>
  <c r="G546" i="12"/>
  <c r="G542" i="12"/>
  <c r="G538" i="12"/>
  <c r="G534" i="12"/>
  <c r="G530" i="12"/>
  <c r="G527" i="12"/>
  <c r="G523" i="12"/>
  <c r="G519" i="12"/>
  <c r="G515" i="12"/>
  <c r="G512" i="12"/>
  <c r="G508" i="12"/>
  <c r="G504" i="12"/>
  <c r="G500" i="12"/>
  <c r="G496" i="12"/>
  <c r="G492" i="12"/>
  <c r="G489" i="12"/>
  <c r="G485" i="12"/>
  <c r="G481" i="12"/>
  <c r="G477" i="12"/>
  <c r="G474" i="12"/>
  <c r="G470" i="12"/>
  <c r="G466" i="12"/>
  <c r="G462" i="12"/>
  <c r="G458" i="12"/>
  <c r="G454" i="12"/>
  <c r="G450" i="12"/>
  <c r="G446" i="12"/>
  <c r="G442" i="12"/>
  <c r="G437" i="12"/>
  <c r="G434" i="12"/>
  <c r="G429" i="12"/>
  <c r="G425" i="12"/>
  <c r="G421" i="12"/>
  <c r="G417" i="12"/>
  <c r="G412" i="12"/>
  <c r="G408" i="12"/>
  <c r="G404" i="12"/>
  <c r="G400" i="12"/>
  <c r="G396" i="12"/>
  <c r="G392" i="12"/>
  <c r="G387" i="12"/>
  <c r="G383" i="12"/>
  <c r="G379" i="12"/>
  <c r="G375" i="12"/>
  <c r="G371" i="12"/>
  <c r="G367" i="12"/>
  <c r="G363" i="12"/>
  <c r="G359" i="12"/>
  <c r="G355" i="12"/>
  <c r="G352" i="12"/>
  <c r="G344" i="12"/>
  <c r="G340" i="12"/>
  <c r="G333" i="12"/>
  <c r="G330" i="12"/>
  <c r="G327" i="12"/>
  <c r="G323" i="12"/>
  <c r="G319" i="12"/>
  <c r="G315" i="12"/>
  <c r="G309" i="12"/>
  <c r="G306" i="12"/>
  <c r="G302" i="12"/>
  <c r="G298" i="12"/>
  <c r="G293" i="12"/>
  <c r="G289" i="12"/>
  <c r="G285" i="12"/>
  <c r="G279" i="12"/>
  <c r="G276" i="12"/>
  <c r="G272" i="12"/>
  <c r="G268" i="12"/>
  <c r="G264" i="12"/>
  <c r="G260" i="12"/>
  <c r="G256" i="12"/>
  <c r="G253" i="12"/>
  <c r="G250" i="12"/>
  <c r="G245" i="12"/>
  <c r="G241" i="12"/>
  <c r="G235" i="12"/>
  <c r="G231" i="12"/>
  <c r="G227" i="12"/>
  <c r="G223" i="12"/>
  <c r="G219" i="12"/>
  <c r="G215" i="12"/>
  <c r="G210" i="12"/>
  <c r="G206" i="12"/>
  <c r="G201" i="12"/>
  <c r="G194" i="12"/>
  <c r="G190" i="12"/>
  <c r="G186" i="12"/>
  <c r="G179" i="12"/>
  <c r="G176" i="12"/>
  <c r="G173" i="12"/>
  <c r="G169" i="12"/>
  <c r="G165" i="12"/>
  <c r="G161" i="12"/>
  <c r="G154" i="12"/>
  <c r="G150" i="12"/>
  <c r="G147" i="12"/>
  <c r="G143" i="12"/>
  <c r="G139" i="12"/>
  <c r="G135" i="12"/>
  <c r="G131" i="12"/>
  <c r="G122" i="12"/>
  <c r="G119" i="12"/>
  <c r="G115" i="12"/>
  <c r="G111" i="12"/>
  <c r="G107" i="12"/>
  <c r="G101" i="12"/>
  <c r="G96" i="12"/>
  <c r="G90" i="12"/>
  <c r="G85" i="12"/>
  <c r="G82" i="12"/>
  <c r="G77" i="12"/>
  <c r="G74" i="12"/>
  <c r="G68" i="12"/>
  <c r="G65" i="12"/>
  <c r="G61" i="12"/>
  <c r="G56" i="12"/>
  <c r="G52" i="12"/>
  <c r="G49" i="12"/>
  <c r="G44" i="12"/>
  <c r="G40" i="12"/>
  <c r="G37" i="12"/>
  <c r="G33" i="12"/>
  <c r="G29" i="12"/>
  <c r="G25" i="12"/>
  <c r="G22" i="12"/>
  <c r="G19" i="12"/>
  <c r="G15" i="12"/>
  <c r="G11" i="12"/>
  <c r="G7" i="12"/>
  <c r="G3" i="12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L3" i="6"/>
  <c r="M3" i="6"/>
  <c r="L4" i="6"/>
  <c r="M4" i="6"/>
  <c r="L5" i="6"/>
  <c r="M5" i="6"/>
  <c r="L6" i="6"/>
  <c r="M6" i="6"/>
  <c r="L7" i="6"/>
  <c r="M7" i="6"/>
  <c r="L8" i="6"/>
  <c r="M8" i="6"/>
  <c r="L9" i="6"/>
  <c r="M9" i="6"/>
  <c r="L10" i="6"/>
  <c r="M10" i="6"/>
  <c r="L11" i="6"/>
  <c r="M11" i="6"/>
  <c r="L12" i="6"/>
  <c r="M12" i="6"/>
  <c r="L13" i="6"/>
  <c r="M13" i="6"/>
  <c r="L14" i="6"/>
  <c r="M14" i="6"/>
  <c r="L15" i="6"/>
  <c r="M15" i="6"/>
  <c r="L16" i="6"/>
  <c r="M16" i="6"/>
  <c r="L17" i="6"/>
  <c r="M17" i="6"/>
  <c r="L18" i="6"/>
  <c r="M18" i="6"/>
  <c r="L19" i="6"/>
  <c r="M19" i="6"/>
  <c r="L20" i="6"/>
  <c r="M20" i="6"/>
  <c r="L21" i="6"/>
  <c r="M21" i="6"/>
  <c r="L22" i="6"/>
  <c r="M22" i="6"/>
  <c r="L23" i="6"/>
  <c r="M23" i="6"/>
  <c r="L24" i="6"/>
  <c r="M24" i="6"/>
  <c r="L25" i="6"/>
  <c r="M25" i="6"/>
  <c r="L26" i="6"/>
  <c r="M26" i="6"/>
  <c r="L27" i="6"/>
  <c r="M27" i="6"/>
  <c r="L28" i="6"/>
  <c r="M28" i="6"/>
  <c r="L29" i="6"/>
  <c r="M29" i="6"/>
  <c r="L30" i="6"/>
  <c r="M30" i="6"/>
  <c r="L31" i="6"/>
  <c r="M31" i="6"/>
  <c r="L32" i="6"/>
  <c r="M32" i="6"/>
  <c r="L33" i="6"/>
  <c r="M33" i="6"/>
  <c r="L34" i="6"/>
  <c r="M34" i="6"/>
  <c r="L35" i="6"/>
  <c r="M35" i="6"/>
  <c r="L36" i="6"/>
  <c r="M36" i="6"/>
  <c r="L37" i="6"/>
  <c r="M37" i="6"/>
  <c r="L38" i="6"/>
  <c r="M38" i="6"/>
  <c r="L39" i="6"/>
  <c r="M39" i="6"/>
  <c r="L40" i="6"/>
  <c r="M40" i="6"/>
  <c r="L41" i="6"/>
  <c r="M41" i="6"/>
  <c r="L42" i="6"/>
  <c r="M42" i="6"/>
  <c r="L43" i="6"/>
  <c r="M43" i="6"/>
  <c r="L44" i="6"/>
  <c r="M44" i="6"/>
  <c r="L45" i="6"/>
  <c r="M45" i="6"/>
  <c r="L46" i="6"/>
  <c r="M46" i="6"/>
  <c r="L47" i="6"/>
  <c r="M47" i="6"/>
  <c r="L48" i="6"/>
  <c r="M48" i="6"/>
  <c r="L49" i="6"/>
  <c r="M49" i="6"/>
  <c r="L50" i="6"/>
  <c r="M50" i="6"/>
  <c r="L51" i="6"/>
  <c r="M51" i="6"/>
  <c r="L52" i="6"/>
  <c r="M52" i="6"/>
  <c r="L53" i="6"/>
  <c r="M53" i="6"/>
  <c r="L54" i="6"/>
  <c r="M54" i="6"/>
  <c r="L55" i="6"/>
  <c r="M55" i="6"/>
  <c r="L56" i="6"/>
  <c r="M56" i="6"/>
  <c r="L57" i="6"/>
  <c r="M57" i="6"/>
  <c r="L58" i="6"/>
  <c r="M58" i="6"/>
  <c r="L59" i="6"/>
  <c r="M59" i="6"/>
  <c r="L60" i="6"/>
  <c r="M60" i="6"/>
  <c r="L61" i="6"/>
  <c r="M61" i="6"/>
  <c r="L62" i="6"/>
  <c r="M62" i="6"/>
  <c r="L63" i="6"/>
  <c r="M63" i="6"/>
  <c r="L64" i="6"/>
  <c r="M64" i="6"/>
  <c r="L65" i="6"/>
  <c r="M65" i="6"/>
  <c r="L66" i="6"/>
  <c r="M66" i="6"/>
  <c r="L67" i="6"/>
  <c r="M67" i="6"/>
  <c r="L68" i="6"/>
  <c r="M68" i="6"/>
  <c r="L69" i="6"/>
  <c r="M69" i="6"/>
  <c r="L70" i="6"/>
  <c r="M70" i="6"/>
  <c r="L71" i="6"/>
  <c r="M71" i="6"/>
  <c r="L72" i="6"/>
  <c r="M72" i="6"/>
  <c r="L73" i="6"/>
  <c r="M73" i="6"/>
  <c r="L74" i="6"/>
  <c r="M74" i="6"/>
  <c r="L75" i="6"/>
  <c r="M75" i="6"/>
  <c r="L76" i="6"/>
  <c r="M76" i="6"/>
  <c r="L77" i="6"/>
  <c r="M77" i="6"/>
  <c r="L78" i="6"/>
  <c r="M78" i="6"/>
  <c r="L79" i="6"/>
  <c r="M79" i="6"/>
  <c r="L80" i="6"/>
  <c r="M80" i="6"/>
  <c r="L81" i="6"/>
  <c r="M81" i="6"/>
  <c r="L82" i="6"/>
  <c r="M82" i="6"/>
  <c r="L83" i="6"/>
  <c r="M83" i="6"/>
  <c r="L84" i="6"/>
  <c r="M84" i="6"/>
  <c r="L85" i="6"/>
  <c r="M85" i="6"/>
  <c r="L86" i="6"/>
  <c r="M86" i="6"/>
  <c r="L87" i="6"/>
  <c r="M87" i="6"/>
  <c r="L88" i="6"/>
  <c r="M88" i="6"/>
  <c r="L89" i="6"/>
  <c r="M89" i="6"/>
  <c r="L90" i="6"/>
  <c r="M90" i="6"/>
  <c r="L91" i="6"/>
  <c r="M91" i="6"/>
  <c r="L92" i="6"/>
  <c r="M92" i="6"/>
  <c r="L93" i="6"/>
  <c r="M93" i="6"/>
  <c r="L94" i="6"/>
  <c r="M94" i="6"/>
  <c r="L95" i="6"/>
  <c r="M95" i="6"/>
  <c r="L96" i="6"/>
  <c r="M96" i="6"/>
  <c r="L97" i="6"/>
  <c r="M97" i="6"/>
  <c r="L98" i="6"/>
  <c r="M98" i="6"/>
  <c r="L99" i="6"/>
  <c r="M99" i="6"/>
  <c r="L100" i="6"/>
  <c r="M100" i="6"/>
  <c r="L101" i="6"/>
  <c r="M101" i="6"/>
  <c r="L102" i="6"/>
  <c r="M102" i="6"/>
  <c r="L103" i="6"/>
  <c r="M103" i="6"/>
  <c r="L104" i="6"/>
  <c r="M104" i="6"/>
  <c r="L105" i="6"/>
  <c r="M105" i="6"/>
  <c r="L106" i="6"/>
  <c r="M106" i="6"/>
  <c r="L107" i="6"/>
  <c r="M107" i="6"/>
  <c r="L108" i="6"/>
  <c r="M108" i="6"/>
  <c r="L109" i="6"/>
  <c r="M109" i="6"/>
  <c r="L110" i="6"/>
  <c r="M110" i="6"/>
  <c r="L111" i="6"/>
  <c r="M111" i="6"/>
  <c r="L112" i="6"/>
  <c r="M112" i="6"/>
  <c r="L113" i="6"/>
  <c r="M113" i="6"/>
  <c r="L114" i="6"/>
  <c r="M114" i="6"/>
  <c r="L115" i="6"/>
  <c r="M115" i="6"/>
  <c r="L116" i="6"/>
  <c r="M116" i="6"/>
  <c r="L117" i="6"/>
  <c r="M117" i="6"/>
  <c r="L118" i="6"/>
  <c r="M118" i="6"/>
  <c r="L119" i="6"/>
  <c r="M119" i="6"/>
  <c r="L120" i="6"/>
  <c r="M120" i="6"/>
  <c r="L121" i="6"/>
  <c r="M121" i="6"/>
  <c r="M2" i="6"/>
  <c r="L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2" i="6"/>
  <c r="G1404" i="12" l="1"/>
  <c r="G1394" i="12"/>
  <c r="G1379" i="12"/>
  <c r="G975" i="12"/>
  <c r="G965" i="12"/>
  <c r="G962" i="12"/>
  <c r="G947" i="12"/>
  <c r="G944" i="12"/>
  <c r="G933" i="12"/>
  <c r="G925" i="12"/>
  <c r="G920" i="12"/>
  <c r="G912" i="12"/>
  <c r="G907" i="12"/>
  <c r="G884" i="12"/>
  <c r="G879" i="12"/>
  <c r="G874" i="12"/>
  <c r="G858" i="12"/>
  <c r="G853" i="12"/>
  <c r="G840" i="12"/>
  <c r="G816" i="12"/>
  <c r="G803" i="12"/>
  <c r="G783" i="12"/>
  <c r="G776" i="12"/>
  <c r="G761" i="12"/>
  <c r="G741" i="12"/>
  <c r="G708" i="12"/>
  <c r="G688" i="12"/>
  <c r="G655" i="12"/>
  <c r="G646" i="12"/>
  <c r="G621" i="12"/>
  <c r="G432" i="12"/>
  <c r="G415" i="12"/>
  <c r="G388" i="12"/>
  <c r="G347" i="12"/>
  <c r="G301" i="12"/>
  <c r="G296" i="12"/>
  <c r="G248" i="12"/>
  <c r="G234" i="12"/>
  <c r="G213" i="12"/>
  <c r="G204" i="12"/>
  <c r="G197" i="12"/>
  <c r="G182" i="12"/>
  <c r="G157" i="12"/>
  <c r="G99" i="12"/>
  <c r="G80" i="12"/>
  <c r="G438" i="12"/>
  <c r="G348" i="12"/>
  <c r="G336" i="12"/>
  <c r="G312" i="12"/>
  <c r="G282" i="12"/>
  <c r="G238" i="12"/>
  <c r="G198" i="12"/>
  <c r="G183" i="12"/>
  <c r="G158" i="12"/>
  <c r="G128" i="12"/>
  <c r="G125" i="12"/>
  <c r="G104" i="12"/>
  <c r="G93" i="12"/>
  <c r="G86" i="12"/>
  <c r="G71" i="12"/>
  <c r="G69" i="12"/>
  <c r="G57" i="12"/>
  <c r="G45" i="12"/>
  <c r="G34" i="12"/>
  <c r="G1237" i="12"/>
  <c r="G1230" i="12"/>
  <c r="G1226" i="12"/>
  <c r="G1221" i="12"/>
  <c r="G1211" i="12"/>
  <c r="G1206" i="12"/>
  <c r="G1201" i="12"/>
  <c r="G1197" i="12"/>
  <c r="G1193" i="12"/>
  <c r="G1182" i="12"/>
  <c r="G1157" i="12"/>
  <c r="G1152" i="12"/>
  <c r="G1132" i="12"/>
  <c r="G1105" i="12"/>
  <c r="G1100" i="12"/>
  <c r="G1083" i="12"/>
  <c r="G1051" i="12"/>
  <c r="G1046" i="12"/>
  <c r="G1028" i="12"/>
  <c r="G1011" i="12"/>
  <c r="G1002" i="12"/>
  <c r="G997" i="12"/>
  <c r="G986" i="12"/>
  <c r="G981" i="12"/>
  <c r="G955" i="12"/>
  <c r="F2197" i="12"/>
  <c r="F2193" i="12"/>
  <c r="F2192" i="12"/>
  <c r="F2191" i="12"/>
  <c r="F2159" i="12"/>
  <c r="F2148" i="12"/>
  <c r="F2147" i="12"/>
  <c r="F2142" i="12"/>
  <c r="F2121" i="12"/>
  <c r="F2091" i="12"/>
  <c r="F1882" i="12"/>
  <c r="F1855" i="12"/>
  <c r="F1853" i="12"/>
  <c r="F1851" i="12"/>
  <c r="F1846" i="12"/>
  <c r="F1845" i="12"/>
  <c r="F1831" i="12"/>
  <c r="U701" i="5"/>
  <c r="S701" i="5"/>
  <c r="Q701" i="5"/>
  <c r="M701" i="5"/>
  <c r="K701" i="5"/>
  <c r="H701" i="5"/>
  <c r="I701" i="5" s="1"/>
  <c r="U700" i="5"/>
  <c r="S700" i="5"/>
  <c r="Q700" i="5"/>
  <c r="M700" i="5"/>
  <c r="J700" i="5"/>
  <c r="K700" i="5" s="1"/>
  <c r="H700" i="5"/>
  <c r="I700" i="5" s="1"/>
  <c r="U699" i="5"/>
  <c r="S699" i="5"/>
  <c r="Q699" i="5"/>
  <c r="M699" i="5"/>
  <c r="J699" i="5"/>
  <c r="K699" i="5" s="1"/>
  <c r="H699" i="5"/>
  <c r="I699" i="5" s="1"/>
  <c r="U698" i="5"/>
  <c r="S698" i="5"/>
  <c r="Q698" i="5"/>
  <c r="M698" i="5"/>
  <c r="L698" i="5"/>
  <c r="J698" i="5"/>
  <c r="K698" i="5" s="1"/>
  <c r="I698" i="5"/>
  <c r="H698" i="5"/>
  <c r="U697" i="5"/>
  <c r="S697" i="5"/>
  <c r="Q697" i="5"/>
  <c r="M697" i="5"/>
  <c r="K697" i="5"/>
  <c r="H697" i="5"/>
  <c r="I697" i="5" s="1"/>
  <c r="U696" i="5"/>
  <c r="S696" i="5"/>
  <c r="P696" i="5"/>
  <c r="Q696" i="5" s="1"/>
  <c r="N696" i="5"/>
  <c r="M696" i="5"/>
  <c r="J696" i="5"/>
  <c r="K696" i="5" s="1"/>
  <c r="H696" i="5"/>
  <c r="I696" i="5" s="1"/>
  <c r="U695" i="5"/>
  <c r="S695" i="5"/>
  <c r="P695" i="5"/>
  <c r="Q695" i="5" s="1"/>
  <c r="M695" i="5"/>
  <c r="K695" i="5"/>
  <c r="H695" i="5"/>
  <c r="I695" i="5" s="1"/>
  <c r="U694" i="5"/>
  <c r="S694" i="5"/>
  <c r="P694" i="5"/>
  <c r="Q694" i="5" s="1"/>
  <c r="M694" i="5"/>
  <c r="J694" i="5"/>
  <c r="K694" i="5" s="1"/>
  <c r="H694" i="5"/>
  <c r="I694" i="5" s="1"/>
  <c r="U693" i="5"/>
  <c r="S693" i="5"/>
  <c r="P693" i="5"/>
  <c r="Q693" i="5" s="1"/>
  <c r="M693" i="5"/>
  <c r="J693" i="5"/>
  <c r="K693" i="5" s="1"/>
  <c r="H693" i="5"/>
  <c r="I693" i="5" s="1"/>
  <c r="U692" i="5"/>
  <c r="S692" i="5"/>
  <c r="P692" i="5"/>
  <c r="Q692" i="5" s="1"/>
  <c r="N692" i="5"/>
  <c r="M692" i="5"/>
  <c r="J692" i="5"/>
  <c r="K692" i="5" s="1"/>
  <c r="H692" i="5"/>
  <c r="I692" i="5" s="1"/>
  <c r="U691" i="5"/>
  <c r="S691" i="5"/>
  <c r="P691" i="5"/>
  <c r="Q691" i="5" s="1"/>
  <c r="N691" i="5"/>
  <c r="L691" i="5"/>
  <c r="M691" i="5" s="1"/>
  <c r="J691" i="5"/>
  <c r="K691" i="5" s="1"/>
  <c r="H691" i="5"/>
  <c r="I691" i="5" s="1"/>
  <c r="U690" i="5"/>
  <c r="S690" i="5"/>
  <c r="P690" i="5"/>
  <c r="Q690" i="5" s="1"/>
  <c r="N690" i="5"/>
  <c r="L690" i="5"/>
  <c r="M690" i="5" s="1"/>
  <c r="J690" i="5"/>
  <c r="K690" i="5" s="1"/>
  <c r="H690" i="5"/>
  <c r="I690" i="5" s="1"/>
  <c r="U689" i="5"/>
  <c r="S689" i="5"/>
  <c r="Q689" i="5"/>
  <c r="M689" i="5"/>
  <c r="K689" i="5"/>
  <c r="I689" i="5"/>
  <c r="H689" i="5"/>
  <c r="U688" i="5"/>
  <c r="S688" i="5"/>
  <c r="P688" i="5"/>
  <c r="Q688" i="5" s="1"/>
  <c r="M688" i="5"/>
  <c r="K688" i="5"/>
  <c r="H688" i="5"/>
  <c r="I688" i="5" s="1"/>
  <c r="U687" i="5"/>
  <c r="S687" i="5"/>
  <c r="Q687" i="5"/>
  <c r="M687" i="5"/>
  <c r="K687" i="5"/>
  <c r="H687" i="5"/>
  <c r="I687" i="5" s="1"/>
  <c r="U686" i="5"/>
  <c r="S686" i="5"/>
  <c r="Q686" i="5"/>
  <c r="M686" i="5"/>
  <c r="J686" i="5"/>
  <c r="K686" i="5" s="1"/>
  <c r="I686" i="5"/>
  <c r="H686" i="5"/>
  <c r="U685" i="5"/>
  <c r="S685" i="5"/>
  <c r="Q685" i="5"/>
  <c r="M685" i="5"/>
  <c r="K685" i="5"/>
  <c r="H685" i="5"/>
  <c r="I685" i="5" s="1"/>
  <c r="U684" i="5"/>
  <c r="S684" i="5"/>
  <c r="R684" i="5"/>
  <c r="Q684" i="5"/>
  <c r="M684" i="5"/>
  <c r="J684" i="5"/>
  <c r="K684" i="5" s="1"/>
  <c r="H684" i="5"/>
  <c r="I684" i="5" s="1"/>
  <c r="U683" i="5"/>
  <c r="S683" i="5"/>
  <c r="Q683" i="5"/>
  <c r="L683" i="5"/>
  <c r="M683" i="5" s="1"/>
  <c r="J683" i="5"/>
  <c r="K683" i="5" s="1"/>
  <c r="H683" i="5"/>
  <c r="I683" i="5" s="1"/>
  <c r="U682" i="5"/>
  <c r="S682" i="5"/>
  <c r="Q682" i="5"/>
  <c r="P682" i="5"/>
  <c r="M682" i="5"/>
  <c r="K682" i="5"/>
  <c r="H682" i="5"/>
  <c r="I682" i="5" s="1"/>
  <c r="U681" i="5"/>
  <c r="S681" i="5"/>
  <c r="Q681" i="5"/>
  <c r="M681" i="5"/>
  <c r="J681" i="5"/>
  <c r="K681" i="5" s="1"/>
  <c r="I681" i="5"/>
  <c r="H681" i="5"/>
  <c r="U680" i="5"/>
  <c r="S680" i="5"/>
  <c r="Q680" i="5"/>
  <c r="M680" i="5"/>
  <c r="K680" i="5"/>
  <c r="J680" i="5"/>
  <c r="H680" i="5"/>
  <c r="I680" i="5" s="1"/>
  <c r="U679" i="5"/>
  <c r="S679" i="5"/>
  <c r="Q679" i="5"/>
  <c r="L679" i="5"/>
  <c r="M679" i="5" s="1"/>
  <c r="J679" i="5"/>
  <c r="K679" i="5" s="1"/>
  <c r="I679" i="5"/>
  <c r="H679" i="5"/>
  <c r="U678" i="5"/>
  <c r="S678" i="5"/>
  <c r="Q678" i="5"/>
  <c r="M678" i="5"/>
  <c r="K678" i="5"/>
  <c r="H678" i="5"/>
  <c r="I678" i="5" s="1"/>
  <c r="U677" i="5"/>
  <c r="S677" i="5"/>
  <c r="Q677" i="5"/>
  <c r="L677" i="5"/>
  <c r="M677" i="5" s="1"/>
  <c r="J677" i="5"/>
  <c r="K677" i="5" s="1"/>
  <c r="H677" i="5"/>
  <c r="I677" i="5" s="1"/>
  <c r="U676" i="5"/>
  <c r="S676" i="5"/>
  <c r="Q676" i="5"/>
  <c r="M676" i="5"/>
  <c r="J676" i="5"/>
  <c r="K676" i="5" s="1"/>
  <c r="H676" i="5"/>
  <c r="I676" i="5" s="1"/>
  <c r="U675" i="5"/>
  <c r="S675" i="5"/>
  <c r="Q675" i="5"/>
  <c r="L675" i="5"/>
  <c r="M675" i="5" s="1"/>
  <c r="K675" i="5"/>
  <c r="J675" i="5"/>
  <c r="H675" i="5"/>
  <c r="I675" i="5" s="1"/>
  <c r="U674" i="5"/>
  <c r="S674" i="5"/>
  <c r="Q674" i="5"/>
  <c r="M674" i="5"/>
  <c r="J674" i="5"/>
  <c r="K674" i="5" s="1"/>
  <c r="H674" i="5"/>
  <c r="I674" i="5" s="1"/>
  <c r="U673" i="5"/>
  <c r="S673" i="5"/>
  <c r="Q673" i="5"/>
  <c r="M673" i="5"/>
  <c r="J673" i="5"/>
  <c r="K673" i="5" s="1"/>
  <c r="H673" i="5"/>
  <c r="I673" i="5" s="1"/>
  <c r="U672" i="5"/>
  <c r="S672" i="5"/>
  <c r="Q672" i="5"/>
  <c r="L672" i="5"/>
  <c r="M672" i="5" s="1"/>
  <c r="J672" i="5"/>
  <c r="K672" i="5" s="1"/>
  <c r="H672" i="5"/>
  <c r="I672" i="5" s="1"/>
  <c r="U671" i="5"/>
  <c r="S671" i="5"/>
  <c r="Q671" i="5"/>
  <c r="M671" i="5"/>
  <c r="K671" i="5"/>
  <c r="H671" i="5"/>
  <c r="I671" i="5" s="1"/>
  <c r="U670" i="5"/>
  <c r="S670" i="5"/>
  <c r="Q670" i="5"/>
  <c r="M670" i="5"/>
  <c r="K670" i="5"/>
  <c r="H670" i="5"/>
  <c r="I670" i="5" s="1"/>
  <c r="U669" i="5"/>
  <c r="R669" i="5"/>
  <c r="S669" i="5" s="1"/>
  <c r="Q669" i="5"/>
  <c r="L669" i="5"/>
  <c r="M669" i="5" s="1"/>
  <c r="J669" i="5"/>
  <c r="K669" i="5" s="1"/>
  <c r="H669" i="5"/>
  <c r="I669" i="5" s="1"/>
  <c r="U668" i="5"/>
  <c r="S668" i="5"/>
  <c r="Q668" i="5"/>
  <c r="L668" i="5"/>
  <c r="M668" i="5" s="1"/>
  <c r="J668" i="5"/>
  <c r="K668" i="5" s="1"/>
  <c r="H668" i="5"/>
  <c r="I668" i="5" s="1"/>
  <c r="U667" i="5"/>
  <c r="S667" i="5"/>
  <c r="Q667" i="5"/>
  <c r="M667" i="5"/>
  <c r="K667" i="5"/>
  <c r="H667" i="5"/>
  <c r="I667" i="5" s="1"/>
  <c r="U666" i="5"/>
  <c r="S666" i="5"/>
  <c r="Q666" i="5"/>
  <c r="M666" i="5"/>
  <c r="K666" i="5"/>
  <c r="H666" i="5"/>
  <c r="I666" i="5" s="1"/>
  <c r="U665" i="5"/>
  <c r="S665" i="5"/>
  <c r="Q665" i="5"/>
  <c r="L665" i="5"/>
  <c r="M665" i="5" s="1"/>
  <c r="J665" i="5"/>
  <c r="K665" i="5" s="1"/>
  <c r="H665" i="5"/>
  <c r="I665" i="5" s="1"/>
  <c r="U664" i="5"/>
  <c r="S664" i="5"/>
  <c r="Q664" i="5"/>
  <c r="M664" i="5"/>
  <c r="J664" i="5"/>
  <c r="K664" i="5" s="1"/>
  <c r="H664" i="5"/>
  <c r="I664" i="5" s="1"/>
  <c r="U663" i="5"/>
  <c r="S663" i="5"/>
  <c r="Q663" i="5"/>
  <c r="M663" i="5"/>
  <c r="K663" i="5"/>
  <c r="H663" i="5"/>
  <c r="I663" i="5" s="1"/>
  <c r="U662" i="5"/>
  <c r="S662" i="5"/>
  <c r="Q662" i="5"/>
  <c r="M662" i="5"/>
  <c r="K662" i="5"/>
  <c r="H662" i="5"/>
  <c r="I662" i="5" s="1"/>
  <c r="U661" i="5"/>
  <c r="S661" i="5"/>
  <c r="Q661" i="5"/>
  <c r="M661" i="5"/>
  <c r="K661" i="5"/>
  <c r="H661" i="5"/>
  <c r="I661" i="5" s="1"/>
  <c r="U660" i="5"/>
  <c r="S660" i="5"/>
  <c r="Q660" i="5"/>
  <c r="M660" i="5"/>
  <c r="K660" i="5"/>
  <c r="H660" i="5"/>
  <c r="I660" i="5" s="1"/>
  <c r="U659" i="5"/>
  <c r="S659" i="5"/>
  <c r="Q659" i="5"/>
  <c r="L659" i="5"/>
  <c r="M659" i="5" s="1"/>
  <c r="J659" i="5"/>
  <c r="K659" i="5" s="1"/>
  <c r="I659" i="5"/>
  <c r="H659" i="5"/>
  <c r="U658" i="5"/>
  <c r="S658" i="5"/>
  <c r="P658" i="5"/>
  <c r="Q658" i="5" s="1"/>
  <c r="N658" i="5"/>
  <c r="M658" i="5"/>
  <c r="K658" i="5"/>
  <c r="H658" i="5"/>
  <c r="I658" i="5" s="1"/>
  <c r="U657" i="5"/>
  <c r="S657" i="5"/>
  <c r="Q657" i="5"/>
  <c r="M657" i="5"/>
  <c r="K657" i="5"/>
  <c r="H657" i="5"/>
  <c r="I657" i="5" s="1"/>
  <c r="U656" i="5"/>
  <c r="S656" i="5"/>
  <c r="Q656" i="5"/>
  <c r="M656" i="5"/>
  <c r="K656" i="5"/>
  <c r="J656" i="5"/>
  <c r="H656" i="5"/>
  <c r="I656" i="5" s="1"/>
  <c r="U655" i="5"/>
  <c r="S655" i="5"/>
  <c r="Q655" i="5"/>
  <c r="M655" i="5"/>
  <c r="K655" i="5"/>
  <c r="H655" i="5"/>
  <c r="I655" i="5" s="1"/>
  <c r="U654" i="5"/>
  <c r="S654" i="5"/>
  <c r="Q654" i="5"/>
  <c r="M654" i="5"/>
  <c r="K654" i="5"/>
  <c r="H654" i="5"/>
  <c r="I654" i="5" s="1"/>
  <c r="U653" i="5"/>
  <c r="S653" i="5"/>
  <c r="Q653" i="5"/>
  <c r="M653" i="5"/>
  <c r="K653" i="5"/>
  <c r="I653" i="5"/>
  <c r="H653" i="5"/>
  <c r="U652" i="5"/>
  <c r="S652" i="5"/>
  <c r="Q652" i="5"/>
  <c r="L652" i="5"/>
  <c r="M652" i="5" s="1"/>
  <c r="J652" i="5"/>
  <c r="K652" i="5" s="1"/>
  <c r="H652" i="5"/>
  <c r="I652" i="5" s="1"/>
  <c r="U651" i="5"/>
  <c r="S651" i="5"/>
  <c r="Q651" i="5"/>
  <c r="L651" i="5"/>
  <c r="M651" i="5" s="1"/>
  <c r="J651" i="5"/>
  <c r="K651" i="5" s="1"/>
  <c r="H651" i="5"/>
  <c r="I651" i="5" s="1"/>
  <c r="U650" i="5"/>
  <c r="S650" i="5"/>
  <c r="Q650" i="5"/>
  <c r="M650" i="5"/>
  <c r="K650" i="5"/>
  <c r="H650" i="5"/>
  <c r="I650" i="5" s="1"/>
  <c r="U649" i="5"/>
  <c r="S649" i="5"/>
  <c r="Q649" i="5"/>
  <c r="M649" i="5"/>
  <c r="K649" i="5"/>
  <c r="H649" i="5"/>
  <c r="I649" i="5" s="1"/>
  <c r="U648" i="5"/>
  <c r="S648" i="5"/>
  <c r="Q648" i="5"/>
  <c r="L648" i="5"/>
  <c r="M648" i="5" s="1"/>
  <c r="K648" i="5"/>
  <c r="H648" i="5"/>
  <c r="I648" i="5" s="1"/>
  <c r="U647" i="5"/>
  <c r="S647" i="5"/>
  <c r="Q647" i="5"/>
  <c r="N647" i="5"/>
  <c r="L647" i="5"/>
  <c r="M647" i="5" s="1"/>
  <c r="J647" i="5"/>
  <c r="K647" i="5" s="1"/>
  <c r="H647" i="5"/>
  <c r="I647" i="5" s="1"/>
  <c r="U646" i="5"/>
  <c r="S646" i="5"/>
  <c r="Q646" i="5"/>
  <c r="N646" i="5"/>
  <c r="M646" i="5"/>
  <c r="J646" i="5"/>
  <c r="K646" i="5" s="1"/>
  <c r="H646" i="5"/>
  <c r="I646" i="5" s="1"/>
  <c r="U645" i="5"/>
  <c r="S645" i="5"/>
  <c r="Q645" i="5"/>
  <c r="M645" i="5"/>
  <c r="J645" i="5"/>
  <c r="K645" i="5" s="1"/>
  <c r="H645" i="5"/>
  <c r="I645" i="5" s="1"/>
  <c r="U644" i="5"/>
  <c r="S644" i="5"/>
  <c r="Q644" i="5"/>
  <c r="M644" i="5"/>
  <c r="J644" i="5"/>
  <c r="K644" i="5" s="1"/>
  <c r="H644" i="5"/>
  <c r="I644" i="5" s="1"/>
  <c r="U643" i="5"/>
  <c r="S643" i="5"/>
  <c r="Q643" i="5"/>
  <c r="M643" i="5"/>
  <c r="K643" i="5"/>
  <c r="H643" i="5"/>
  <c r="I643" i="5" s="1"/>
  <c r="U642" i="5"/>
  <c r="S642" i="5"/>
  <c r="Q642" i="5"/>
  <c r="M642" i="5"/>
  <c r="K642" i="5"/>
  <c r="H642" i="5"/>
  <c r="I642" i="5" s="1"/>
  <c r="U641" i="5"/>
  <c r="S641" i="5"/>
  <c r="P641" i="5"/>
  <c r="Q641" i="5" s="1"/>
  <c r="N641" i="5"/>
  <c r="L641" i="5"/>
  <c r="M641" i="5" s="1"/>
  <c r="J641" i="5"/>
  <c r="K641" i="5" s="1"/>
  <c r="H641" i="5"/>
  <c r="I641" i="5" s="1"/>
  <c r="U640" i="5"/>
  <c r="S640" i="5"/>
  <c r="Q640" i="5"/>
  <c r="M640" i="5"/>
  <c r="J640" i="5"/>
  <c r="K640" i="5" s="1"/>
  <c r="H640" i="5"/>
  <c r="I640" i="5" s="1"/>
  <c r="U639" i="5"/>
  <c r="S639" i="5"/>
  <c r="Q639" i="5"/>
  <c r="M639" i="5"/>
  <c r="K639" i="5"/>
  <c r="H639" i="5"/>
  <c r="I639" i="5" s="1"/>
  <c r="U638" i="5"/>
  <c r="S638" i="5"/>
  <c r="Q638" i="5"/>
  <c r="M638" i="5"/>
  <c r="J638" i="5"/>
  <c r="K638" i="5" s="1"/>
  <c r="H638" i="5"/>
  <c r="I638" i="5" s="1"/>
  <c r="U637" i="5"/>
  <c r="S637" i="5"/>
  <c r="Q637" i="5"/>
  <c r="M637" i="5"/>
  <c r="K637" i="5"/>
  <c r="H637" i="5"/>
  <c r="I637" i="5" s="1"/>
  <c r="U636" i="5"/>
  <c r="S636" i="5"/>
  <c r="Q636" i="5"/>
  <c r="M636" i="5"/>
  <c r="K636" i="5"/>
  <c r="H636" i="5"/>
  <c r="I636" i="5" s="1"/>
  <c r="U635" i="5"/>
  <c r="S635" i="5"/>
  <c r="Q635" i="5"/>
  <c r="M635" i="5"/>
  <c r="J635" i="5"/>
  <c r="K635" i="5" s="1"/>
  <c r="H635" i="5"/>
  <c r="I635" i="5" s="1"/>
  <c r="U634" i="5"/>
  <c r="S634" i="5"/>
  <c r="Q634" i="5"/>
  <c r="M634" i="5"/>
  <c r="J634" i="5"/>
  <c r="K634" i="5" s="1"/>
  <c r="H634" i="5"/>
  <c r="I634" i="5" s="1"/>
  <c r="U633" i="5"/>
  <c r="S633" i="5"/>
  <c r="Q633" i="5"/>
  <c r="L633" i="5"/>
  <c r="M633" i="5" s="1"/>
  <c r="J633" i="5"/>
  <c r="K633" i="5" s="1"/>
  <c r="H633" i="5"/>
  <c r="I633" i="5" s="1"/>
  <c r="U632" i="5"/>
  <c r="S632" i="5"/>
  <c r="Q632" i="5"/>
  <c r="L632" i="5"/>
  <c r="M632" i="5" s="1"/>
  <c r="K632" i="5"/>
  <c r="H632" i="5"/>
  <c r="I632" i="5" s="1"/>
  <c r="U631" i="5"/>
  <c r="S631" i="5"/>
  <c r="Q631" i="5"/>
  <c r="L631" i="5"/>
  <c r="M631" i="5" s="1"/>
  <c r="K631" i="5"/>
  <c r="H631" i="5"/>
  <c r="I631" i="5" s="1"/>
  <c r="U630" i="5"/>
  <c r="S630" i="5"/>
  <c r="Q630" i="5"/>
  <c r="M630" i="5"/>
  <c r="K630" i="5"/>
  <c r="H630" i="5"/>
  <c r="I630" i="5" s="1"/>
  <c r="U629" i="5"/>
  <c r="S629" i="5"/>
  <c r="Q629" i="5"/>
  <c r="M629" i="5"/>
  <c r="K629" i="5"/>
  <c r="H629" i="5"/>
  <c r="I629" i="5" s="1"/>
  <c r="U628" i="5"/>
  <c r="R628" i="5"/>
  <c r="S628" i="5" s="1"/>
  <c r="Q628" i="5"/>
  <c r="L628" i="5"/>
  <c r="M628" i="5" s="1"/>
  <c r="J628" i="5"/>
  <c r="K628" i="5" s="1"/>
  <c r="H628" i="5"/>
  <c r="I628" i="5" s="1"/>
  <c r="U627" i="5"/>
  <c r="S627" i="5"/>
  <c r="Q627" i="5"/>
  <c r="L627" i="5"/>
  <c r="M627" i="5" s="1"/>
  <c r="J627" i="5"/>
  <c r="K627" i="5" s="1"/>
  <c r="H627" i="5"/>
  <c r="I627" i="5" s="1"/>
  <c r="U626" i="5"/>
  <c r="S626" i="5"/>
  <c r="Q626" i="5"/>
  <c r="M626" i="5"/>
  <c r="K626" i="5"/>
  <c r="I626" i="5"/>
  <c r="H626" i="5"/>
  <c r="U625" i="5"/>
  <c r="S625" i="5"/>
  <c r="Q625" i="5"/>
  <c r="M625" i="5"/>
  <c r="K625" i="5"/>
  <c r="H625" i="5"/>
  <c r="I625" i="5" s="1"/>
  <c r="U624" i="5"/>
  <c r="S624" i="5"/>
  <c r="P624" i="5"/>
  <c r="Q624" i="5" s="1"/>
  <c r="M624" i="5"/>
  <c r="K624" i="5"/>
  <c r="H624" i="5"/>
  <c r="I624" i="5" s="1"/>
  <c r="U623" i="5"/>
  <c r="R623" i="5"/>
  <c r="S623" i="5" s="1"/>
  <c r="Q623" i="5"/>
  <c r="L623" i="5"/>
  <c r="M623" i="5" s="1"/>
  <c r="J623" i="5"/>
  <c r="K623" i="5" s="1"/>
  <c r="H623" i="5"/>
  <c r="I623" i="5" s="1"/>
  <c r="U622" i="5"/>
  <c r="S622" i="5"/>
  <c r="Q622" i="5"/>
  <c r="L622" i="5"/>
  <c r="M622" i="5" s="1"/>
  <c r="J622" i="5"/>
  <c r="K622" i="5" s="1"/>
  <c r="H622" i="5"/>
  <c r="I622" i="5" s="1"/>
  <c r="U621" i="5"/>
  <c r="S621" i="5"/>
  <c r="Q621" i="5"/>
  <c r="L621" i="5"/>
  <c r="M621" i="5" s="1"/>
  <c r="K621" i="5"/>
  <c r="H621" i="5"/>
  <c r="I621" i="5" s="1"/>
  <c r="U620" i="5"/>
  <c r="S620" i="5"/>
  <c r="Q620" i="5"/>
  <c r="N620" i="5"/>
  <c r="M620" i="5"/>
  <c r="K620" i="5"/>
  <c r="H620" i="5"/>
  <c r="I620" i="5" s="1"/>
  <c r="U619" i="5"/>
  <c r="S619" i="5"/>
  <c r="Q619" i="5"/>
  <c r="M619" i="5"/>
  <c r="K619" i="5"/>
  <c r="H619" i="5"/>
  <c r="I619" i="5" s="1"/>
  <c r="U618" i="5"/>
  <c r="S618" i="5"/>
  <c r="Q618" i="5"/>
  <c r="M618" i="5"/>
  <c r="K618" i="5"/>
  <c r="H618" i="5"/>
  <c r="I618" i="5" s="1"/>
  <c r="U617" i="5"/>
  <c r="S617" i="5"/>
  <c r="Q617" i="5"/>
  <c r="M617" i="5"/>
  <c r="K617" i="5"/>
  <c r="H617" i="5"/>
  <c r="I617" i="5" s="1"/>
  <c r="U616" i="5"/>
  <c r="R616" i="5"/>
  <c r="S616" i="5" s="1"/>
  <c r="Q616" i="5"/>
  <c r="M616" i="5"/>
  <c r="J616" i="5"/>
  <c r="K616" i="5" s="1"/>
  <c r="H616" i="5"/>
  <c r="I616" i="5" s="1"/>
  <c r="U615" i="5"/>
  <c r="S615" i="5"/>
  <c r="Q615" i="5"/>
  <c r="L615" i="5"/>
  <c r="M615" i="5" s="1"/>
  <c r="J615" i="5"/>
  <c r="K615" i="5" s="1"/>
  <c r="H615" i="5"/>
  <c r="I615" i="5" s="1"/>
  <c r="U614" i="5"/>
  <c r="S614" i="5"/>
  <c r="Q614" i="5"/>
  <c r="M614" i="5"/>
  <c r="K614" i="5"/>
  <c r="I614" i="5"/>
  <c r="H614" i="5"/>
  <c r="U613" i="5"/>
  <c r="S613" i="5"/>
  <c r="Q613" i="5"/>
  <c r="L613" i="5"/>
  <c r="M613" i="5" s="1"/>
  <c r="K613" i="5"/>
  <c r="H613" i="5"/>
  <c r="I613" i="5" s="1"/>
  <c r="U612" i="5"/>
  <c r="S612" i="5"/>
  <c r="Q612" i="5"/>
  <c r="M612" i="5"/>
  <c r="K612" i="5"/>
  <c r="H612" i="5"/>
  <c r="I612" i="5" s="1"/>
  <c r="T611" i="5"/>
  <c r="U611" i="5" s="1"/>
  <c r="S611" i="5"/>
  <c r="Q611" i="5"/>
  <c r="L611" i="5"/>
  <c r="M611" i="5" s="1"/>
  <c r="J611" i="5"/>
  <c r="K611" i="5" s="1"/>
  <c r="H611" i="5"/>
  <c r="I611" i="5" s="1"/>
  <c r="U610" i="5"/>
  <c r="S610" i="5"/>
  <c r="Q610" i="5"/>
  <c r="L610" i="5"/>
  <c r="M610" i="5" s="1"/>
  <c r="J610" i="5"/>
  <c r="K610" i="5" s="1"/>
  <c r="H610" i="5"/>
  <c r="I610" i="5" s="1"/>
  <c r="U609" i="5"/>
  <c r="S609" i="5"/>
  <c r="Q609" i="5"/>
  <c r="M609" i="5"/>
  <c r="K609" i="5"/>
  <c r="H609" i="5"/>
  <c r="I609" i="5" s="1"/>
  <c r="U608" i="5"/>
  <c r="S608" i="5"/>
  <c r="Q608" i="5"/>
  <c r="L608" i="5"/>
  <c r="M608" i="5" s="1"/>
  <c r="J608" i="5"/>
  <c r="K608" i="5" s="1"/>
  <c r="H608" i="5"/>
  <c r="I608" i="5" s="1"/>
  <c r="U607" i="5"/>
  <c r="S607" i="5"/>
  <c r="Q607" i="5"/>
  <c r="L607" i="5"/>
  <c r="M607" i="5" s="1"/>
  <c r="J607" i="5"/>
  <c r="K607" i="5" s="1"/>
  <c r="H607" i="5"/>
  <c r="I607" i="5" s="1"/>
  <c r="U606" i="5"/>
  <c r="S606" i="5"/>
  <c r="Q606" i="5"/>
  <c r="M606" i="5"/>
  <c r="K606" i="5"/>
  <c r="H606" i="5"/>
  <c r="I606" i="5" s="1"/>
  <c r="U605" i="5"/>
  <c r="R605" i="5"/>
  <c r="S605" i="5" s="1"/>
  <c r="Q605" i="5"/>
  <c r="L605" i="5"/>
  <c r="M605" i="5" s="1"/>
  <c r="J605" i="5"/>
  <c r="K605" i="5" s="1"/>
  <c r="H605" i="5"/>
  <c r="I605" i="5" s="1"/>
  <c r="T604" i="5"/>
  <c r="U604" i="5" s="1"/>
  <c r="S604" i="5"/>
  <c r="Q604" i="5"/>
  <c r="L604" i="5"/>
  <c r="M604" i="5" s="1"/>
  <c r="J604" i="5"/>
  <c r="K604" i="5" s="1"/>
  <c r="H604" i="5"/>
  <c r="I604" i="5" s="1"/>
  <c r="U603" i="5"/>
  <c r="S603" i="5"/>
  <c r="Q603" i="5"/>
  <c r="L603" i="5"/>
  <c r="M603" i="5" s="1"/>
  <c r="J603" i="5"/>
  <c r="K603" i="5" s="1"/>
  <c r="H603" i="5"/>
  <c r="I603" i="5" s="1"/>
  <c r="U602" i="5"/>
  <c r="S602" i="5"/>
  <c r="Q602" i="5"/>
  <c r="L602" i="5"/>
  <c r="M602" i="5" s="1"/>
  <c r="J602" i="5"/>
  <c r="K602" i="5" s="1"/>
  <c r="H602" i="5"/>
  <c r="I602" i="5" s="1"/>
  <c r="U601" i="5"/>
  <c r="S601" i="5"/>
  <c r="P601" i="5"/>
  <c r="Q601" i="5" s="1"/>
  <c r="M601" i="5"/>
  <c r="K601" i="5"/>
  <c r="H601" i="5"/>
  <c r="I601" i="5" s="1"/>
  <c r="U600" i="5"/>
  <c r="R600" i="5"/>
  <c r="S600" i="5" s="1"/>
  <c r="Q600" i="5"/>
  <c r="L600" i="5"/>
  <c r="M600" i="5" s="1"/>
  <c r="J600" i="5"/>
  <c r="K600" i="5" s="1"/>
  <c r="H600" i="5"/>
  <c r="I600" i="5" s="1"/>
  <c r="U599" i="5"/>
  <c r="S599" i="5"/>
  <c r="Q599" i="5"/>
  <c r="L599" i="5"/>
  <c r="M599" i="5" s="1"/>
  <c r="J599" i="5"/>
  <c r="K599" i="5" s="1"/>
  <c r="H599" i="5"/>
  <c r="I599" i="5" s="1"/>
  <c r="U598" i="5"/>
  <c r="S598" i="5"/>
  <c r="Q598" i="5"/>
  <c r="L598" i="5"/>
  <c r="M598" i="5" s="1"/>
  <c r="K598" i="5"/>
  <c r="H598" i="5"/>
  <c r="I598" i="5" s="1"/>
  <c r="U597" i="5"/>
  <c r="S597" i="5"/>
  <c r="Q597" i="5"/>
  <c r="M597" i="5"/>
  <c r="K597" i="5"/>
  <c r="H597" i="5"/>
  <c r="I597" i="5" s="1"/>
  <c r="U596" i="5"/>
  <c r="S596" i="5"/>
  <c r="Q596" i="5"/>
  <c r="L596" i="5"/>
  <c r="M596" i="5" s="1"/>
  <c r="J596" i="5"/>
  <c r="K596" i="5" s="1"/>
  <c r="H596" i="5"/>
  <c r="I596" i="5" s="1"/>
  <c r="U595" i="5"/>
  <c r="R595" i="5"/>
  <c r="S595" i="5" s="1"/>
  <c r="Q595" i="5"/>
  <c r="L595" i="5"/>
  <c r="M595" i="5" s="1"/>
  <c r="K595" i="5"/>
  <c r="J595" i="5"/>
  <c r="H595" i="5"/>
  <c r="I595" i="5" s="1"/>
  <c r="U594" i="5"/>
  <c r="S594" i="5"/>
  <c r="Q594" i="5"/>
  <c r="M594" i="5"/>
  <c r="K594" i="5"/>
  <c r="H594" i="5"/>
  <c r="I594" i="5" s="1"/>
  <c r="U593" i="5"/>
  <c r="S593" i="5"/>
  <c r="Q593" i="5"/>
  <c r="L593" i="5"/>
  <c r="M593" i="5" s="1"/>
  <c r="J593" i="5"/>
  <c r="K593" i="5" s="1"/>
  <c r="H593" i="5"/>
  <c r="I593" i="5" s="1"/>
  <c r="T592" i="5"/>
  <c r="U592" i="5" s="1"/>
  <c r="S592" i="5"/>
  <c r="Q592" i="5"/>
  <c r="L592" i="5"/>
  <c r="M592" i="5" s="1"/>
  <c r="J592" i="5"/>
  <c r="K592" i="5" s="1"/>
  <c r="H592" i="5"/>
  <c r="I592" i="5" s="1"/>
  <c r="U591" i="5"/>
  <c r="S591" i="5"/>
  <c r="Q591" i="5"/>
  <c r="M591" i="5"/>
  <c r="J591" i="5"/>
  <c r="K591" i="5" s="1"/>
  <c r="H591" i="5"/>
  <c r="I591" i="5" s="1"/>
  <c r="U590" i="5"/>
  <c r="S590" i="5"/>
  <c r="P590" i="5"/>
  <c r="Q590" i="5" s="1"/>
  <c r="N590" i="5"/>
  <c r="L590" i="5"/>
  <c r="M590" i="5" s="1"/>
  <c r="J590" i="5"/>
  <c r="K590" i="5" s="1"/>
  <c r="H590" i="5"/>
  <c r="I590" i="5" s="1"/>
  <c r="U589" i="5"/>
  <c r="S589" i="5"/>
  <c r="Q589" i="5"/>
  <c r="L589" i="5"/>
  <c r="M589" i="5" s="1"/>
  <c r="J589" i="5"/>
  <c r="K589" i="5" s="1"/>
  <c r="I589" i="5"/>
  <c r="H589" i="5"/>
  <c r="T418" i="5"/>
  <c r="U418" i="5" s="1"/>
  <c r="S418" i="5"/>
  <c r="Q418" i="5"/>
  <c r="L418" i="5"/>
  <c r="M418" i="5" s="1"/>
  <c r="J418" i="5"/>
  <c r="K418" i="5" s="1"/>
  <c r="H418" i="5"/>
  <c r="I418" i="5" s="1"/>
  <c r="U417" i="5"/>
  <c r="S417" i="5"/>
  <c r="Q417" i="5"/>
  <c r="M417" i="5"/>
  <c r="K417" i="5"/>
  <c r="H417" i="5"/>
  <c r="I417" i="5" s="1"/>
  <c r="U416" i="5"/>
  <c r="S416" i="5"/>
  <c r="Q416" i="5"/>
  <c r="L416" i="5"/>
  <c r="M416" i="5" s="1"/>
  <c r="J416" i="5"/>
  <c r="K416" i="5" s="1"/>
  <c r="H416" i="5"/>
  <c r="I416" i="5" s="1"/>
  <c r="U415" i="5"/>
  <c r="S415" i="5"/>
  <c r="Q415" i="5"/>
  <c r="M415" i="5"/>
  <c r="K415" i="5"/>
  <c r="H415" i="5"/>
  <c r="I415" i="5" s="1"/>
  <c r="U414" i="5"/>
  <c r="S414" i="5"/>
  <c r="Q414" i="5"/>
  <c r="L414" i="5"/>
  <c r="M414" i="5" s="1"/>
  <c r="J414" i="5"/>
  <c r="K414" i="5" s="1"/>
  <c r="H414" i="5"/>
  <c r="I414" i="5" s="1"/>
  <c r="U413" i="5"/>
  <c r="R413" i="5"/>
  <c r="S413" i="5" s="1"/>
  <c r="Q413" i="5"/>
  <c r="L413" i="5"/>
  <c r="M413" i="5" s="1"/>
  <c r="J413" i="5"/>
  <c r="K413" i="5" s="1"/>
  <c r="H413" i="5"/>
  <c r="I413" i="5" s="1"/>
  <c r="U412" i="5"/>
  <c r="R412" i="5"/>
  <c r="S412" i="5" s="1"/>
  <c r="Q412" i="5"/>
  <c r="M412" i="5"/>
  <c r="L412" i="5"/>
  <c r="J412" i="5"/>
  <c r="K412" i="5" s="1"/>
  <c r="H412" i="5"/>
  <c r="I412" i="5" s="1"/>
  <c r="U411" i="5"/>
  <c r="S411" i="5"/>
  <c r="Q411" i="5"/>
  <c r="M411" i="5"/>
  <c r="K411" i="5"/>
  <c r="H411" i="5"/>
  <c r="I411" i="5" s="1"/>
  <c r="U410" i="5"/>
  <c r="S410" i="5"/>
  <c r="Q410" i="5"/>
  <c r="M410" i="5"/>
  <c r="K410" i="5"/>
  <c r="H410" i="5"/>
  <c r="I410" i="5" s="1"/>
  <c r="U409" i="5"/>
  <c r="S409" i="5"/>
  <c r="Q409" i="5"/>
  <c r="M409" i="5"/>
  <c r="K409" i="5"/>
  <c r="H409" i="5"/>
  <c r="I409" i="5" s="1"/>
  <c r="U408" i="5"/>
  <c r="R408" i="5"/>
  <c r="S408" i="5" s="1"/>
  <c r="Q408" i="5"/>
  <c r="L408" i="5"/>
  <c r="M408" i="5" s="1"/>
  <c r="J408" i="5"/>
  <c r="K408" i="5" s="1"/>
  <c r="H408" i="5"/>
  <c r="I408" i="5" s="1"/>
  <c r="U407" i="5"/>
  <c r="S407" i="5"/>
  <c r="Q407" i="5"/>
  <c r="L407" i="5"/>
  <c r="M407" i="5" s="1"/>
  <c r="J407" i="5"/>
  <c r="K407" i="5" s="1"/>
  <c r="H407" i="5"/>
  <c r="I407" i="5" s="1"/>
  <c r="U406" i="5"/>
  <c r="S406" i="5"/>
  <c r="Q406" i="5"/>
  <c r="L406" i="5"/>
  <c r="M406" i="5" s="1"/>
  <c r="K406" i="5"/>
  <c r="J406" i="5"/>
  <c r="H406" i="5"/>
  <c r="I406" i="5" s="1"/>
  <c r="U405" i="5"/>
  <c r="S405" i="5"/>
  <c r="Q405" i="5"/>
  <c r="L405" i="5"/>
  <c r="M405" i="5" s="1"/>
  <c r="K405" i="5"/>
  <c r="H405" i="5"/>
  <c r="I405" i="5" s="1"/>
  <c r="U404" i="5"/>
  <c r="R404" i="5"/>
  <c r="S404" i="5" s="1"/>
  <c r="Q404" i="5"/>
  <c r="L404" i="5"/>
  <c r="M404" i="5" s="1"/>
  <c r="J404" i="5"/>
  <c r="K404" i="5" s="1"/>
  <c r="H404" i="5"/>
  <c r="I404" i="5" s="1"/>
  <c r="U403" i="5"/>
  <c r="R403" i="5"/>
  <c r="S403" i="5" s="1"/>
  <c r="Q403" i="5"/>
  <c r="L403" i="5"/>
  <c r="M403" i="5" s="1"/>
  <c r="J403" i="5"/>
  <c r="K403" i="5" s="1"/>
  <c r="H403" i="5"/>
  <c r="I403" i="5" s="1"/>
  <c r="U402" i="5"/>
  <c r="S402" i="5"/>
  <c r="Q402" i="5"/>
  <c r="M402" i="5"/>
  <c r="K402" i="5"/>
  <c r="H402" i="5"/>
  <c r="I402" i="5" s="1"/>
  <c r="U401" i="5"/>
  <c r="S401" i="5"/>
  <c r="Q401" i="5"/>
  <c r="L401" i="5"/>
  <c r="M401" i="5" s="1"/>
  <c r="K401" i="5"/>
  <c r="H401" i="5"/>
  <c r="I401" i="5" s="1"/>
  <c r="U400" i="5"/>
  <c r="R400" i="5"/>
  <c r="S400" i="5" s="1"/>
  <c r="Q400" i="5"/>
  <c r="L400" i="5"/>
  <c r="M400" i="5" s="1"/>
  <c r="K400" i="5"/>
  <c r="H400" i="5"/>
  <c r="I400" i="5" s="1"/>
  <c r="U399" i="5"/>
  <c r="R399" i="5"/>
  <c r="S399" i="5" s="1"/>
  <c r="Q399" i="5"/>
  <c r="L399" i="5"/>
  <c r="M399" i="5" s="1"/>
  <c r="J399" i="5"/>
  <c r="K399" i="5" s="1"/>
  <c r="H399" i="5"/>
  <c r="I399" i="5" s="1"/>
  <c r="U398" i="5"/>
  <c r="R398" i="5"/>
  <c r="S398" i="5" s="1"/>
  <c r="Q398" i="5"/>
  <c r="L398" i="5"/>
  <c r="M398" i="5" s="1"/>
  <c r="J398" i="5"/>
  <c r="K398" i="5" s="1"/>
  <c r="H398" i="5"/>
  <c r="I398" i="5" s="1"/>
  <c r="U397" i="5"/>
  <c r="S397" i="5"/>
  <c r="Q397" i="5"/>
  <c r="M397" i="5"/>
  <c r="K397" i="5"/>
  <c r="I397" i="5"/>
  <c r="H397" i="5"/>
  <c r="U396" i="5"/>
  <c r="R396" i="5"/>
  <c r="S396" i="5" s="1"/>
  <c r="Q396" i="5"/>
  <c r="M396" i="5"/>
  <c r="K396" i="5"/>
  <c r="H396" i="5"/>
  <c r="I396" i="5" s="1"/>
  <c r="U395" i="5"/>
  <c r="S395" i="5"/>
  <c r="Q395" i="5"/>
  <c r="M395" i="5"/>
  <c r="K395" i="5"/>
  <c r="H395" i="5"/>
  <c r="I395" i="5" s="1"/>
  <c r="U394" i="5"/>
  <c r="R394" i="5"/>
  <c r="S394" i="5" s="1"/>
  <c r="Q394" i="5"/>
  <c r="L394" i="5"/>
  <c r="M394" i="5" s="1"/>
  <c r="J394" i="5"/>
  <c r="K394" i="5" s="1"/>
  <c r="H394" i="5"/>
  <c r="I394" i="5" s="1"/>
  <c r="T393" i="5"/>
  <c r="U393" i="5" s="1"/>
  <c r="S393" i="5"/>
  <c r="Q393" i="5"/>
  <c r="L393" i="5"/>
  <c r="M393" i="5" s="1"/>
  <c r="J393" i="5"/>
  <c r="K393" i="5" s="1"/>
  <c r="H393" i="5"/>
  <c r="I393" i="5" s="1"/>
  <c r="U392" i="5"/>
  <c r="S392" i="5"/>
  <c r="Q392" i="5"/>
  <c r="L392" i="5"/>
  <c r="M392" i="5" s="1"/>
  <c r="J392" i="5"/>
  <c r="K392" i="5" s="1"/>
  <c r="H392" i="5"/>
  <c r="I392" i="5" s="1"/>
  <c r="U391" i="5"/>
  <c r="S391" i="5"/>
  <c r="Q391" i="5"/>
  <c r="M391" i="5"/>
  <c r="K391" i="5"/>
  <c r="H391" i="5"/>
  <c r="I391" i="5" s="1"/>
  <c r="U390" i="5"/>
  <c r="R390" i="5"/>
  <c r="S390" i="5" s="1"/>
  <c r="Q390" i="5"/>
  <c r="L390" i="5"/>
  <c r="M390" i="5" s="1"/>
  <c r="J390" i="5"/>
  <c r="K390" i="5" s="1"/>
  <c r="H390" i="5"/>
  <c r="I390" i="5" s="1"/>
  <c r="U389" i="5"/>
  <c r="S389" i="5"/>
  <c r="Q389" i="5"/>
  <c r="L389" i="5"/>
  <c r="M389" i="5" s="1"/>
  <c r="J389" i="5"/>
  <c r="K389" i="5" s="1"/>
  <c r="H389" i="5"/>
  <c r="I389" i="5" s="1"/>
  <c r="U388" i="5"/>
  <c r="S388" i="5"/>
  <c r="Q388" i="5"/>
  <c r="M388" i="5"/>
  <c r="K388" i="5"/>
  <c r="H388" i="5"/>
  <c r="I388" i="5" s="1"/>
  <c r="U387" i="5"/>
  <c r="S387" i="5"/>
  <c r="Q387" i="5"/>
  <c r="L387" i="5"/>
  <c r="M387" i="5" s="1"/>
  <c r="J387" i="5"/>
  <c r="K387" i="5" s="1"/>
  <c r="H387" i="5"/>
  <c r="I387" i="5" s="1"/>
  <c r="U386" i="5"/>
  <c r="R386" i="5"/>
  <c r="S386" i="5" s="1"/>
  <c r="Q386" i="5"/>
  <c r="L386" i="5"/>
  <c r="M386" i="5" s="1"/>
  <c r="J386" i="5"/>
  <c r="K386" i="5" s="1"/>
  <c r="H386" i="5"/>
  <c r="I386" i="5" s="1"/>
  <c r="U385" i="5"/>
  <c r="R385" i="5"/>
  <c r="S385" i="5" s="1"/>
  <c r="Q385" i="5"/>
  <c r="M385" i="5"/>
  <c r="L385" i="5"/>
  <c r="J385" i="5"/>
  <c r="K385" i="5" s="1"/>
  <c r="H385" i="5"/>
  <c r="I385" i="5" s="1"/>
  <c r="T384" i="5"/>
  <c r="U384" i="5" s="1"/>
  <c r="S384" i="5"/>
  <c r="Q384" i="5"/>
  <c r="L384" i="5"/>
  <c r="M384" i="5" s="1"/>
  <c r="J384" i="5"/>
  <c r="K384" i="5" s="1"/>
  <c r="H384" i="5"/>
  <c r="I384" i="5" s="1"/>
  <c r="U383" i="5"/>
  <c r="S383" i="5"/>
  <c r="Q383" i="5"/>
  <c r="M383" i="5"/>
  <c r="K383" i="5"/>
  <c r="H383" i="5"/>
  <c r="I383" i="5" s="1"/>
  <c r="U382" i="5"/>
  <c r="S382" i="5"/>
  <c r="Q382" i="5"/>
  <c r="M382" i="5"/>
  <c r="K382" i="5"/>
  <c r="H382" i="5"/>
  <c r="I382" i="5" s="1"/>
  <c r="U381" i="5"/>
  <c r="S381" i="5"/>
  <c r="Q381" i="5"/>
  <c r="N381" i="5"/>
  <c r="M381" i="5"/>
  <c r="K381" i="5"/>
  <c r="I381" i="5"/>
  <c r="H381" i="5"/>
  <c r="U380" i="5"/>
  <c r="S380" i="5"/>
  <c r="Q380" i="5"/>
  <c r="M380" i="5"/>
  <c r="J380" i="5"/>
  <c r="K380" i="5" s="1"/>
  <c r="H380" i="5"/>
  <c r="I380" i="5" s="1"/>
  <c r="U379" i="5"/>
  <c r="S379" i="5"/>
  <c r="Q379" i="5"/>
  <c r="L379" i="5"/>
  <c r="M379" i="5" s="1"/>
  <c r="J379" i="5"/>
  <c r="K379" i="5" s="1"/>
  <c r="H379" i="5"/>
  <c r="I379" i="5" s="1"/>
  <c r="U378" i="5"/>
  <c r="S378" i="5"/>
  <c r="Q378" i="5"/>
  <c r="L378" i="5"/>
  <c r="M378" i="5" s="1"/>
  <c r="K378" i="5"/>
  <c r="H378" i="5"/>
  <c r="I378" i="5" s="1"/>
  <c r="U377" i="5"/>
  <c r="S377" i="5"/>
  <c r="Q377" i="5"/>
  <c r="L377" i="5"/>
  <c r="M377" i="5" s="1"/>
  <c r="J377" i="5"/>
  <c r="K377" i="5" s="1"/>
  <c r="H377" i="5"/>
  <c r="I377" i="5" s="1"/>
  <c r="U376" i="5"/>
  <c r="S376" i="5"/>
  <c r="Q376" i="5"/>
  <c r="M376" i="5"/>
  <c r="K376" i="5"/>
  <c r="H376" i="5"/>
  <c r="I376" i="5" s="1"/>
  <c r="T375" i="5"/>
  <c r="U375" i="5" s="1"/>
  <c r="R375" i="5"/>
  <c r="S375" i="5" s="1"/>
  <c r="Q375" i="5"/>
  <c r="L375" i="5"/>
  <c r="M375" i="5" s="1"/>
  <c r="J375" i="5"/>
  <c r="K375" i="5" s="1"/>
  <c r="H375" i="5"/>
  <c r="I375" i="5" s="1"/>
  <c r="U374" i="5"/>
  <c r="S374" i="5"/>
  <c r="Q374" i="5"/>
  <c r="L374" i="5"/>
  <c r="M374" i="5" s="1"/>
  <c r="J374" i="5"/>
  <c r="K374" i="5" s="1"/>
  <c r="H374" i="5"/>
  <c r="I374" i="5" s="1"/>
  <c r="U373" i="5"/>
  <c r="R373" i="5"/>
  <c r="S373" i="5" s="1"/>
  <c r="Q373" i="5"/>
  <c r="L373" i="5"/>
  <c r="M373" i="5" s="1"/>
  <c r="J373" i="5"/>
  <c r="K373" i="5" s="1"/>
  <c r="H373" i="5"/>
  <c r="I373" i="5" s="1"/>
  <c r="U372" i="5"/>
  <c r="S372" i="5"/>
  <c r="Q372" i="5"/>
  <c r="L372" i="5"/>
  <c r="M372" i="5" s="1"/>
  <c r="J372" i="5"/>
  <c r="K372" i="5" s="1"/>
  <c r="H372" i="5"/>
  <c r="I372" i="5" s="1"/>
  <c r="U371" i="5"/>
  <c r="S371" i="5"/>
  <c r="Q371" i="5"/>
  <c r="L371" i="5"/>
  <c r="M371" i="5" s="1"/>
  <c r="J371" i="5"/>
  <c r="K371" i="5" s="1"/>
  <c r="H371" i="5"/>
  <c r="I371" i="5" s="1"/>
  <c r="T370" i="5"/>
  <c r="U370" i="5" s="1"/>
  <c r="S370" i="5"/>
  <c r="Q370" i="5"/>
  <c r="L370" i="5"/>
  <c r="M370" i="5" s="1"/>
  <c r="J370" i="5"/>
  <c r="K370" i="5" s="1"/>
  <c r="H370" i="5"/>
  <c r="I370" i="5" s="1"/>
  <c r="T369" i="5"/>
  <c r="U369" i="5" s="1"/>
  <c r="R369" i="5"/>
  <c r="S369" i="5" s="1"/>
  <c r="Q369" i="5"/>
  <c r="L369" i="5"/>
  <c r="M369" i="5" s="1"/>
  <c r="J369" i="5"/>
  <c r="K369" i="5" s="1"/>
  <c r="H369" i="5"/>
  <c r="I369" i="5" s="1"/>
  <c r="U368" i="5"/>
  <c r="S368" i="5"/>
  <c r="R368" i="5"/>
  <c r="Q368" i="5"/>
  <c r="L368" i="5"/>
  <c r="M368" i="5" s="1"/>
  <c r="J368" i="5"/>
  <c r="K368" i="5" s="1"/>
  <c r="I368" i="5"/>
  <c r="H368" i="5"/>
  <c r="T367" i="5"/>
  <c r="U367" i="5" s="1"/>
  <c r="S367" i="5"/>
  <c r="Q367" i="5"/>
  <c r="L367" i="5"/>
  <c r="M367" i="5" s="1"/>
  <c r="J367" i="5"/>
  <c r="K367" i="5" s="1"/>
  <c r="H367" i="5"/>
  <c r="I367" i="5" s="1"/>
  <c r="U366" i="5"/>
  <c r="S366" i="5"/>
  <c r="Q366" i="5"/>
  <c r="M366" i="5"/>
  <c r="K366" i="5"/>
  <c r="H366" i="5"/>
  <c r="I366" i="5" s="1"/>
  <c r="U365" i="5"/>
  <c r="R365" i="5"/>
  <c r="S365" i="5" s="1"/>
  <c r="Q365" i="5"/>
  <c r="M365" i="5"/>
  <c r="L365" i="5"/>
  <c r="J365" i="5"/>
  <c r="K365" i="5" s="1"/>
  <c r="H365" i="5"/>
  <c r="I365" i="5" s="1"/>
  <c r="U364" i="5"/>
  <c r="S364" i="5"/>
  <c r="Q364" i="5"/>
  <c r="L364" i="5"/>
  <c r="M364" i="5" s="1"/>
  <c r="J364" i="5"/>
  <c r="K364" i="5" s="1"/>
  <c r="I364" i="5"/>
  <c r="H364" i="5"/>
  <c r="T363" i="5"/>
  <c r="U363" i="5" s="1"/>
  <c r="S363" i="5"/>
  <c r="Q363" i="5"/>
  <c r="L363" i="5"/>
  <c r="M363" i="5" s="1"/>
  <c r="J363" i="5"/>
  <c r="K363" i="5" s="1"/>
  <c r="H363" i="5"/>
  <c r="I363" i="5" s="1"/>
  <c r="U362" i="5"/>
  <c r="S362" i="5"/>
  <c r="Q362" i="5"/>
  <c r="M362" i="5"/>
  <c r="J362" i="5"/>
  <c r="K362" i="5" s="1"/>
  <c r="H362" i="5"/>
  <c r="I362" i="5" s="1"/>
  <c r="U361" i="5"/>
  <c r="S361" i="5"/>
  <c r="Q361" i="5"/>
  <c r="M361" i="5"/>
  <c r="J361" i="5"/>
  <c r="K361" i="5" s="1"/>
  <c r="H361" i="5"/>
  <c r="I361" i="5" s="1"/>
  <c r="U360" i="5"/>
  <c r="S360" i="5"/>
  <c r="Q360" i="5"/>
  <c r="M360" i="5"/>
  <c r="J360" i="5"/>
  <c r="K360" i="5" s="1"/>
  <c r="H360" i="5"/>
  <c r="I360" i="5" s="1"/>
  <c r="U359" i="5"/>
  <c r="R359" i="5"/>
  <c r="S359" i="5" s="1"/>
  <c r="Q359" i="5"/>
  <c r="L359" i="5"/>
  <c r="M359" i="5" s="1"/>
  <c r="J359" i="5"/>
  <c r="K359" i="5" s="1"/>
  <c r="H359" i="5"/>
  <c r="I359" i="5" s="1"/>
  <c r="U358" i="5"/>
  <c r="S358" i="5"/>
  <c r="Q358" i="5"/>
  <c r="L358" i="5"/>
  <c r="M358" i="5" s="1"/>
  <c r="J358" i="5"/>
  <c r="K358" i="5" s="1"/>
  <c r="H358" i="5"/>
  <c r="I358" i="5" s="1"/>
  <c r="U357" i="5"/>
  <c r="S357" i="5"/>
  <c r="Q357" i="5"/>
  <c r="L357" i="5"/>
  <c r="M357" i="5" s="1"/>
  <c r="J357" i="5"/>
  <c r="K357" i="5" s="1"/>
  <c r="H357" i="5"/>
  <c r="I357" i="5" s="1"/>
  <c r="T356" i="5"/>
  <c r="U356" i="5" s="1"/>
  <c r="S356" i="5"/>
  <c r="Q356" i="5"/>
  <c r="L356" i="5"/>
  <c r="M356" i="5" s="1"/>
  <c r="J356" i="5"/>
  <c r="K356" i="5" s="1"/>
  <c r="H356" i="5"/>
  <c r="I356" i="5" s="1"/>
  <c r="U355" i="5"/>
  <c r="R355" i="5"/>
  <c r="S355" i="5" s="1"/>
  <c r="Q355" i="5"/>
  <c r="L355" i="5"/>
  <c r="M355" i="5" s="1"/>
  <c r="J355" i="5"/>
  <c r="K355" i="5" s="1"/>
  <c r="H355" i="5"/>
  <c r="I355" i="5" s="1"/>
  <c r="U354" i="5"/>
  <c r="S354" i="5"/>
  <c r="Q354" i="5"/>
  <c r="N354" i="5"/>
  <c r="M354" i="5"/>
  <c r="K354" i="5"/>
  <c r="H354" i="5"/>
  <c r="I354" i="5" s="1"/>
  <c r="U353" i="5"/>
  <c r="S353" i="5"/>
  <c r="Q353" i="5"/>
  <c r="M353" i="5"/>
  <c r="K353" i="5"/>
  <c r="H353" i="5"/>
  <c r="I353" i="5" s="1"/>
  <c r="U352" i="5"/>
  <c r="S352" i="5"/>
  <c r="Q352" i="5"/>
  <c r="N352" i="5"/>
  <c r="M352" i="5"/>
  <c r="J352" i="5"/>
  <c r="K352" i="5" s="1"/>
  <c r="H352" i="5"/>
  <c r="I352" i="5" s="1"/>
  <c r="U351" i="5"/>
  <c r="S351" i="5"/>
  <c r="Q351" i="5"/>
  <c r="M351" i="5"/>
  <c r="J351" i="5"/>
  <c r="K351" i="5" s="1"/>
  <c r="H351" i="5"/>
  <c r="I351" i="5" s="1"/>
  <c r="U350" i="5"/>
  <c r="S350" i="5"/>
  <c r="P350" i="5"/>
  <c r="Q350" i="5" s="1"/>
  <c r="N350" i="5"/>
  <c r="M350" i="5"/>
  <c r="K350" i="5"/>
  <c r="H350" i="5"/>
  <c r="I350" i="5" s="1"/>
  <c r="U349" i="5"/>
  <c r="R349" i="5"/>
  <c r="S349" i="5" s="1"/>
  <c r="Q349" i="5"/>
  <c r="L349" i="5"/>
  <c r="M349" i="5" s="1"/>
  <c r="J349" i="5"/>
  <c r="K349" i="5" s="1"/>
  <c r="H349" i="5"/>
  <c r="I349" i="5" s="1"/>
  <c r="T348" i="5"/>
  <c r="U348" i="5" s="1"/>
  <c r="R348" i="5"/>
  <c r="S348" i="5" s="1"/>
  <c r="Q348" i="5"/>
  <c r="M348" i="5"/>
  <c r="L348" i="5"/>
  <c r="J348" i="5"/>
  <c r="K348" i="5" s="1"/>
  <c r="H348" i="5"/>
  <c r="I348" i="5" s="1"/>
  <c r="U347" i="5"/>
  <c r="S347" i="5"/>
  <c r="Q347" i="5"/>
  <c r="M347" i="5"/>
  <c r="K347" i="5"/>
  <c r="H347" i="5"/>
  <c r="I347" i="5" s="1"/>
  <c r="U346" i="5"/>
  <c r="S346" i="5"/>
  <c r="Q346" i="5"/>
  <c r="M346" i="5"/>
  <c r="K346" i="5"/>
  <c r="H346" i="5"/>
  <c r="I346" i="5" s="1"/>
  <c r="U345" i="5"/>
  <c r="S345" i="5"/>
  <c r="Q345" i="5"/>
  <c r="N345" i="5"/>
  <c r="L345" i="5"/>
  <c r="M345" i="5" s="1"/>
  <c r="J345" i="5"/>
  <c r="K345" i="5" s="1"/>
  <c r="H345" i="5"/>
  <c r="I345" i="5" s="1"/>
  <c r="U344" i="5"/>
  <c r="S344" i="5"/>
  <c r="Q344" i="5"/>
  <c r="N344" i="5"/>
  <c r="L344" i="5"/>
  <c r="M344" i="5" s="1"/>
  <c r="J344" i="5"/>
  <c r="K344" i="5" s="1"/>
  <c r="H344" i="5"/>
  <c r="I344" i="5" s="1"/>
  <c r="U343" i="5"/>
  <c r="S343" i="5"/>
  <c r="R343" i="5"/>
  <c r="Q343" i="5"/>
  <c r="L343" i="5"/>
  <c r="M343" i="5" s="1"/>
  <c r="J343" i="5"/>
  <c r="K343" i="5" s="1"/>
  <c r="H343" i="5"/>
  <c r="I343" i="5" s="1"/>
  <c r="U342" i="5"/>
  <c r="S342" i="5"/>
  <c r="Q342" i="5"/>
  <c r="M342" i="5"/>
  <c r="K342" i="5"/>
  <c r="H342" i="5"/>
  <c r="I342" i="5" s="1"/>
  <c r="T341" i="5"/>
  <c r="U341" i="5" s="1"/>
  <c r="S341" i="5"/>
  <c r="Q341" i="5"/>
  <c r="L341" i="5"/>
  <c r="M341" i="5" s="1"/>
  <c r="J341" i="5"/>
  <c r="K341" i="5" s="1"/>
  <c r="H341" i="5"/>
  <c r="I341" i="5" s="1"/>
  <c r="U340" i="5"/>
  <c r="S340" i="5"/>
  <c r="Q340" i="5"/>
  <c r="L340" i="5"/>
  <c r="M340" i="5" s="1"/>
  <c r="J340" i="5"/>
  <c r="K340" i="5" s="1"/>
  <c r="H340" i="5"/>
  <c r="I340" i="5" s="1"/>
  <c r="U339" i="5"/>
  <c r="S339" i="5"/>
  <c r="Q339" i="5"/>
  <c r="M339" i="5"/>
  <c r="K339" i="5"/>
  <c r="H339" i="5"/>
  <c r="I339" i="5" s="1"/>
  <c r="U338" i="5"/>
  <c r="S338" i="5"/>
  <c r="Q338" i="5"/>
  <c r="L338" i="5"/>
  <c r="M338" i="5" s="1"/>
  <c r="J338" i="5"/>
  <c r="K338" i="5" s="1"/>
  <c r="H338" i="5"/>
  <c r="I338" i="5" s="1"/>
  <c r="U337" i="5"/>
  <c r="S337" i="5"/>
  <c r="Q337" i="5"/>
  <c r="L337" i="5"/>
  <c r="M337" i="5" s="1"/>
  <c r="J337" i="5"/>
  <c r="K337" i="5" s="1"/>
  <c r="H337" i="5"/>
  <c r="I337" i="5" s="1"/>
  <c r="U336" i="5"/>
  <c r="S336" i="5"/>
  <c r="Q336" i="5"/>
  <c r="M336" i="5"/>
  <c r="K336" i="5"/>
  <c r="H336" i="5"/>
  <c r="I336" i="5" s="1"/>
  <c r="U335" i="5"/>
  <c r="S335" i="5"/>
  <c r="Q335" i="5"/>
  <c r="M335" i="5"/>
  <c r="K335" i="5"/>
  <c r="H335" i="5"/>
  <c r="I335" i="5" s="1"/>
  <c r="T334" i="5"/>
  <c r="U334" i="5" s="1"/>
  <c r="S334" i="5"/>
  <c r="Q334" i="5"/>
  <c r="L334" i="5"/>
  <c r="M334" i="5" s="1"/>
  <c r="J334" i="5"/>
  <c r="K334" i="5" s="1"/>
  <c r="H334" i="5"/>
  <c r="I334" i="5" s="1"/>
  <c r="U333" i="5"/>
  <c r="S333" i="5"/>
  <c r="Q333" i="5"/>
  <c r="M333" i="5"/>
  <c r="K333" i="5"/>
  <c r="H333" i="5"/>
  <c r="I333" i="5" s="1"/>
  <c r="U332" i="5"/>
  <c r="R332" i="5"/>
  <c r="S332" i="5" s="1"/>
  <c r="Q332" i="5"/>
  <c r="L332" i="5"/>
  <c r="M332" i="5" s="1"/>
  <c r="J332" i="5"/>
  <c r="K332" i="5" s="1"/>
  <c r="H332" i="5"/>
  <c r="I332" i="5" s="1"/>
  <c r="U331" i="5"/>
  <c r="S331" i="5"/>
  <c r="Q331" i="5"/>
  <c r="M331" i="5"/>
  <c r="K331" i="5"/>
  <c r="H331" i="5"/>
  <c r="I331" i="5" s="1"/>
  <c r="U330" i="5"/>
  <c r="S330" i="5"/>
  <c r="Q330" i="5"/>
  <c r="N330" i="5"/>
  <c r="M330" i="5"/>
  <c r="J330" i="5"/>
  <c r="K330" i="5" s="1"/>
  <c r="H330" i="5"/>
  <c r="I330" i="5" s="1"/>
  <c r="U329" i="5"/>
  <c r="S329" i="5"/>
  <c r="Q329" i="5"/>
  <c r="L329" i="5"/>
  <c r="M329" i="5" s="1"/>
  <c r="J329" i="5"/>
  <c r="K329" i="5" s="1"/>
  <c r="H329" i="5"/>
  <c r="I329" i="5" s="1"/>
  <c r="U328" i="5"/>
  <c r="S328" i="5"/>
  <c r="Q328" i="5"/>
  <c r="M328" i="5"/>
  <c r="K328" i="5"/>
  <c r="H328" i="5"/>
  <c r="I328" i="5" s="1"/>
  <c r="U327" i="5"/>
  <c r="R327" i="5"/>
  <c r="S327" i="5" s="1"/>
  <c r="Q327" i="5"/>
  <c r="L327" i="5"/>
  <c r="M327" i="5" s="1"/>
  <c r="J327" i="5"/>
  <c r="K327" i="5" s="1"/>
  <c r="H327" i="5"/>
  <c r="I327" i="5" s="1"/>
  <c r="U326" i="5"/>
  <c r="S326" i="5"/>
  <c r="Q326" i="5"/>
  <c r="L326" i="5"/>
  <c r="M326" i="5" s="1"/>
  <c r="K326" i="5"/>
  <c r="H326" i="5"/>
  <c r="I326" i="5" s="1"/>
  <c r="U325" i="5"/>
  <c r="S325" i="5"/>
  <c r="Q325" i="5"/>
  <c r="M325" i="5"/>
  <c r="J325" i="5"/>
  <c r="K325" i="5" s="1"/>
  <c r="H325" i="5"/>
  <c r="I325" i="5" s="1"/>
  <c r="U324" i="5"/>
  <c r="S324" i="5"/>
  <c r="Q324" i="5"/>
  <c r="L324" i="5"/>
  <c r="M324" i="5" s="1"/>
  <c r="J324" i="5"/>
  <c r="K324" i="5" s="1"/>
  <c r="H324" i="5"/>
  <c r="I324" i="5" s="1"/>
  <c r="U323" i="5"/>
  <c r="R323" i="5"/>
  <c r="S323" i="5" s="1"/>
  <c r="Q323" i="5"/>
  <c r="L323" i="5"/>
  <c r="M323" i="5" s="1"/>
  <c r="J323" i="5"/>
  <c r="K323" i="5" s="1"/>
  <c r="H323" i="5"/>
  <c r="I323" i="5" s="1"/>
  <c r="U322" i="5"/>
  <c r="S322" i="5"/>
  <c r="Q322" i="5"/>
  <c r="L322" i="5"/>
  <c r="M322" i="5" s="1"/>
  <c r="J322" i="5"/>
  <c r="K322" i="5" s="1"/>
  <c r="H322" i="5"/>
  <c r="I322" i="5" s="1"/>
  <c r="U321" i="5"/>
  <c r="S321" i="5"/>
  <c r="Q321" i="5"/>
  <c r="L321" i="5"/>
  <c r="M321" i="5" s="1"/>
  <c r="K321" i="5"/>
  <c r="H321" i="5"/>
  <c r="I321" i="5" s="1"/>
  <c r="U320" i="5"/>
  <c r="S320" i="5"/>
  <c r="Q320" i="5"/>
  <c r="M320" i="5"/>
  <c r="J320" i="5"/>
  <c r="K320" i="5" s="1"/>
  <c r="H320" i="5"/>
  <c r="I320" i="5" s="1"/>
  <c r="U319" i="5"/>
  <c r="R319" i="5"/>
  <c r="S319" i="5" s="1"/>
  <c r="Q319" i="5"/>
  <c r="L319" i="5"/>
  <c r="M319" i="5" s="1"/>
  <c r="J319" i="5"/>
  <c r="K319" i="5" s="1"/>
  <c r="H319" i="5"/>
  <c r="I319" i="5" s="1"/>
  <c r="T318" i="5"/>
  <c r="U318" i="5" s="1"/>
  <c r="S318" i="5"/>
  <c r="Q318" i="5"/>
  <c r="L318" i="5"/>
  <c r="M318" i="5" s="1"/>
  <c r="J318" i="5"/>
  <c r="K318" i="5" s="1"/>
  <c r="H318" i="5"/>
  <c r="I318" i="5" s="1"/>
  <c r="U317" i="5"/>
  <c r="S317" i="5"/>
  <c r="Q317" i="5"/>
  <c r="L317" i="5"/>
  <c r="M317" i="5" s="1"/>
  <c r="J317" i="5"/>
  <c r="K317" i="5" s="1"/>
  <c r="I317" i="5"/>
  <c r="H317" i="5"/>
  <c r="U316" i="5"/>
  <c r="S316" i="5"/>
  <c r="Q316" i="5"/>
  <c r="M316" i="5"/>
  <c r="J316" i="5"/>
  <c r="K316" i="5" s="1"/>
  <c r="H316" i="5"/>
  <c r="I316" i="5" s="1"/>
  <c r="U315" i="5"/>
  <c r="S315" i="5"/>
  <c r="Q315" i="5"/>
  <c r="M315" i="5"/>
  <c r="K315" i="5"/>
  <c r="I315" i="5"/>
  <c r="H315" i="5"/>
  <c r="U314" i="5"/>
  <c r="R314" i="5"/>
  <c r="S314" i="5" s="1"/>
  <c r="Q314" i="5"/>
  <c r="L314" i="5"/>
  <c r="M314" i="5" s="1"/>
  <c r="J314" i="5"/>
  <c r="K314" i="5" s="1"/>
  <c r="H314" i="5"/>
  <c r="I314" i="5" s="1"/>
  <c r="T313" i="5"/>
  <c r="U313" i="5" s="1"/>
  <c r="S313" i="5"/>
  <c r="Q313" i="5"/>
  <c r="L313" i="5"/>
  <c r="M313" i="5" s="1"/>
  <c r="J313" i="5"/>
  <c r="K313" i="5" s="1"/>
  <c r="H313" i="5"/>
  <c r="I313" i="5" s="1"/>
  <c r="U312" i="5"/>
  <c r="S312" i="5"/>
  <c r="Q312" i="5"/>
  <c r="L312" i="5"/>
  <c r="M312" i="5" s="1"/>
  <c r="J312" i="5"/>
  <c r="K312" i="5" s="1"/>
  <c r="H312" i="5"/>
  <c r="I312" i="5" s="1"/>
  <c r="U311" i="5"/>
  <c r="S311" i="5"/>
  <c r="Q311" i="5"/>
  <c r="M311" i="5"/>
  <c r="J311" i="5"/>
  <c r="K311" i="5" s="1"/>
  <c r="I311" i="5"/>
  <c r="H311" i="5"/>
  <c r="U310" i="5"/>
  <c r="R310" i="5"/>
  <c r="S310" i="5" s="1"/>
  <c r="Q310" i="5"/>
  <c r="M310" i="5"/>
  <c r="J310" i="5"/>
  <c r="K310" i="5" s="1"/>
  <c r="H310" i="5"/>
  <c r="I310" i="5" s="1"/>
  <c r="T309" i="5"/>
  <c r="U309" i="5" s="1"/>
  <c r="S309" i="5"/>
  <c r="Q309" i="5"/>
  <c r="L309" i="5"/>
  <c r="M309" i="5" s="1"/>
  <c r="J309" i="5"/>
  <c r="K309" i="5" s="1"/>
  <c r="H309" i="5"/>
  <c r="I309" i="5" s="1"/>
  <c r="U308" i="5"/>
  <c r="S308" i="5"/>
  <c r="Q308" i="5"/>
  <c r="M308" i="5"/>
  <c r="K308" i="5"/>
  <c r="H308" i="5"/>
  <c r="I308" i="5" s="1"/>
  <c r="U307" i="5"/>
  <c r="S307" i="5"/>
  <c r="Q307" i="5"/>
  <c r="M307" i="5"/>
  <c r="K307" i="5"/>
  <c r="H307" i="5"/>
  <c r="I307" i="5" s="1"/>
  <c r="T306" i="5"/>
  <c r="U306" i="5" s="1"/>
  <c r="S306" i="5"/>
  <c r="Q306" i="5"/>
  <c r="L306" i="5"/>
  <c r="M306" i="5" s="1"/>
  <c r="J306" i="5"/>
  <c r="K306" i="5" s="1"/>
  <c r="H306" i="5"/>
  <c r="I306" i="5" s="1"/>
  <c r="U305" i="5"/>
  <c r="S305" i="5"/>
  <c r="Q305" i="5"/>
  <c r="L305" i="5"/>
  <c r="M305" i="5" s="1"/>
  <c r="J305" i="5"/>
  <c r="K305" i="5" s="1"/>
  <c r="I305" i="5"/>
  <c r="H305" i="5"/>
  <c r="U304" i="5"/>
  <c r="S304" i="5"/>
  <c r="Q304" i="5"/>
  <c r="L304" i="5"/>
  <c r="M304" i="5" s="1"/>
  <c r="K304" i="5"/>
  <c r="H304" i="5"/>
  <c r="I304" i="5" s="1"/>
  <c r="T303" i="5"/>
  <c r="U303" i="5" s="1"/>
  <c r="S303" i="5"/>
  <c r="Q303" i="5"/>
  <c r="L303" i="5"/>
  <c r="M303" i="5" s="1"/>
  <c r="J303" i="5"/>
  <c r="K303" i="5" s="1"/>
  <c r="H303" i="5"/>
  <c r="I303" i="5" s="1"/>
  <c r="T302" i="5"/>
  <c r="U302" i="5" s="1"/>
  <c r="S302" i="5"/>
  <c r="Q302" i="5"/>
  <c r="L302" i="5"/>
  <c r="M302" i="5" s="1"/>
  <c r="J302" i="5"/>
  <c r="K302" i="5" s="1"/>
  <c r="H302" i="5"/>
  <c r="I302" i="5" s="1"/>
  <c r="U301" i="5"/>
  <c r="R301" i="5"/>
  <c r="S301" i="5" s="1"/>
  <c r="Q301" i="5"/>
  <c r="L301" i="5"/>
  <c r="M301" i="5" s="1"/>
  <c r="J301" i="5"/>
  <c r="K301" i="5" s="1"/>
  <c r="H301" i="5"/>
  <c r="I301" i="5" s="1"/>
  <c r="U300" i="5"/>
  <c r="S300" i="5"/>
  <c r="Q300" i="5"/>
  <c r="M300" i="5"/>
  <c r="K300" i="5"/>
  <c r="H300" i="5"/>
  <c r="I300" i="5" s="1"/>
  <c r="U299" i="5"/>
  <c r="S299" i="5"/>
  <c r="Q299" i="5"/>
  <c r="M299" i="5"/>
  <c r="K299" i="5"/>
  <c r="H299" i="5"/>
  <c r="I299" i="5" s="1"/>
  <c r="U298" i="5"/>
  <c r="S298" i="5"/>
  <c r="Q298" i="5"/>
  <c r="M298" i="5"/>
  <c r="K298" i="5"/>
  <c r="H298" i="5"/>
  <c r="I298" i="5" s="1"/>
  <c r="U297" i="5"/>
  <c r="S297" i="5"/>
  <c r="Q297" i="5"/>
  <c r="M297" i="5"/>
  <c r="K297" i="5"/>
  <c r="H297" i="5"/>
  <c r="I297" i="5" s="1"/>
  <c r="U296" i="5"/>
  <c r="S296" i="5"/>
  <c r="Q296" i="5"/>
  <c r="M296" i="5"/>
  <c r="K296" i="5"/>
  <c r="H296" i="5"/>
  <c r="I296" i="5" s="1"/>
  <c r="U295" i="5"/>
  <c r="S295" i="5"/>
  <c r="Q295" i="5"/>
  <c r="M295" i="5"/>
  <c r="K295" i="5"/>
  <c r="H295" i="5"/>
  <c r="I295" i="5" s="1"/>
  <c r="R372" i="4"/>
  <c r="S372" i="4"/>
  <c r="R367" i="4"/>
  <c r="S367" i="4"/>
  <c r="R3" i="4"/>
  <c r="S3" i="4"/>
  <c r="R4" i="4"/>
  <c r="S4" i="4"/>
  <c r="R5" i="4"/>
  <c r="S5" i="4"/>
  <c r="S6" i="4"/>
  <c r="R7" i="4"/>
  <c r="S7" i="4"/>
  <c r="R8" i="4"/>
  <c r="S8" i="4"/>
  <c r="R9" i="4"/>
  <c r="S9" i="4"/>
  <c r="S10" i="4"/>
  <c r="R11" i="4"/>
  <c r="S11" i="4"/>
  <c r="R12" i="4"/>
  <c r="S12" i="4"/>
  <c r="R13" i="4"/>
  <c r="S13" i="4"/>
  <c r="R14" i="4"/>
  <c r="S14" i="4"/>
  <c r="R15" i="4"/>
  <c r="S15" i="4"/>
  <c r="R16" i="4"/>
  <c r="S16" i="4"/>
  <c r="R18" i="4"/>
  <c r="S18" i="4"/>
  <c r="S19" i="4"/>
  <c r="R20" i="4"/>
  <c r="S20" i="4"/>
  <c r="R21" i="4"/>
  <c r="R23" i="4"/>
  <c r="S23" i="4"/>
  <c r="S24" i="4"/>
  <c r="R25" i="4"/>
  <c r="S25" i="4"/>
  <c r="R26" i="4"/>
  <c r="S26" i="4"/>
  <c r="R28" i="4"/>
  <c r="S28" i="4"/>
  <c r="R29" i="4"/>
  <c r="S29" i="4"/>
  <c r="S30" i="4"/>
  <c r="R31" i="4"/>
  <c r="S31" i="4"/>
  <c r="R32" i="4"/>
  <c r="S32" i="4"/>
  <c r="S34" i="4"/>
  <c r="R35" i="4"/>
  <c r="S35" i="4"/>
  <c r="R37" i="4"/>
  <c r="R38" i="4"/>
  <c r="S38" i="4"/>
  <c r="R39" i="4"/>
  <c r="S39" i="4"/>
  <c r="R40" i="4"/>
  <c r="S40" i="4"/>
  <c r="R41" i="4"/>
  <c r="R42" i="4"/>
  <c r="S42" i="4"/>
  <c r="S43" i="4"/>
  <c r="R44" i="4"/>
  <c r="S44" i="4"/>
  <c r="S45" i="4"/>
  <c r="R46" i="4"/>
  <c r="S46" i="4"/>
  <c r="R47" i="4"/>
  <c r="S47" i="4"/>
  <c r="R49" i="4"/>
  <c r="S49" i="4"/>
  <c r="R50" i="4"/>
  <c r="R51" i="4"/>
  <c r="S51" i="4"/>
  <c r="S52" i="4"/>
  <c r="R53" i="4"/>
  <c r="R54" i="4"/>
  <c r="S54" i="4"/>
  <c r="R55" i="4"/>
  <c r="R56" i="4"/>
  <c r="S56" i="4"/>
  <c r="R57" i="4"/>
  <c r="S57" i="4"/>
  <c r="S58" i="4"/>
  <c r="S59" i="4"/>
  <c r="R60" i="4"/>
  <c r="S60" i="4"/>
  <c r="R61" i="4"/>
  <c r="S61" i="4"/>
  <c r="R62" i="4"/>
  <c r="R63" i="4"/>
  <c r="S63" i="4"/>
  <c r="S65" i="4"/>
  <c r="R66" i="4"/>
  <c r="S66" i="4"/>
  <c r="R67" i="4"/>
  <c r="S67" i="4"/>
  <c r="R68" i="4"/>
  <c r="R69" i="4"/>
  <c r="S69" i="4"/>
  <c r="R70" i="4"/>
  <c r="S70" i="4"/>
  <c r="S71" i="4"/>
  <c r="R72" i="4"/>
  <c r="S72" i="4"/>
  <c r="R73" i="4"/>
  <c r="S73" i="4"/>
  <c r="R76" i="4"/>
  <c r="S76" i="4"/>
  <c r="R77" i="4"/>
  <c r="S77" i="4"/>
  <c r="R78" i="4"/>
  <c r="S78" i="4"/>
  <c r="R79" i="4"/>
  <c r="S79" i="4"/>
  <c r="R81" i="4"/>
  <c r="R82" i="4"/>
  <c r="S82" i="4"/>
  <c r="R83" i="4"/>
  <c r="S83" i="4"/>
  <c r="R84" i="4"/>
  <c r="S84" i="4"/>
  <c r="R85" i="4"/>
  <c r="S85" i="4"/>
  <c r="R86" i="4"/>
  <c r="S86" i="4"/>
  <c r="R88" i="4"/>
  <c r="R89" i="4"/>
  <c r="S89" i="4"/>
  <c r="R91" i="4"/>
  <c r="R95" i="4"/>
  <c r="S98" i="4"/>
  <c r="R101" i="4"/>
  <c r="S101" i="4"/>
  <c r="R102" i="4"/>
  <c r="S104" i="4"/>
  <c r="R105" i="4"/>
  <c r="S105" i="4"/>
  <c r="R108" i="4"/>
  <c r="S108" i="4"/>
  <c r="R109" i="4"/>
  <c r="S109" i="4"/>
  <c r="R110" i="4"/>
  <c r="R112" i="4"/>
  <c r="S112" i="4"/>
  <c r="R113" i="4"/>
  <c r="S114" i="4"/>
  <c r="R115" i="4"/>
  <c r="S115" i="4"/>
  <c r="R117" i="4"/>
  <c r="S117" i="4"/>
  <c r="S119" i="4"/>
  <c r="R120" i="4"/>
  <c r="S120" i="4"/>
  <c r="S121" i="4"/>
  <c r="S122" i="4"/>
  <c r="R123" i="4"/>
  <c r="R124" i="4"/>
  <c r="S124" i="4"/>
  <c r="S127" i="4"/>
  <c r="R128" i="4"/>
  <c r="S128" i="4"/>
  <c r="S129" i="4"/>
  <c r="S131" i="4"/>
  <c r="R133" i="4"/>
  <c r="S135" i="4"/>
  <c r="S136" i="4"/>
  <c r="S139" i="4"/>
  <c r="R145" i="4"/>
  <c r="R146" i="4"/>
  <c r="S146" i="4"/>
  <c r="R148" i="4"/>
  <c r="S149" i="4"/>
  <c r="R152" i="4"/>
  <c r="S153" i="4"/>
  <c r="S156" i="4"/>
  <c r="S157" i="4"/>
  <c r="R159" i="4"/>
  <c r="S159" i="4"/>
  <c r="R160" i="4"/>
  <c r="S160" i="4"/>
  <c r="R161" i="4"/>
  <c r="S161" i="4"/>
  <c r="R162" i="4"/>
  <c r="S162" i="4"/>
  <c r="R163" i="4"/>
  <c r="S163" i="4"/>
  <c r="R164" i="4"/>
  <c r="S164" i="4"/>
  <c r="R165" i="4"/>
  <c r="S165" i="4"/>
  <c r="R166" i="4"/>
  <c r="S166" i="4"/>
  <c r="S167" i="4"/>
  <c r="S168" i="4"/>
  <c r="R169" i="4"/>
  <c r="S169" i="4"/>
  <c r="S170" i="4"/>
  <c r="R171" i="4"/>
  <c r="S171" i="4"/>
  <c r="R172" i="4"/>
  <c r="S172" i="4"/>
  <c r="R175" i="4"/>
  <c r="R176" i="4"/>
  <c r="S176" i="4"/>
  <c r="R177" i="4"/>
  <c r="S178" i="4"/>
  <c r="S180" i="4"/>
  <c r="S181" i="4"/>
  <c r="R182" i="4"/>
  <c r="S183" i="4"/>
  <c r="R184" i="4"/>
  <c r="S184" i="4"/>
  <c r="R185" i="4"/>
  <c r="R186" i="4"/>
  <c r="S186" i="4"/>
  <c r="R187" i="4"/>
  <c r="R188" i="4"/>
  <c r="S188" i="4"/>
  <c r="R189" i="4"/>
  <c r="S189" i="4"/>
  <c r="S190" i="4"/>
  <c r="R191" i="4"/>
  <c r="S191" i="4"/>
  <c r="R192" i="4"/>
  <c r="S192" i="4"/>
  <c r="R193" i="4"/>
  <c r="S193" i="4"/>
  <c r="R196" i="4"/>
  <c r="S196" i="4"/>
  <c r="R197" i="4"/>
  <c r="S197" i="4"/>
  <c r="R198" i="4"/>
  <c r="S198" i="4"/>
  <c r="S199" i="4"/>
  <c r="S200" i="4"/>
  <c r="R201" i="4"/>
  <c r="S201" i="4"/>
  <c r="R202" i="4"/>
  <c r="S202" i="4"/>
  <c r="S203" i="4"/>
  <c r="R204" i="4"/>
  <c r="S204" i="4"/>
  <c r="R205" i="4"/>
  <c r="S205" i="4"/>
  <c r="R206" i="4"/>
  <c r="S206" i="4"/>
  <c r="R207" i="4"/>
  <c r="S207" i="4"/>
  <c r="R208" i="4"/>
  <c r="S208" i="4"/>
  <c r="R209" i="4"/>
  <c r="S209" i="4"/>
  <c r="R210" i="4"/>
  <c r="S210" i="4"/>
  <c r="S211" i="4"/>
  <c r="R212" i="4"/>
  <c r="S212" i="4"/>
  <c r="R213" i="4"/>
  <c r="S213" i="4"/>
  <c r="R214" i="4"/>
  <c r="S214" i="4"/>
  <c r="R215" i="4"/>
  <c r="S215" i="4"/>
  <c r="R216" i="4"/>
  <c r="R217" i="4"/>
  <c r="S217" i="4"/>
  <c r="R218" i="4"/>
  <c r="S218" i="4"/>
  <c r="S219" i="4"/>
  <c r="R220" i="4"/>
  <c r="S220" i="4"/>
  <c r="R221" i="4"/>
  <c r="S221" i="4"/>
  <c r="S222" i="4"/>
  <c r="R223" i="4"/>
  <c r="S223" i="4"/>
  <c r="R224" i="4"/>
  <c r="S224" i="4"/>
  <c r="S225" i="4"/>
  <c r="R227" i="4"/>
  <c r="S227" i="4"/>
  <c r="R228" i="4"/>
  <c r="S228" i="4"/>
  <c r="R229" i="4"/>
  <c r="S229" i="4"/>
  <c r="S231" i="4"/>
  <c r="R232" i="4"/>
  <c r="R233" i="4"/>
  <c r="R234" i="4"/>
  <c r="R235" i="4"/>
  <c r="S235" i="4"/>
  <c r="R237" i="4"/>
  <c r="S237" i="4"/>
  <c r="R238" i="4"/>
  <c r="S238" i="4"/>
  <c r="R239" i="4"/>
  <c r="S239" i="4"/>
  <c r="R240" i="4"/>
  <c r="S240" i="4"/>
  <c r="S247" i="4"/>
  <c r="S249" i="4"/>
  <c r="S250" i="4"/>
  <c r="R253" i="4"/>
  <c r="S254" i="4"/>
  <c r="R255" i="4"/>
  <c r="S255" i="4"/>
  <c r="R256" i="4"/>
  <c r="S256" i="4"/>
  <c r="R257" i="4"/>
  <c r="S260" i="4"/>
  <c r="S261" i="4"/>
  <c r="R262" i="4"/>
  <c r="S262" i="4"/>
  <c r="R263" i="4"/>
  <c r="S263" i="4"/>
  <c r="R265" i="4"/>
  <c r="R266" i="4"/>
  <c r="S266" i="4"/>
  <c r="R267" i="4"/>
  <c r="S267" i="4"/>
  <c r="R268" i="4"/>
  <c r="S268" i="4"/>
  <c r="R269" i="4"/>
  <c r="S269" i="4"/>
  <c r="R270" i="4"/>
  <c r="S270" i="4"/>
  <c r="S272" i="4"/>
  <c r="R273" i="4"/>
  <c r="R274" i="4"/>
  <c r="S275" i="4"/>
  <c r="R276" i="4"/>
  <c r="S276" i="4"/>
  <c r="R277" i="4"/>
  <c r="S277" i="4"/>
  <c r="R278" i="4"/>
  <c r="S278" i="4"/>
  <c r="R279" i="4"/>
  <c r="S279" i="4"/>
  <c r="R280" i="4"/>
  <c r="S280" i="4"/>
  <c r="R281" i="4"/>
  <c r="S281" i="4"/>
  <c r="R282" i="4"/>
  <c r="S282" i="4"/>
  <c r="R283" i="4"/>
  <c r="S283" i="4"/>
  <c r="R284" i="4"/>
  <c r="S284" i="4"/>
  <c r="R285" i="4"/>
  <c r="S285" i="4"/>
  <c r="R286" i="4"/>
  <c r="S286" i="4"/>
  <c r="R287" i="4"/>
  <c r="S287" i="4"/>
  <c r="R288" i="4"/>
  <c r="S288" i="4"/>
  <c r="S289" i="4"/>
  <c r="R290" i="4"/>
  <c r="S290" i="4"/>
  <c r="S291" i="4"/>
  <c r="R292" i="4"/>
  <c r="S292" i="4"/>
  <c r="S293" i="4"/>
  <c r="R294" i="4"/>
  <c r="S294" i="4"/>
  <c r="R295" i="4"/>
  <c r="S295" i="4"/>
  <c r="R296" i="4"/>
  <c r="S296" i="4"/>
  <c r="R297" i="4"/>
  <c r="S297" i="4"/>
  <c r="R298" i="4"/>
  <c r="S298" i="4"/>
  <c r="R299" i="4"/>
  <c r="S299" i="4"/>
  <c r="R300" i="4"/>
  <c r="S300" i="4"/>
  <c r="R301" i="4"/>
  <c r="S301" i="4"/>
  <c r="R302" i="4"/>
  <c r="S302" i="4"/>
  <c r="R303" i="4"/>
  <c r="S303" i="4"/>
  <c r="S304" i="4"/>
  <c r="R305" i="4"/>
  <c r="S305" i="4"/>
  <c r="S306" i="4"/>
  <c r="S307" i="4"/>
  <c r="R308" i="4"/>
  <c r="S308" i="4"/>
  <c r="R310" i="4"/>
  <c r="S310" i="4"/>
  <c r="S311" i="4"/>
  <c r="R312" i="4"/>
  <c r="S312" i="4"/>
  <c r="R313" i="4"/>
  <c r="S313" i="4"/>
  <c r="S314" i="4"/>
  <c r="R315" i="4"/>
  <c r="S315" i="4"/>
  <c r="S316" i="4"/>
  <c r="S317" i="4"/>
  <c r="S319" i="4"/>
  <c r="S322" i="4"/>
  <c r="S323" i="4"/>
  <c r="R324" i="4"/>
  <c r="S324" i="4"/>
  <c r="R327" i="4"/>
  <c r="S327" i="4"/>
  <c r="S332" i="4"/>
  <c r="S333" i="4"/>
  <c r="R334" i="4"/>
  <c r="S334" i="4"/>
  <c r="R335" i="4"/>
  <c r="S335" i="4"/>
  <c r="R336" i="4"/>
  <c r="S336" i="4"/>
  <c r="R337" i="4"/>
  <c r="S337" i="4"/>
  <c r="R338" i="4"/>
  <c r="S338" i="4"/>
  <c r="R339" i="4"/>
  <c r="S339" i="4"/>
  <c r="R340" i="4"/>
  <c r="R343" i="4"/>
  <c r="R344" i="4"/>
  <c r="S344" i="4"/>
  <c r="R345" i="4"/>
  <c r="S345" i="4"/>
  <c r="S346" i="4"/>
  <c r="R351" i="4"/>
  <c r="S351" i="4"/>
  <c r="R354" i="4"/>
  <c r="R355" i="4"/>
  <c r="S355" i="4"/>
  <c r="R356" i="4"/>
  <c r="S356" i="4"/>
  <c r="R357" i="4"/>
  <c r="S357" i="4"/>
  <c r="R358" i="4"/>
  <c r="S358" i="4"/>
  <c r="R359" i="4"/>
  <c r="S359" i="4"/>
  <c r="R360" i="4"/>
  <c r="S360" i="4"/>
  <c r="R361" i="4"/>
  <c r="S361" i="4"/>
  <c r="R362" i="4"/>
  <c r="S362" i="4"/>
  <c r="S363" i="4"/>
  <c r="S364" i="4"/>
  <c r="R366" i="4"/>
  <c r="S366" i="4"/>
  <c r="S368" i="4"/>
  <c r="S369" i="4"/>
  <c r="S370" i="4"/>
  <c r="R371" i="4"/>
  <c r="S371" i="4"/>
  <c r="S373" i="4"/>
  <c r="S374" i="4"/>
  <c r="S375" i="4"/>
  <c r="S376" i="4"/>
  <c r="R377" i="4"/>
  <c r="S377" i="4"/>
  <c r="S378" i="4"/>
  <c r="S379" i="4"/>
  <c r="S380" i="4"/>
  <c r="R381" i="4"/>
  <c r="S381" i="4"/>
  <c r="R382" i="4"/>
  <c r="S382" i="4"/>
  <c r="R383" i="4"/>
  <c r="R384" i="4"/>
  <c r="S385" i="4"/>
  <c r="S386" i="4"/>
  <c r="S2" i="4"/>
  <c r="J236" i="4"/>
  <c r="J248" i="4"/>
  <c r="J271" i="4"/>
  <c r="M384" i="4"/>
  <c r="G384" i="4"/>
  <c r="O383" i="4"/>
  <c r="M383" i="4"/>
  <c r="G383" i="4"/>
  <c r="O365" i="4"/>
  <c r="M365" i="4"/>
  <c r="G365" i="4"/>
  <c r="Q354" i="4"/>
  <c r="M354" i="4"/>
  <c r="G354" i="4"/>
  <c r="O353" i="4"/>
  <c r="M353" i="4"/>
  <c r="G353" i="4"/>
  <c r="O352" i="4"/>
  <c r="M352" i="4"/>
  <c r="G352" i="4"/>
  <c r="O350" i="4"/>
  <c r="M350" i="4"/>
  <c r="G350" i="4"/>
  <c r="O349" i="4"/>
  <c r="M349" i="4"/>
  <c r="G349" i="4"/>
  <c r="O348" i="4"/>
  <c r="M348" i="4"/>
  <c r="G348" i="4"/>
  <c r="O347" i="4"/>
  <c r="M347" i="4"/>
  <c r="G347" i="4"/>
  <c r="O343" i="4"/>
  <c r="M343" i="4"/>
  <c r="G343" i="4"/>
  <c r="O342" i="4"/>
  <c r="M342" i="4"/>
  <c r="G342" i="4"/>
  <c r="O341" i="4"/>
  <c r="S341" i="4" s="1"/>
  <c r="Q340" i="4"/>
  <c r="O340" i="4"/>
  <c r="O331" i="4"/>
  <c r="M331" i="4"/>
  <c r="G331" i="4"/>
  <c r="O330" i="4"/>
  <c r="M330" i="4"/>
  <c r="G330" i="4"/>
  <c r="O329" i="4"/>
  <c r="M329" i="4"/>
  <c r="G329" i="4"/>
  <c r="O328" i="4"/>
  <c r="M328" i="4"/>
  <c r="G328" i="4"/>
  <c r="O326" i="4"/>
  <c r="S326" i="4" s="1"/>
  <c r="O325" i="4"/>
  <c r="M325" i="4"/>
  <c r="G325" i="4"/>
  <c r="O321" i="4"/>
  <c r="S321" i="4" s="1"/>
  <c r="O320" i="4"/>
  <c r="M320" i="4"/>
  <c r="M318" i="4"/>
  <c r="G318" i="4"/>
  <c r="O309" i="4"/>
  <c r="M309" i="4"/>
  <c r="G309" i="4"/>
  <c r="M274" i="4"/>
  <c r="S274" i="4" s="1"/>
  <c r="M273" i="4"/>
  <c r="S273" i="4" s="1"/>
  <c r="O271" i="4"/>
  <c r="M271" i="4"/>
  <c r="G271" i="4"/>
  <c r="O265" i="4"/>
  <c r="M265" i="4"/>
  <c r="G265" i="4"/>
  <c r="O264" i="4"/>
  <c r="M264" i="4"/>
  <c r="G264" i="4"/>
  <c r="M259" i="4"/>
  <c r="S259" i="4" s="1"/>
  <c r="O258" i="4"/>
  <c r="M258" i="4"/>
  <c r="K258" i="4"/>
  <c r="G258" i="4"/>
  <c r="O257" i="4"/>
  <c r="M257" i="4"/>
  <c r="G257" i="4"/>
  <c r="M253" i="4"/>
  <c r="S253" i="4" s="1"/>
  <c r="O252" i="4"/>
  <c r="M252" i="4"/>
  <c r="G252" i="4"/>
  <c r="O251" i="4"/>
  <c r="M251" i="4"/>
  <c r="G251" i="4"/>
  <c r="O248" i="4"/>
  <c r="M248" i="4"/>
  <c r="K248" i="4"/>
  <c r="G248" i="4"/>
  <c r="O246" i="4"/>
  <c r="M246" i="4"/>
  <c r="G246" i="4"/>
  <c r="O245" i="4"/>
  <c r="S245" i="4" s="1"/>
  <c r="O244" i="4"/>
  <c r="S244" i="4" s="1"/>
  <c r="O243" i="4"/>
  <c r="S243" i="4" s="1"/>
  <c r="O242" i="4"/>
  <c r="S242" i="4" s="1"/>
  <c r="O241" i="4"/>
  <c r="M241" i="4"/>
  <c r="G241" i="4"/>
  <c r="O236" i="4"/>
  <c r="M236" i="4"/>
  <c r="G236" i="4"/>
  <c r="M234" i="4"/>
  <c r="S234" i="4" s="1"/>
  <c r="M233" i="4"/>
  <c r="S233" i="4" s="1"/>
  <c r="G232" i="4"/>
  <c r="S232" i="4" s="1"/>
  <c r="Q230" i="4"/>
  <c r="S230" i="4" s="1"/>
  <c r="Q226" i="4"/>
  <c r="S226" i="4" s="1"/>
  <c r="Q216" i="4"/>
  <c r="S216" i="4" s="1"/>
  <c r="O195" i="4"/>
  <c r="M195" i="4"/>
  <c r="G195" i="4"/>
  <c r="O194" i="4"/>
  <c r="G194" i="4"/>
  <c r="E194" i="4"/>
  <c r="Q187" i="4"/>
  <c r="O187" i="4"/>
  <c r="M187" i="4"/>
  <c r="G187" i="4"/>
  <c r="E187" i="4"/>
  <c r="O185" i="4"/>
  <c r="M185" i="4"/>
  <c r="G185" i="4"/>
  <c r="O182" i="4"/>
  <c r="M182" i="4"/>
  <c r="G182" i="4"/>
  <c r="E182" i="4"/>
  <c r="O179" i="4"/>
  <c r="M179" i="4"/>
  <c r="G179" i="4"/>
  <c r="E179" i="4"/>
  <c r="O177" i="4"/>
  <c r="M177" i="4"/>
  <c r="G177" i="4"/>
  <c r="E177" i="4"/>
  <c r="O175" i="4"/>
  <c r="M175" i="4"/>
  <c r="G175" i="4"/>
  <c r="E175" i="4"/>
  <c r="M174" i="4"/>
  <c r="G174" i="4"/>
  <c r="Q173" i="4"/>
  <c r="O173" i="4"/>
  <c r="M173" i="4"/>
  <c r="G173" i="4"/>
  <c r="E173" i="4"/>
  <c r="E158" i="4"/>
  <c r="S158" i="4" s="1"/>
  <c r="O155" i="4"/>
  <c r="M155" i="4"/>
  <c r="G155" i="4"/>
  <c r="E155" i="4"/>
  <c r="O154" i="4"/>
  <c r="M154" i="4"/>
  <c r="G154" i="4"/>
  <c r="E154" i="4"/>
  <c r="O152" i="4"/>
  <c r="M152" i="4"/>
  <c r="G152" i="4"/>
  <c r="E152" i="4"/>
  <c r="O151" i="4"/>
  <c r="M151" i="4"/>
  <c r="G151" i="4"/>
  <c r="E151" i="4"/>
  <c r="O150" i="4"/>
  <c r="M150" i="4"/>
  <c r="G150" i="4"/>
  <c r="E150" i="4"/>
  <c r="O148" i="4"/>
  <c r="M148" i="4"/>
  <c r="G148" i="4"/>
  <c r="E148" i="4"/>
  <c r="O147" i="4"/>
  <c r="M147" i="4"/>
  <c r="G147" i="4"/>
  <c r="E147" i="4"/>
  <c r="O145" i="4"/>
  <c r="M145" i="4"/>
  <c r="G145" i="4"/>
  <c r="E145" i="4"/>
  <c r="O144" i="4"/>
  <c r="M144" i="4"/>
  <c r="G144" i="4"/>
  <c r="E144" i="4"/>
  <c r="O143" i="4"/>
  <c r="M143" i="4"/>
  <c r="G143" i="4"/>
  <c r="E143" i="4"/>
  <c r="O142" i="4"/>
  <c r="M142" i="4"/>
  <c r="G142" i="4"/>
  <c r="E142" i="4"/>
  <c r="O141" i="4"/>
  <c r="M141" i="4"/>
  <c r="G141" i="4"/>
  <c r="E141" i="4"/>
  <c r="Q140" i="4"/>
  <c r="O140" i="4"/>
  <c r="M140" i="4"/>
  <c r="G140" i="4"/>
  <c r="E140" i="4"/>
  <c r="O138" i="4"/>
  <c r="M138" i="4"/>
  <c r="G138" i="4"/>
  <c r="E138" i="4"/>
  <c r="O137" i="4"/>
  <c r="M137" i="4"/>
  <c r="G137" i="4"/>
  <c r="E137" i="4"/>
  <c r="O134" i="4"/>
  <c r="M134" i="4"/>
  <c r="G134" i="4"/>
  <c r="E134" i="4"/>
  <c r="Q133" i="4"/>
  <c r="O133" i="4"/>
  <c r="M133" i="4"/>
  <c r="G133" i="4"/>
  <c r="E133" i="4"/>
  <c r="O132" i="4"/>
  <c r="M132" i="4"/>
  <c r="G132" i="4"/>
  <c r="E132" i="4"/>
  <c r="O130" i="4"/>
  <c r="M130" i="4"/>
  <c r="G130" i="4"/>
  <c r="E130" i="4"/>
  <c r="O126" i="4"/>
  <c r="M126" i="4"/>
  <c r="G126" i="4"/>
  <c r="E126" i="4"/>
  <c r="O125" i="4"/>
  <c r="M125" i="4"/>
  <c r="G125" i="4"/>
  <c r="E125" i="4"/>
  <c r="O123" i="4"/>
  <c r="M123" i="4"/>
  <c r="G123" i="4"/>
  <c r="E123" i="4"/>
  <c r="O118" i="4"/>
  <c r="M118" i="4"/>
  <c r="G118" i="4"/>
  <c r="E118" i="4"/>
  <c r="O116" i="4"/>
  <c r="M116" i="4"/>
  <c r="G116" i="4"/>
  <c r="E116" i="4"/>
  <c r="O113" i="4"/>
  <c r="M113" i="4"/>
  <c r="G113" i="4"/>
  <c r="E113" i="4"/>
  <c r="O111" i="4"/>
  <c r="M111" i="4"/>
  <c r="G111" i="4"/>
  <c r="E111" i="4"/>
  <c r="O110" i="4"/>
  <c r="M110" i="4"/>
  <c r="G110" i="4"/>
  <c r="E110" i="4"/>
  <c r="O107" i="4"/>
  <c r="M107" i="4"/>
  <c r="G107" i="4"/>
  <c r="E107" i="4"/>
  <c r="O106" i="4"/>
  <c r="M106" i="4"/>
  <c r="I106" i="4"/>
  <c r="G106" i="4"/>
  <c r="O103" i="4"/>
  <c r="M103" i="4"/>
  <c r="G103" i="4"/>
  <c r="E103" i="4"/>
  <c r="Q102" i="4"/>
  <c r="O102" i="4"/>
  <c r="M102" i="4"/>
  <c r="G102" i="4"/>
  <c r="E102" i="4"/>
  <c r="Q100" i="4"/>
  <c r="O100" i="4"/>
  <c r="M100" i="4"/>
  <c r="G100" i="4"/>
  <c r="E100" i="4"/>
  <c r="O99" i="4"/>
  <c r="M99" i="4"/>
  <c r="G99" i="4"/>
  <c r="E99" i="4"/>
  <c r="O97" i="4"/>
  <c r="M97" i="4"/>
  <c r="G97" i="4"/>
  <c r="E97" i="4"/>
  <c r="O96" i="4"/>
  <c r="M96" i="4"/>
  <c r="G96" i="4"/>
  <c r="E96" i="4"/>
  <c r="O95" i="4"/>
  <c r="M95" i="4"/>
  <c r="G95" i="4"/>
  <c r="E95" i="4"/>
  <c r="O94" i="4"/>
  <c r="M94" i="4"/>
  <c r="G94" i="4"/>
  <c r="E94" i="4"/>
  <c r="O93" i="4"/>
  <c r="M93" i="4"/>
  <c r="G93" i="4"/>
  <c r="E93" i="4"/>
  <c r="Q92" i="4"/>
  <c r="O92" i="4"/>
  <c r="M92" i="4"/>
  <c r="G92" i="4"/>
  <c r="E92" i="4"/>
  <c r="O91" i="4"/>
  <c r="M91" i="4"/>
  <c r="G91" i="4"/>
  <c r="E91" i="4"/>
  <c r="O90" i="4"/>
  <c r="M90" i="4"/>
  <c r="G90" i="4"/>
  <c r="E90" i="4"/>
  <c r="O88" i="4"/>
  <c r="M88" i="4"/>
  <c r="G88" i="4"/>
  <c r="E88" i="4"/>
  <c r="Q87" i="4"/>
  <c r="O87" i="4"/>
  <c r="M87" i="4"/>
  <c r="G87" i="4"/>
  <c r="E87" i="4"/>
  <c r="M81" i="4"/>
  <c r="G81" i="4"/>
  <c r="E81" i="4"/>
  <c r="O80" i="4"/>
  <c r="M80" i="4"/>
  <c r="G80" i="4"/>
  <c r="Q75" i="4"/>
  <c r="O75" i="4"/>
  <c r="M75" i="4"/>
  <c r="G75" i="4"/>
  <c r="E75" i="4"/>
  <c r="O74" i="4"/>
  <c r="M74" i="4"/>
  <c r="G74" i="4"/>
  <c r="O68" i="4"/>
  <c r="M68" i="4"/>
  <c r="G68" i="4"/>
  <c r="E68" i="4"/>
  <c r="O64" i="4"/>
  <c r="M64" i="4"/>
  <c r="G64" i="4"/>
  <c r="E64" i="4"/>
  <c r="Q62" i="4"/>
  <c r="O62" i="4"/>
  <c r="M62" i="4"/>
  <c r="G62" i="4"/>
  <c r="E62" i="4"/>
  <c r="Q55" i="4"/>
  <c r="O55" i="4"/>
  <c r="M55" i="4"/>
  <c r="G55" i="4"/>
  <c r="E55" i="4"/>
  <c r="Q53" i="4"/>
  <c r="S53" i="4" s="1"/>
  <c r="O50" i="4"/>
  <c r="M50" i="4"/>
  <c r="G50" i="4"/>
  <c r="E50" i="4"/>
  <c r="M48" i="4"/>
  <c r="G48" i="4"/>
  <c r="E48" i="4"/>
  <c r="O41" i="4"/>
  <c r="M41" i="4"/>
  <c r="G41" i="4"/>
  <c r="E41" i="4"/>
  <c r="G37" i="4"/>
  <c r="S37" i="4" s="1"/>
  <c r="E36" i="4"/>
  <c r="S36" i="4" s="1"/>
  <c r="Q33" i="4"/>
  <c r="O33" i="4"/>
  <c r="M33" i="4"/>
  <c r="G33" i="4"/>
  <c r="E33" i="4"/>
  <c r="Q27" i="4"/>
  <c r="O27" i="4"/>
  <c r="M27" i="4"/>
  <c r="G27" i="4"/>
  <c r="E27" i="4"/>
  <c r="O22" i="4"/>
  <c r="M22" i="4"/>
  <c r="I22" i="4"/>
  <c r="G22" i="4"/>
  <c r="E22" i="4"/>
  <c r="Q21" i="4"/>
  <c r="S21" i="4" s="1"/>
  <c r="O17" i="4"/>
  <c r="M17" i="4"/>
  <c r="G17" i="4"/>
  <c r="N386" i="4"/>
  <c r="R386" i="4" s="1"/>
  <c r="N385" i="4"/>
  <c r="R385" i="4" s="1"/>
  <c r="N380" i="4"/>
  <c r="R380" i="4" s="1"/>
  <c r="N379" i="4"/>
  <c r="R379" i="4" s="1"/>
  <c r="L378" i="4"/>
  <c r="R378" i="4" s="1"/>
  <c r="N376" i="4"/>
  <c r="R376" i="4" s="1"/>
  <c r="N375" i="4"/>
  <c r="L375" i="4"/>
  <c r="R375" i="4" s="1"/>
  <c r="N374" i="4"/>
  <c r="R374" i="4" s="1"/>
  <c r="N373" i="4"/>
  <c r="L373" i="4"/>
  <c r="F373" i="4"/>
  <c r="N370" i="4"/>
  <c r="R370" i="4" s="1"/>
  <c r="N369" i="4"/>
  <c r="R369" i="4" s="1"/>
  <c r="N368" i="4"/>
  <c r="R368" i="4" s="1"/>
  <c r="N365" i="4"/>
  <c r="L365" i="4"/>
  <c r="F365" i="4"/>
  <c r="N364" i="4"/>
  <c r="L364" i="4"/>
  <c r="F364" i="4"/>
  <c r="N363" i="4"/>
  <c r="R363" i="4" s="1"/>
  <c r="N353" i="4"/>
  <c r="R353" i="4" s="1"/>
  <c r="N352" i="4"/>
  <c r="R352" i="4" s="1"/>
  <c r="N350" i="4"/>
  <c r="R350" i="4" s="1"/>
  <c r="N349" i="4"/>
  <c r="L349" i="4"/>
  <c r="F349" i="4"/>
  <c r="L348" i="4"/>
  <c r="R348" i="4" s="1"/>
  <c r="N347" i="4"/>
  <c r="L347" i="4"/>
  <c r="F347" i="4"/>
  <c r="N346" i="4"/>
  <c r="R346" i="4" s="1"/>
  <c r="N342" i="4"/>
  <c r="L342" i="4"/>
  <c r="N341" i="4"/>
  <c r="R341" i="4" s="1"/>
  <c r="N333" i="4"/>
  <c r="R333" i="4" s="1"/>
  <c r="N332" i="4"/>
  <c r="R332" i="4" s="1"/>
  <c r="N331" i="4"/>
  <c r="L331" i="4"/>
  <c r="F331" i="4"/>
  <c r="N330" i="4"/>
  <c r="R330" i="4" s="1"/>
  <c r="N329" i="4"/>
  <c r="R329" i="4" s="1"/>
  <c r="N328" i="4"/>
  <c r="R328" i="4" s="1"/>
  <c r="N326" i="4"/>
  <c r="R326" i="4" s="1"/>
  <c r="N325" i="4"/>
  <c r="F325" i="4"/>
  <c r="N323" i="4"/>
  <c r="L323" i="4"/>
  <c r="F323" i="4"/>
  <c r="N322" i="4"/>
  <c r="R322" i="4" s="1"/>
  <c r="N321" i="4"/>
  <c r="R321" i="4" s="1"/>
  <c r="N320" i="4"/>
  <c r="L320" i="4"/>
  <c r="N319" i="4"/>
  <c r="R319" i="4" s="1"/>
  <c r="N318" i="4"/>
  <c r="L318" i="4"/>
  <c r="N317" i="4"/>
  <c r="R317" i="4" s="1"/>
  <c r="N316" i="4"/>
  <c r="R316" i="4" s="1"/>
  <c r="N314" i="4"/>
  <c r="R314" i="4" s="1"/>
  <c r="N311" i="4"/>
  <c r="L311" i="4"/>
  <c r="N309" i="4"/>
  <c r="L309" i="4"/>
  <c r="N307" i="4"/>
  <c r="R307" i="4" s="1"/>
  <c r="N306" i="4"/>
  <c r="R306" i="4" s="1"/>
  <c r="N304" i="4"/>
  <c r="L304" i="4"/>
  <c r="F304" i="4"/>
  <c r="N293" i="4"/>
  <c r="R293" i="4" s="1"/>
  <c r="F291" i="4"/>
  <c r="R291" i="4" s="1"/>
  <c r="F289" i="4"/>
  <c r="R289" i="4" s="1"/>
  <c r="N275" i="4"/>
  <c r="R275" i="4" s="1"/>
  <c r="N272" i="4"/>
  <c r="R272" i="4" s="1"/>
  <c r="N271" i="4"/>
  <c r="L271" i="4"/>
  <c r="F271" i="4"/>
  <c r="N264" i="4"/>
  <c r="L264" i="4"/>
  <c r="F264" i="4"/>
  <c r="N261" i="4"/>
  <c r="F261" i="4"/>
  <c r="N260" i="4"/>
  <c r="F260" i="4"/>
  <c r="N259" i="4"/>
  <c r="R259" i="4" s="1"/>
  <c r="N258" i="4"/>
  <c r="F258" i="4"/>
  <c r="N254" i="4"/>
  <c r="L254" i="4"/>
  <c r="F254" i="4"/>
  <c r="N252" i="4"/>
  <c r="R252" i="4" s="1"/>
  <c r="N251" i="4"/>
  <c r="L251" i="4"/>
  <c r="F251" i="4"/>
  <c r="N250" i="4"/>
  <c r="R250" i="4" s="1"/>
  <c r="N249" i="4"/>
  <c r="R249" i="4" s="1"/>
  <c r="N248" i="4"/>
  <c r="L248" i="4"/>
  <c r="F248" i="4"/>
  <c r="N247" i="4"/>
  <c r="L247" i="4"/>
  <c r="N246" i="4"/>
  <c r="L246" i="4"/>
  <c r="F246" i="4"/>
  <c r="N245" i="4"/>
  <c r="R245" i="4" s="1"/>
  <c r="N244" i="4"/>
  <c r="R244" i="4" s="1"/>
  <c r="N243" i="4"/>
  <c r="R243" i="4" s="1"/>
  <c r="N242" i="4"/>
  <c r="R242" i="4" s="1"/>
  <c r="N241" i="4"/>
  <c r="R241" i="4" s="1"/>
  <c r="N236" i="4"/>
  <c r="L236" i="4"/>
  <c r="F236" i="4"/>
  <c r="L231" i="4"/>
  <c r="R231" i="4" s="1"/>
  <c r="L230" i="4"/>
  <c r="R230" i="4" s="1"/>
  <c r="L226" i="4"/>
  <c r="R226" i="4" s="1"/>
  <c r="L225" i="4"/>
  <c r="R225" i="4" s="1"/>
  <c r="L222" i="4"/>
  <c r="R222" i="4" s="1"/>
  <c r="N219" i="4"/>
  <c r="R219" i="4" s="1"/>
  <c r="P211" i="4"/>
  <c r="R211" i="4" s="1"/>
  <c r="N203" i="4"/>
  <c r="R203" i="4" s="1"/>
  <c r="N200" i="4"/>
  <c r="R200" i="4" s="1"/>
  <c r="N199" i="4"/>
  <c r="R199" i="4" s="1"/>
  <c r="N195" i="4"/>
  <c r="L195" i="4"/>
  <c r="F195" i="4"/>
  <c r="D194" i="4"/>
  <c r="R194" i="4" s="1"/>
  <c r="P190" i="4"/>
  <c r="N190" i="4"/>
  <c r="L190" i="4"/>
  <c r="D183" i="4"/>
  <c r="R183" i="4" s="1"/>
  <c r="N181" i="4"/>
  <c r="L181" i="4"/>
  <c r="F181" i="4"/>
  <c r="D181" i="4"/>
  <c r="D180" i="4"/>
  <c r="R180" i="4" s="1"/>
  <c r="P179" i="4"/>
  <c r="D179" i="4"/>
  <c r="D178" i="4"/>
  <c r="R178" i="4" s="1"/>
  <c r="N174" i="4"/>
  <c r="L174" i="4"/>
  <c r="F174" i="4"/>
  <c r="D173" i="4"/>
  <c r="R173" i="4" s="1"/>
  <c r="D170" i="4"/>
  <c r="R170" i="4" s="1"/>
  <c r="N168" i="4"/>
  <c r="L168" i="4"/>
  <c r="F168" i="4"/>
  <c r="P167" i="4"/>
  <c r="R167" i="4" s="1"/>
  <c r="D158" i="4"/>
  <c r="R158" i="4" s="1"/>
  <c r="D157" i="4"/>
  <c r="R157" i="4" s="1"/>
  <c r="D156" i="4"/>
  <c r="R156" i="4" s="1"/>
  <c r="D155" i="4"/>
  <c r="R155" i="4" s="1"/>
  <c r="D154" i="4"/>
  <c r="R154" i="4" s="1"/>
  <c r="N153" i="4"/>
  <c r="L153" i="4"/>
  <c r="F153" i="4"/>
  <c r="D151" i="4"/>
  <c r="R151" i="4" s="1"/>
  <c r="D150" i="4"/>
  <c r="R150" i="4" s="1"/>
  <c r="D149" i="4"/>
  <c r="R149" i="4" s="1"/>
  <c r="D147" i="4"/>
  <c r="R147" i="4" s="1"/>
  <c r="D144" i="4"/>
  <c r="R144" i="4" s="1"/>
  <c r="D143" i="4"/>
  <c r="R143" i="4" s="1"/>
  <c r="N142" i="4"/>
  <c r="L142" i="4"/>
  <c r="F142" i="4"/>
  <c r="D142" i="4"/>
  <c r="D141" i="4"/>
  <c r="R141" i="4" s="1"/>
  <c r="P140" i="4"/>
  <c r="R140" i="4" s="1"/>
  <c r="F139" i="4"/>
  <c r="D139" i="4"/>
  <c r="N138" i="4"/>
  <c r="L138" i="4"/>
  <c r="F138" i="4"/>
  <c r="D138" i="4"/>
  <c r="L137" i="4"/>
  <c r="F137" i="4"/>
  <c r="D137" i="4"/>
  <c r="D136" i="4"/>
  <c r="R136" i="4" s="1"/>
  <c r="D135" i="4"/>
  <c r="R135" i="4" s="1"/>
  <c r="D134" i="4"/>
  <c r="R134" i="4" s="1"/>
  <c r="N132" i="4"/>
  <c r="L132" i="4"/>
  <c r="F132" i="4"/>
  <c r="D132" i="4"/>
  <c r="D131" i="4"/>
  <c r="R131" i="4" s="1"/>
  <c r="D130" i="4"/>
  <c r="R130" i="4" s="1"/>
  <c r="N129" i="4"/>
  <c r="L129" i="4"/>
  <c r="F129" i="4"/>
  <c r="D129" i="4"/>
  <c r="D127" i="4"/>
  <c r="R127" i="4" s="1"/>
  <c r="D126" i="4"/>
  <c r="R126" i="4" s="1"/>
  <c r="D125" i="4"/>
  <c r="R125" i="4" s="1"/>
  <c r="N122" i="4"/>
  <c r="L122" i="4"/>
  <c r="F122" i="4"/>
  <c r="D122" i="4"/>
  <c r="D121" i="4"/>
  <c r="R121" i="4" s="1"/>
  <c r="D119" i="4"/>
  <c r="R119" i="4" s="1"/>
  <c r="D118" i="4"/>
  <c r="R118" i="4" s="1"/>
  <c r="D116" i="4"/>
  <c r="R116" i="4" s="1"/>
  <c r="D114" i="4"/>
  <c r="R114" i="4" s="1"/>
  <c r="D111" i="4"/>
  <c r="R111" i="4" s="1"/>
  <c r="D107" i="4"/>
  <c r="R107" i="4" s="1"/>
  <c r="N106" i="4"/>
  <c r="L106" i="4"/>
  <c r="H106" i="4"/>
  <c r="F106" i="4"/>
  <c r="D104" i="4"/>
  <c r="R104" i="4" s="1"/>
  <c r="D103" i="4"/>
  <c r="R103" i="4" s="1"/>
  <c r="N100" i="4"/>
  <c r="L100" i="4"/>
  <c r="F100" i="4"/>
  <c r="D100" i="4"/>
  <c r="D99" i="4"/>
  <c r="R99" i="4" s="1"/>
  <c r="D98" i="4"/>
  <c r="R98" i="4" s="1"/>
  <c r="D97" i="4"/>
  <c r="R97" i="4" s="1"/>
  <c r="D96" i="4"/>
  <c r="R96" i="4" s="1"/>
  <c r="D94" i="4"/>
  <c r="R94" i="4" s="1"/>
  <c r="N93" i="4"/>
  <c r="L93" i="4"/>
  <c r="F93" i="4"/>
  <c r="D93" i="4"/>
  <c r="P92" i="4"/>
  <c r="D92" i="4"/>
  <c r="N90" i="4"/>
  <c r="D90" i="4"/>
  <c r="D87" i="4"/>
  <c r="R87" i="4" s="1"/>
  <c r="N80" i="4"/>
  <c r="L80" i="4"/>
  <c r="F80" i="4"/>
  <c r="D75" i="4"/>
  <c r="R75" i="4" s="1"/>
  <c r="N74" i="4"/>
  <c r="L74" i="4"/>
  <c r="F74" i="4"/>
  <c r="D71" i="4"/>
  <c r="R71" i="4" s="1"/>
  <c r="D65" i="4"/>
  <c r="R65" i="4" s="1"/>
  <c r="D64" i="4"/>
  <c r="R64" i="4" s="1"/>
  <c r="D59" i="4"/>
  <c r="R59" i="4" s="1"/>
  <c r="D58" i="4"/>
  <c r="R58" i="4" s="1"/>
  <c r="D52" i="4"/>
  <c r="R52" i="4" s="1"/>
  <c r="P48" i="4"/>
  <c r="D48" i="4"/>
  <c r="D45" i="4"/>
  <c r="R45" i="4" s="1"/>
  <c r="D43" i="4"/>
  <c r="R43" i="4" s="1"/>
  <c r="N36" i="4"/>
  <c r="R36" i="4" s="1"/>
  <c r="D34" i="4"/>
  <c r="R34" i="4" s="1"/>
  <c r="D33" i="4"/>
  <c r="R33" i="4" s="1"/>
  <c r="D30" i="4"/>
  <c r="R30" i="4" s="1"/>
  <c r="P27" i="4"/>
  <c r="R27" i="4" s="1"/>
  <c r="D24" i="4"/>
  <c r="R24" i="4" s="1"/>
  <c r="N22" i="4"/>
  <c r="L22" i="4"/>
  <c r="H22" i="4"/>
  <c r="F22" i="4"/>
  <c r="D22" i="4"/>
  <c r="D19" i="4"/>
  <c r="R19" i="4" s="1"/>
  <c r="N17" i="4"/>
  <c r="L17" i="4"/>
  <c r="F17" i="4"/>
  <c r="D10" i="4"/>
  <c r="R10" i="4" s="1"/>
  <c r="D6" i="4"/>
  <c r="R6" i="4" s="1"/>
  <c r="D2" i="4"/>
  <c r="R2" i="4" s="1"/>
  <c r="G2147" i="12" l="1"/>
  <c r="G1831" i="12"/>
  <c r="G1851" i="12"/>
  <c r="G2193" i="12"/>
  <c r="G1853" i="12"/>
  <c r="G2197" i="12"/>
  <c r="G1845" i="12"/>
  <c r="G1846" i="12"/>
  <c r="G2192" i="12"/>
  <c r="G1855" i="12"/>
  <c r="G1882" i="12"/>
  <c r="G2142" i="12"/>
  <c r="V301" i="5"/>
  <c r="V339" i="5"/>
  <c r="V377" i="5"/>
  <c r="V394" i="5"/>
  <c r="V405" i="5"/>
  <c r="V408" i="5"/>
  <c r="V598" i="5"/>
  <c r="V603" i="5"/>
  <c r="V628" i="5"/>
  <c r="V646" i="5"/>
  <c r="V673" i="5"/>
  <c r="V682" i="5"/>
  <c r="V686" i="5"/>
  <c r="V400" i="5"/>
  <c r="V597" i="5"/>
  <c r="V609" i="5"/>
  <c r="V636" i="5"/>
  <c r="V639" i="5"/>
  <c r="V670" i="5"/>
  <c r="V296" i="5"/>
  <c r="V300" i="5"/>
  <c r="V305" i="5"/>
  <c r="V318" i="5"/>
  <c r="V330" i="5"/>
  <c r="V336" i="5"/>
  <c r="V358" i="5"/>
  <c r="V362" i="5"/>
  <c r="V389" i="5"/>
  <c r="V411" i="5"/>
  <c r="V415" i="5"/>
  <c r="V418" i="5"/>
  <c r="V590" i="5"/>
  <c r="V659" i="5"/>
  <c r="V665" i="5"/>
  <c r="V676" i="5"/>
  <c r="V696" i="5"/>
  <c r="V699" i="5"/>
  <c r="V345" i="5"/>
  <c r="V409" i="5"/>
  <c r="V610" i="5"/>
  <c r="V632" i="5"/>
  <c r="V635" i="5"/>
  <c r="V638" i="5"/>
  <c r="V297" i="5"/>
  <c r="V304" i="5"/>
  <c r="V311" i="5"/>
  <c r="V392" i="5"/>
  <c r="V397" i="5"/>
  <c r="V614" i="5"/>
  <c r="V625" i="5"/>
  <c r="V653" i="5"/>
  <c r="V667" i="5"/>
  <c r="V672" i="5"/>
  <c r="V678" i="5"/>
  <c r="S340" i="4"/>
  <c r="S384" i="4"/>
  <c r="R92" i="4"/>
  <c r="R320" i="4"/>
  <c r="R258" i="4"/>
  <c r="S174" i="4"/>
  <c r="S318" i="4"/>
  <c r="R74" i="4"/>
  <c r="R254" i="4"/>
  <c r="R365" i="4"/>
  <c r="S309" i="4"/>
  <c r="S328" i="4"/>
  <c r="S348" i="4"/>
  <c r="S353" i="4"/>
  <c r="V322" i="5"/>
  <c r="V378" i="5"/>
  <c r="V381" i="5"/>
  <c r="V395" i="5"/>
  <c r="V601" i="5"/>
  <c r="V606" i="5"/>
  <c r="V643" i="5"/>
  <c r="V319" i="5"/>
  <c r="V325" i="5"/>
  <c r="V342" i="5"/>
  <c r="V366" i="5"/>
  <c r="V374" i="5"/>
  <c r="V403" i="5"/>
  <c r="V413" i="5"/>
  <c r="V617" i="5"/>
  <c r="V677" i="5"/>
  <c r="V680" i="5"/>
  <c r="V683" i="5"/>
  <c r="V308" i="5"/>
  <c r="V315" i="5"/>
  <c r="V321" i="5"/>
  <c r="V324" i="5"/>
  <c r="V355" i="5"/>
  <c r="V365" i="5"/>
  <c r="V370" i="5"/>
  <c r="V373" i="5"/>
  <c r="V380" i="5"/>
  <c r="V412" i="5"/>
  <c r="V619" i="5"/>
  <c r="R139" i="4"/>
  <c r="S320" i="4"/>
  <c r="V386" i="5"/>
  <c r="V594" i="5"/>
  <c r="V608" i="5"/>
  <c r="V611" i="5"/>
  <c r="V630" i="5"/>
  <c r="V633" i="5"/>
  <c r="V668" i="5"/>
  <c r="V299" i="5"/>
  <c r="V335" i="5"/>
  <c r="V341" i="5"/>
  <c r="V354" i="5"/>
  <c r="V361" i="5"/>
  <c r="V364" i="5"/>
  <c r="V385" i="5"/>
  <c r="V613" i="5"/>
  <c r="V662" i="5"/>
  <c r="R90" i="4"/>
  <c r="V329" i="5"/>
  <c r="V332" i="5"/>
  <c r="V693" i="5"/>
  <c r="V310" i="5"/>
  <c r="V344" i="5"/>
  <c r="V347" i="5"/>
  <c r="V348" i="5"/>
  <c r="V650" i="5"/>
  <c r="V656" i="5"/>
  <c r="R246" i="4"/>
  <c r="R264" i="4"/>
  <c r="R347" i="4"/>
  <c r="S22" i="4"/>
  <c r="S50" i="4"/>
  <c r="S173" i="4"/>
  <c r="S251" i="4"/>
  <c r="V360" i="5"/>
  <c r="V363" i="5"/>
  <c r="V369" i="5"/>
  <c r="V401" i="5"/>
  <c r="V404" i="5"/>
  <c r="V607" i="5"/>
  <c r="V626" i="5"/>
  <c r="V647" i="5"/>
  <c r="R137" i="4"/>
  <c r="R17" i="4"/>
  <c r="S106" i="4"/>
  <c r="S111" i="4"/>
  <c r="S118" i="4"/>
  <c r="S126" i="4"/>
  <c r="V298" i="5"/>
  <c r="V331" i="5"/>
  <c r="V343" i="5"/>
  <c r="V371" i="5"/>
  <c r="V384" i="5"/>
  <c r="V416" i="5"/>
  <c r="V589" i="5"/>
  <c r="V620" i="5"/>
  <c r="V623" i="5"/>
  <c r="V689" i="5"/>
  <c r="R261" i="4"/>
  <c r="V323" i="5"/>
  <c r="V357" i="5"/>
  <c r="V390" i="5"/>
  <c r="V414" i="5"/>
  <c r="V595" i="5"/>
  <c r="V599" i="5"/>
  <c r="V602" i="5"/>
  <c r="V615" i="5"/>
  <c r="V627" i="5"/>
  <c r="V634" i="5"/>
  <c r="V637" i="5"/>
  <c r="V654" i="5"/>
  <c r="V660" i="5"/>
  <c r="V671" i="5"/>
  <c r="V684" i="5"/>
  <c r="V694" i="5"/>
  <c r="V700" i="5"/>
  <c r="V624" i="5"/>
  <c r="V640" i="5"/>
  <c r="V674" i="5"/>
  <c r="V690" i="5"/>
  <c r="V307" i="5"/>
  <c r="V314" i="5"/>
  <c r="V337" i="5"/>
  <c r="V351" i="5"/>
  <c r="V368" i="5"/>
  <c r="V372" i="5"/>
  <c r="V383" i="5"/>
  <c r="V388" i="5"/>
  <c r="V391" i="5"/>
  <c r="V593" i="5"/>
  <c r="V622" i="5"/>
  <c r="V629" i="5"/>
  <c r="V649" i="5"/>
  <c r="V658" i="5"/>
  <c r="V664" i="5"/>
  <c r="V679" i="5"/>
  <c r="V688" i="5"/>
  <c r="V642" i="5"/>
  <c r="V655" i="5"/>
  <c r="V685" i="5"/>
  <c r="V317" i="5"/>
  <c r="V359" i="5"/>
  <c r="V376" i="5"/>
  <c r="V396" i="5"/>
  <c r="V407" i="5"/>
  <c r="V645" i="5"/>
  <c r="V652" i="5"/>
  <c r="V661" i="5"/>
  <c r="V698" i="5"/>
  <c r="V701" i="5"/>
  <c r="V379" i="5"/>
  <c r="V402" i="5"/>
  <c r="V410" i="5"/>
  <c r="V417" i="5"/>
  <c r="V591" i="5"/>
  <c r="V616" i="5"/>
  <c r="V621" i="5"/>
  <c r="V631" i="5"/>
  <c r="V641" i="5"/>
  <c r="V648" i="5"/>
  <c r="V651" i="5"/>
  <c r="V663" i="5"/>
  <c r="V666" i="5"/>
  <c r="V675" i="5"/>
  <c r="V681" i="5"/>
  <c r="V687" i="5"/>
  <c r="V306" i="5"/>
  <c r="V309" i="5"/>
  <c r="V316" i="5"/>
  <c r="V333" i="5"/>
  <c r="V346" i="5"/>
  <c r="V353" i="5"/>
  <c r="V375" i="5"/>
  <c r="V382" i="5"/>
  <c r="V387" i="5"/>
  <c r="V393" i="5"/>
  <c r="V406" i="5"/>
  <c r="V596" i="5"/>
  <c r="V612" i="5"/>
  <c r="V618" i="5"/>
  <c r="V644" i="5"/>
  <c r="V657" i="5"/>
  <c r="V669" i="5"/>
  <c r="V697" i="5"/>
  <c r="V328" i="5"/>
  <c r="V349" i="5"/>
  <c r="V398" i="5"/>
  <c r="V399" i="5"/>
  <c r="V692" i="5"/>
  <c r="V695" i="5"/>
  <c r="V313" i="5"/>
  <c r="V320" i="5"/>
  <c r="V327" i="5"/>
  <c r="V334" i="5"/>
  <c r="V338" i="5"/>
  <c r="V340" i="5"/>
  <c r="V352" i="5"/>
  <c r="V356" i="5"/>
  <c r="V600" i="5"/>
  <c r="V604" i="5"/>
  <c r="V605" i="5"/>
  <c r="V691" i="5"/>
  <c r="V295" i="5"/>
  <c r="V302" i="5"/>
  <c r="V303" i="5"/>
  <c r="V312" i="5"/>
  <c r="V326" i="5"/>
  <c r="V350" i="5"/>
  <c r="V367" i="5"/>
  <c r="V592" i="5"/>
  <c r="R236" i="4"/>
  <c r="R251" i="4"/>
  <c r="S33" i="4"/>
  <c r="S62" i="4"/>
  <c r="S81" i="4"/>
  <c r="S90" i="4"/>
  <c r="S137" i="4"/>
  <c r="S195" i="4"/>
  <c r="S241" i="4"/>
  <c r="S258" i="4"/>
  <c r="S325" i="4"/>
  <c r="R100" i="4"/>
  <c r="R129" i="4"/>
  <c r="R142" i="4"/>
  <c r="R174" i="4"/>
  <c r="R190" i="4"/>
  <c r="R304" i="4"/>
  <c r="R318" i="4"/>
  <c r="R364" i="4"/>
  <c r="S74" i="4"/>
  <c r="S93" i="4"/>
  <c r="S96" i="4"/>
  <c r="S100" i="4"/>
  <c r="S141" i="4"/>
  <c r="S144" i="4"/>
  <c r="S148" i="4"/>
  <c r="S152" i="4"/>
  <c r="S177" i="4"/>
  <c r="S185" i="4"/>
  <c r="S331" i="4"/>
  <c r="S347" i="4"/>
  <c r="S352" i="4"/>
  <c r="S383" i="4"/>
  <c r="R248" i="4"/>
  <c r="S265" i="4"/>
  <c r="R93" i="4"/>
  <c r="S75" i="4"/>
  <c r="S91" i="4"/>
  <c r="S138" i="4"/>
  <c r="R138" i="4"/>
  <c r="R179" i="4"/>
  <c r="R195" i="4"/>
  <c r="R247" i="4"/>
  <c r="R271" i="4"/>
  <c r="R331" i="4"/>
  <c r="S64" i="4"/>
  <c r="S94" i="4"/>
  <c r="S97" i="4"/>
  <c r="S142" i="4"/>
  <c r="S145" i="4"/>
  <c r="S150" i="4"/>
  <c r="S154" i="4"/>
  <c r="S179" i="4"/>
  <c r="S252" i="4"/>
  <c r="S264" i="4"/>
  <c r="R80" i="4"/>
  <c r="R168" i="4"/>
  <c r="R311" i="4"/>
  <c r="S102" i="4"/>
  <c r="S113" i="4"/>
  <c r="S246" i="4"/>
  <c r="S87" i="4"/>
  <c r="S133" i="4"/>
  <c r="S187" i="4"/>
  <c r="S151" i="4"/>
  <c r="R122" i="4"/>
  <c r="R309" i="4"/>
  <c r="R349" i="4"/>
  <c r="S257" i="4"/>
  <c r="S41" i="4"/>
  <c r="S123" i="4"/>
  <c r="S130" i="4"/>
  <c r="S329" i="4"/>
  <c r="S342" i="4"/>
  <c r="S354" i="4"/>
  <c r="R260" i="4"/>
  <c r="R106" i="4"/>
  <c r="R132" i="4"/>
  <c r="S55" i="4"/>
  <c r="S107" i="4"/>
  <c r="S349" i="4"/>
  <c r="R48" i="4"/>
  <c r="R323" i="4"/>
  <c r="R153" i="4"/>
  <c r="R181" i="4"/>
  <c r="R325" i="4"/>
  <c r="R342" i="4"/>
  <c r="R373" i="4"/>
  <c r="S17" i="4"/>
  <c r="S48" i="4"/>
  <c r="S68" i="4"/>
  <c r="S80" i="4"/>
  <c r="S88" i="4"/>
  <c r="S92" i="4"/>
  <c r="S95" i="4"/>
  <c r="S103" i="4"/>
  <c r="S110" i="4"/>
  <c r="S116" i="4"/>
  <c r="S125" i="4"/>
  <c r="S132" i="4"/>
  <c r="S134" i="4"/>
  <c r="S140" i="4"/>
  <c r="S143" i="4"/>
  <c r="S155" i="4"/>
  <c r="S175" i="4"/>
  <c r="S182" i="4"/>
  <c r="S194" i="4"/>
  <c r="S236" i="4"/>
  <c r="S248" i="4"/>
  <c r="S271" i="4"/>
  <c r="S330" i="4"/>
  <c r="S343" i="4"/>
  <c r="S350" i="4"/>
  <c r="S365" i="4"/>
  <c r="R22" i="4"/>
  <c r="S27" i="4"/>
  <c r="S99" i="4"/>
  <c r="S147" i="4"/>
  <c r="U1492" i="1" l="1"/>
  <c r="U724" i="1" l="1"/>
  <c r="U533" i="1"/>
</calcChain>
</file>

<file path=xl/sharedStrings.xml><?xml version="1.0" encoding="utf-8"?>
<sst xmlns="http://schemas.openxmlformats.org/spreadsheetml/2006/main" count="40038" uniqueCount="2118">
  <si>
    <t>Date</t>
  </si>
  <si>
    <t>Vechile No.</t>
  </si>
  <si>
    <t xml:space="preserve">Supplier </t>
  </si>
  <si>
    <t>Area code</t>
  </si>
  <si>
    <t>Grade</t>
  </si>
  <si>
    <t>Received QTY              (kg)</t>
  </si>
  <si>
    <t>Fruit count - No's</t>
  </si>
  <si>
    <t>over size %</t>
  </si>
  <si>
    <t>under size %</t>
  </si>
  <si>
    <t>F.Fly  %</t>
  </si>
  <si>
    <t>Borer %</t>
  </si>
  <si>
    <t>Fungus/Rotten %</t>
  </si>
  <si>
    <t>Dehydration    %</t>
  </si>
  <si>
    <t>Muddy %</t>
  </si>
  <si>
    <t>CN %</t>
  </si>
  <si>
    <t>Viral %</t>
  </si>
  <si>
    <t>Flower %</t>
  </si>
  <si>
    <t>Stalk %</t>
  </si>
  <si>
    <t>Bleach %</t>
  </si>
  <si>
    <t>FM / Peanut  No's</t>
  </si>
  <si>
    <t>09/06/2025</t>
  </si>
  <si>
    <t>TN 57 BK 5366</t>
  </si>
  <si>
    <t>GGI</t>
  </si>
  <si>
    <t>KOTTURU</t>
  </si>
  <si>
    <t>160+</t>
  </si>
  <si>
    <t>768</t>
  </si>
  <si>
    <t>0</t>
  </si>
  <si>
    <t>100+</t>
  </si>
  <si>
    <t>546</t>
  </si>
  <si>
    <t>30+</t>
  </si>
  <si>
    <t>718</t>
  </si>
  <si>
    <t>30-</t>
  </si>
  <si>
    <t>846</t>
  </si>
  <si>
    <t>HARPANAHALLI</t>
  </si>
  <si>
    <t>659</t>
  </si>
  <si>
    <t>483</t>
  </si>
  <si>
    <t>686</t>
  </si>
  <si>
    <t>721</t>
  </si>
  <si>
    <t>12/06/2025</t>
  </si>
  <si>
    <t>TN 48 AW 5160</t>
  </si>
  <si>
    <t>285</t>
  </si>
  <si>
    <t>183</t>
  </si>
  <si>
    <t>127</t>
  </si>
  <si>
    <t>1202</t>
  </si>
  <si>
    <t>748</t>
  </si>
  <si>
    <t>540</t>
  </si>
  <si>
    <t>15/06/2025</t>
  </si>
  <si>
    <t xml:space="preserve">TN 48 AK 4957 </t>
  </si>
  <si>
    <t>2465</t>
  </si>
  <si>
    <t>1288</t>
  </si>
  <si>
    <t>1635</t>
  </si>
  <si>
    <t>694</t>
  </si>
  <si>
    <t>16/06/2025</t>
  </si>
  <si>
    <t>TN 30 BC 4636</t>
  </si>
  <si>
    <t>MANJU AGRO</t>
  </si>
  <si>
    <t>1496</t>
  </si>
  <si>
    <t>4286</t>
  </si>
  <si>
    <t>1400</t>
  </si>
  <si>
    <t>17/06/2025</t>
  </si>
  <si>
    <t>TN 28 BW 7583</t>
  </si>
  <si>
    <t>2481</t>
  </si>
  <si>
    <t>4249</t>
  </si>
  <si>
    <t>1014</t>
  </si>
  <si>
    <t>TN 41 AV 4070</t>
  </si>
  <si>
    <t>3262</t>
  </si>
  <si>
    <t>620</t>
  </si>
  <si>
    <t>1884</t>
  </si>
  <si>
    <t>863</t>
  </si>
  <si>
    <t>TN 57 BP 2586</t>
  </si>
  <si>
    <t>1019</t>
  </si>
  <si>
    <t>192</t>
  </si>
  <si>
    <t>80+</t>
  </si>
  <si>
    <t>1841</t>
  </si>
  <si>
    <t>2170</t>
  </si>
  <si>
    <t>876</t>
  </si>
  <si>
    <t>18/06/2025</t>
  </si>
  <si>
    <t>TN 70 AV 0785</t>
  </si>
  <si>
    <t>2235</t>
  </si>
  <si>
    <t>5783</t>
  </si>
  <si>
    <t>96</t>
  </si>
  <si>
    <t>1801</t>
  </si>
  <si>
    <t>4772</t>
  </si>
  <si>
    <t>902</t>
  </si>
  <si>
    <t>TN 47 BW 8057</t>
  </si>
  <si>
    <t>1660</t>
  </si>
  <si>
    <t>382</t>
  </si>
  <si>
    <t>2013</t>
  </si>
  <si>
    <t>2627</t>
  </si>
  <si>
    <t>729</t>
  </si>
  <si>
    <t>TN 48 AF 7574</t>
  </si>
  <si>
    <t>2194</t>
  </si>
  <si>
    <t>1432</t>
  </si>
  <si>
    <t>2278</t>
  </si>
  <si>
    <t>1220</t>
  </si>
  <si>
    <t>19/06/2025</t>
  </si>
  <si>
    <t>1867</t>
  </si>
  <si>
    <t>5282</t>
  </si>
  <si>
    <t>535</t>
  </si>
  <si>
    <t>TN 39 CZ 4601</t>
  </si>
  <si>
    <t>457</t>
  </si>
  <si>
    <t>288</t>
  </si>
  <si>
    <t>2439</t>
  </si>
  <si>
    <t>3476</t>
  </si>
  <si>
    <t>549</t>
  </si>
  <si>
    <t>2905</t>
  </si>
  <si>
    <t>1600</t>
  </si>
  <si>
    <t>2148</t>
  </si>
  <si>
    <t>1145</t>
  </si>
  <si>
    <t>TN 83 F 3922</t>
  </si>
  <si>
    <t>GAJENDRAGADA</t>
  </si>
  <si>
    <t>2605</t>
  </si>
  <si>
    <t>1424</t>
  </si>
  <si>
    <t>2713</t>
  </si>
  <si>
    <t>905</t>
  </si>
  <si>
    <t>TN 57 BH 9686</t>
  </si>
  <si>
    <t>480</t>
  </si>
  <si>
    <t>2752</t>
  </si>
  <si>
    <t>3176</t>
  </si>
  <si>
    <t>20/06/2025</t>
  </si>
  <si>
    <t>TN 57 BH 9682</t>
  </si>
  <si>
    <t>912</t>
  </si>
  <si>
    <t>2909</t>
  </si>
  <si>
    <t>41</t>
  </si>
  <si>
    <t>2474</t>
  </si>
  <si>
    <t>4646</t>
  </si>
  <si>
    <t>TN 66 AD 7724</t>
  </si>
  <si>
    <t>1971</t>
  </si>
  <si>
    <t>1248</t>
  </si>
  <si>
    <t>2485</t>
  </si>
  <si>
    <t>1087</t>
  </si>
  <si>
    <t>TN 09 3657</t>
  </si>
  <si>
    <t>STACKERS</t>
  </si>
  <si>
    <t>2174</t>
  </si>
  <si>
    <t>1215</t>
  </si>
  <si>
    <t>1678</t>
  </si>
  <si>
    <t>394</t>
  </si>
  <si>
    <t>TN 47 BK 8057</t>
  </si>
  <si>
    <t>146</t>
  </si>
  <si>
    <t>2256</t>
  </si>
  <si>
    <t>3490</t>
  </si>
  <si>
    <t>981</t>
  </si>
  <si>
    <t>TN 24 BB 6123</t>
  </si>
  <si>
    <t>KUSHTAGI</t>
  </si>
  <si>
    <t>3022</t>
  </si>
  <si>
    <t>1206</t>
  </si>
  <si>
    <t>2548</t>
  </si>
  <si>
    <t>541</t>
  </si>
  <si>
    <t>21/06/2025</t>
  </si>
  <si>
    <t>935</t>
  </si>
  <si>
    <t>3191</t>
  </si>
  <si>
    <t>53</t>
  </si>
  <si>
    <t>TN 28 CN 7583</t>
  </si>
  <si>
    <t>2983</t>
  </si>
  <si>
    <t>4263</t>
  </si>
  <si>
    <t>800</t>
  </si>
  <si>
    <t>TN 24 AR 2529</t>
  </si>
  <si>
    <t>TN 48 BE 0901</t>
  </si>
  <si>
    <t>3192</t>
  </si>
  <si>
    <t>4019</t>
  </si>
  <si>
    <t>960</t>
  </si>
  <si>
    <t>735</t>
  </si>
  <si>
    <t>1574</t>
  </si>
  <si>
    <t>974</t>
  </si>
  <si>
    <t>TN 76 AK 3088</t>
  </si>
  <si>
    <t>2568</t>
  </si>
  <si>
    <t>1171</t>
  </si>
  <si>
    <t>2878</t>
  </si>
  <si>
    <t>379</t>
  </si>
  <si>
    <t>TN 48  AF 7574</t>
  </si>
  <si>
    <t>1753</t>
  </si>
  <si>
    <t>1114</t>
  </si>
  <si>
    <t>1413</t>
  </si>
  <si>
    <t>853</t>
  </si>
  <si>
    <t>1972</t>
  </si>
  <si>
    <t>719</t>
  </si>
  <si>
    <t>22/06/2025</t>
  </si>
  <si>
    <t>2106</t>
  </si>
  <si>
    <t>5702</t>
  </si>
  <si>
    <t>406</t>
  </si>
  <si>
    <t>TN 47 AP 4795</t>
  </si>
  <si>
    <t>1815</t>
  </si>
  <si>
    <t>2740</t>
  </si>
  <si>
    <t>23</t>
  </si>
  <si>
    <t>TN 48 BT 4389</t>
  </si>
  <si>
    <t>3255</t>
  </si>
  <si>
    <t>3843</t>
  </si>
  <si>
    <t>TN 09 CJ 3657</t>
  </si>
  <si>
    <t>1928</t>
  </si>
  <si>
    <t>1276</t>
  </si>
  <si>
    <t>2150</t>
  </si>
  <si>
    <t>1708</t>
  </si>
  <si>
    <t>TN 66 AR 7724</t>
  </si>
  <si>
    <t>987</t>
  </si>
  <si>
    <t>1874</t>
  </si>
  <si>
    <t>928</t>
  </si>
  <si>
    <t>2797</t>
  </si>
  <si>
    <t>1064</t>
  </si>
  <si>
    <t>2367</t>
  </si>
  <si>
    <t>459</t>
  </si>
  <si>
    <t>TN 24 AD 4875</t>
  </si>
  <si>
    <t>2386</t>
  </si>
  <si>
    <t>713</t>
  </si>
  <si>
    <t>1141</t>
  </si>
  <si>
    <t>2621</t>
  </si>
  <si>
    <t>989</t>
  </si>
  <si>
    <t>1696</t>
  </si>
  <si>
    <t>536</t>
  </si>
  <si>
    <t>23/06/2025</t>
  </si>
  <si>
    <t>2185</t>
  </si>
  <si>
    <t>5602</t>
  </si>
  <si>
    <t>209</t>
  </si>
  <si>
    <t>TN 48 BF 0901</t>
  </si>
  <si>
    <t>1465</t>
  </si>
  <si>
    <t>1205</t>
  </si>
  <si>
    <t>1730</t>
  </si>
  <si>
    <t>450</t>
  </si>
  <si>
    <t>1947</t>
  </si>
  <si>
    <t>3694</t>
  </si>
  <si>
    <t>3974</t>
  </si>
  <si>
    <t>861</t>
  </si>
  <si>
    <t>2402</t>
  </si>
  <si>
    <t>1488</t>
  </si>
  <si>
    <t>2882</t>
  </si>
  <si>
    <t>1149</t>
  </si>
  <si>
    <t>1438</t>
  </si>
  <si>
    <t>360</t>
  </si>
  <si>
    <t>TN 24 AY 5107</t>
  </si>
  <si>
    <t>2770</t>
  </si>
  <si>
    <t>1166</t>
  </si>
  <si>
    <t>2427</t>
  </si>
  <si>
    <t>470</t>
  </si>
  <si>
    <t>2813</t>
  </si>
  <si>
    <t>1107</t>
  </si>
  <si>
    <t>2487</t>
  </si>
  <si>
    <t>819</t>
  </si>
  <si>
    <t>3003</t>
  </si>
  <si>
    <t>24/06/2025</t>
  </si>
  <si>
    <t>2886</t>
  </si>
  <si>
    <t>1051</t>
  </si>
  <si>
    <t>2666</t>
  </si>
  <si>
    <t>577</t>
  </si>
  <si>
    <t>TN 83 P 3902</t>
  </si>
  <si>
    <t>2160</t>
  </si>
  <si>
    <t>1018</t>
  </si>
  <si>
    <t>2262</t>
  </si>
  <si>
    <t>1344</t>
  </si>
  <si>
    <t>2107</t>
  </si>
  <si>
    <t>1180</t>
  </si>
  <si>
    <t>2526</t>
  </si>
  <si>
    <t>1361</t>
  </si>
  <si>
    <t>SIRA</t>
  </si>
  <si>
    <t>2422</t>
  </si>
  <si>
    <t>939</t>
  </si>
  <si>
    <t>1082</t>
  </si>
  <si>
    <t>497</t>
  </si>
  <si>
    <t>2912</t>
  </si>
  <si>
    <t>4568</t>
  </si>
  <si>
    <t>181</t>
  </si>
  <si>
    <t>1962</t>
  </si>
  <si>
    <t>1546</t>
  </si>
  <si>
    <t>1289</t>
  </si>
  <si>
    <t>1786</t>
  </si>
  <si>
    <t>140</t>
  </si>
  <si>
    <t>563</t>
  </si>
  <si>
    <t>603</t>
  </si>
  <si>
    <t>500</t>
  </si>
  <si>
    <t>4384</t>
  </si>
  <si>
    <t>2464</t>
  </si>
  <si>
    <t>1012</t>
  </si>
  <si>
    <t>1952</t>
  </si>
  <si>
    <t>447</t>
  </si>
  <si>
    <t>25/06/2025</t>
  </si>
  <si>
    <t>TN 24 AR 4875</t>
  </si>
  <si>
    <t>2181</t>
  </si>
  <si>
    <t>2922</t>
  </si>
  <si>
    <t>340</t>
  </si>
  <si>
    <t>1547</t>
  </si>
  <si>
    <t>2731</t>
  </si>
  <si>
    <t>467</t>
  </si>
  <si>
    <t>2520</t>
  </si>
  <si>
    <t>957</t>
  </si>
  <si>
    <t>673</t>
  </si>
  <si>
    <t>1897</t>
  </si>
  <si>
    <t>915</t>
  </si>
  <si>
    <t>1916</t>
  </si>
  <si>
    <t>874</t>
  </si>
  <si>
    <t>1193</t>
  </si>
  <si>
    <t>3335</t>
  </si>
  <si>
    <t>4112</t>
  </si>
  <si>
    <t>380</t>
  </si>
  <si>
    <t>2317</t>
  </si>
  <si>
    <t>2537</t>
  </si>
  <si>
    <t>752</t>
  </si>
  <si>
    <t>2709</t>
  </si>
  <si>
    <t>2944</t>
  </si>
  <si>
    <t>1765</t>
  </si>
  <si>
    <t>869</t>
  </si>
  <si>
    <t>416</t>
  </si>
  <si>
    <t>814</t>
  </si>
  <si>
    <t>236</t>
  </si>
  <si>
    <t>1889</t>
  </si>
  <si>
    <t>1379</t>
  </si>
  <si>
    <t>486</t>
  </si>
  <si>
    <t>26/06/2025</t>
  </si>
  <si>
    <t>3315</t>
  </si>
  <si>
    <t>4218</t>
  </si>
  <si>
    <t>203</t>
  </si>
  <si>
    <t>3869</t>
  </si>
  <si>
    <t>2426</t>
  </si>
  <si>
    <t>972</t>
  </si>
  <si>
    <t>TN 48 AJ 1886</t>
  </si>
  <si>
    <t>1676</t>
  </si>
  <si>
    <t>571</t>
  </si>
  <si>
    <t>2433</t>
  </si>
  <si>
    <t>1222</t>
  </si>
  <si>
    <t>TN 77 BJ 7531</t>
  </si>
  <si>
    <t>2404</t>
  </si>
  <si>
    <t>1091</t>
  </si>
  <si>
    <t>2026</t>
  </si>
  <si>
    <t>1727</t>
  </si>
  <si>
    <t>TN 09 CT 3657</t>
  </si>
  <si>
    <t>2974</t>
  </si>
  <si>
    <t>1343</t>
  </si>
  <si>
    <t>2624</t>
  </si>
  <si>
    <t>589</t>
  </si>
  <si>
    <t>TN 29 DX 2588</t>
  </si>
  <si>
    <t>2277</t>
  </si>
  <si>
    <t>784</t>
  </si>
  <si>
    <t>2854</t>
  </si>
  <si>
    <t>890</t>
  </si>
  <si>
    <t>3659</t>
  </si>
  <si>
    <t>1478</t>
  </si>
  <si>
    <t>1923</t>
  </si>
  <si>
    <t>543</t>
  </si>
  <si>
    <t>27/06/2025</t>
  </si>
  <si>
    <t>2994</t>
  </si>
  <si>
    <t>4591</t>
  </si>
  <si>
    <t>321</t>
  </si>
  <si>
    <t>2250</t>
  </si>
  <si>
    <t>3218</t>
  </si>
  <si>
    <t>TN 39 CW 0936</t>
  </si>
  <si>
    <t>2115</t>
  </si>
  <si>
    <t>3774</t>
  </si>
  <si>
    <t>1024</t>
  </si>
  <si>
    <t>TN 87 6059</t>
  </si>
  <si>
    <t>2555</t>
  </si>
  <si>
    <t>1042</t>
  </si>
  <si>
    <t>2258</t>
  </si>
  <si>
    <t>820</t>
  </si>
  <si>
    <t>TN 48 BR 0901</t>
  </si>
  <si>
    <t>1880</t>
  </si>
  <si>
    <t>1330</t>
  </si>
  <si>
    <t>1581</t>
  </si>
  <si>
    <t>1781</t>
  </si>
  <si>
    <t>1195</t>
  </si>
  <si>
    <t>539</t>
  </si>
  <si>
    <t>1080</t>
  </si>
  <si>
    <t>2546</t>
  </si>
  <si>
    <t>TN 47 AV 4070</t>
  </si>
  <si>
    <t>3907</t>
  </si>
  <si>
    <t>2579</t>
  </si>
  <si>
    <t>858</t>
  </si>
  <si>
    <t>3235</t>
  </si>
  <si>
    <t>914</t>
  </si>
  <si>
    <t>2655</t>
  </si>
  <si>
    <t>809</t>
  </si>
  <si>
    <t>28/06/2025</t>
  </si>
  <si>
    <t>3366</t>
  </si>
  <si>
    <t>3723</t>
  </si>
  <si>
    <t>296</t>
  </si>
  <si>
    <t>1688</t>
  </si>
  <si>
    <t>2448</t>
  </si>
  <si>
    <t>988</t>
  </si>
  <si>
    <t>TN 57 BR 2593</t>
  </si>
  <si>
    <t>3712</t>
  </si>
  <si>
    <t>2802</t>
  </si>
  <si>
    <t>1332</t>
  </si>
  <si>
    <t>1537</t>
  </si>
  <si>
    <t>1284</t>
  </si>
  <si>
    <t>1500</t>
  </si>
  <si>
    <t>2725</t>
  </si>
  <si>
    <t>TN 09 CK 9936</t>
  </si>
  <si>
    <t>2461</t>
  </si>
  <si>
    <t>1266</t>
  </si>
  <si>
    <t>2257</t>
  </si>
  <si>
    <t>2114</t>
  </si>
  <si>
    <t>812</t>
  </si>
  <si>
    <t>2112</t>
  </si>
  <si>
    <t>TN 48 BE 4389</t>
  </si>
  <si>
    <t>4076</t>
  </si>
  <si>
    <t>1373</t>
  </si>
  <si>
    <t>1403</t>
  </si>
  <si>
    <t>29/06/2025</t>
  </si>
  <si>
    <t>2357</t>
  </si>
  <si>
    <t>5268</t>
  </si>
  <si>
    <t>162</t>
  </si>
  <si>
    <t>1406</t>
  </si>
  <si>
    <t>2597</t>
  </si>
  <si>
    <t>2856</t>
  </si>
  <si>
    <t>1347</t>
  </si>
  <si>
    <t>2455</t>
  </si>
  <si>
    <t>1720</t>
  </si>
  <si>
    <t>615</t>
  </si>
  <si>
    <t>1230</t>
  </si>
  <si>
    <t>2196</t>
  </si>
  <si>
    <t>TN 85 H 9295</t>
  </si>
  <si>
    <t>IAE</t>
  </si>
  <si>
    <t>454</t>
  </si>
  <si>
    <t>2918</t>
  </si>
  <si>
    <t>1381</t>
  </si>
  <si>
    <t>2877</t>
  </si>
  <si>
    <t>685</t>
  </si>
  <si>
    <t>2039</t>
  </si>
  <si>
    <t>799</t>
  </si>
  <si>
    <t>2644</t>
  </si>
  <si>
    <t>3263</t>
  </si>
  <si>
    <t>1241</t>
  </si>
  <si>
    <t>1045</t>
  </si>
  <si>
    <t>TN 24 AV 5107</t>
  </si>
  <si>
    <t>1960</t>
  </si>
  <si>
    <t>1002</t>
  </si>
  <si>
    <t>2154</t>
  </si>
  <si>
    <t>885</t>
  </si>
  <si>
    <t>30/06/2025</t>
  </si>
  <si>
    <t>2654</t>
  </si>
  <si>
    <t>1305</t>
  </si>
  <si>
    <t>2670</t>
  </si>
  <si>
    <t>692</t>
  </si>
  <si>
    <t>2500</t>
  </si>
  <si>
    <t>731</t>
  </si>
  <si>
    <t>1759</t>
  </si>
  <si>
    <t>3090</t>
  </si>
  <si>
    <t>715</t>
  </si>
  <si>
    <t>1814</t>
  </si>
  <si>
    <t>1556</t>
  </si>
  <si>
    <t>2415</t>
  </si>
  <si>
    <t>813</t>
  </si>
  <si>
    <t>2157</t>
  </si>
  <si>
    <t>566</t>
  </si>
  <si>
    <t>01/07/2025</t>
  </si>
  <si>
    <t>TN 66 D 7724</t>
  </si>
  <si>
    <t>1628</t>
  </si>
  <si>
    <t>826</t>
  </si>
  <si>
    <t>2951</t>
  </si>
  <si>
    <t>1377</t>
  </si>
  <si>
    <t>1383</t>
  </si>
  <si>
    <t>548</t>
  </si>
  <si>
    <t>2769</t>
  </si>
  <si>
    <t>1086</t>
  </si>
  <si>
    <t>656</t>
  </si>
  <si>
    <t>1709</t>
  </si>
  <si>
    <t>727</t>
  </si>
  <si>
    <t>2163</t>
  </si>
  <si>
    <t>1150</t>
  </si>
  <si>
    <t>2626</t>
  </si>
  <si>
    <t>1892</t>
  </si>
  <si>
    <t>328</t>
  </si>
  <si>
    <t>TN 57 BJ 7539</t>
  </si>
  <si>
    <t>2398</t>
  </si>
  <si>
    <t>1191</t>
  </si>
  <si>
    <t>2997</t>
  </si>
  <si>
    <t>02/07/2025</t>
  </si>
  <si>
    <t>2142</t>
  </si>
  <si>
    <t>1017</t>
  </si>
  <si>
    <t>2151</t>
  </si>
  <si>
    <t>803</t>
  </si>
  <si>
    <t>2355</t>
  </si>
  <si>
    <t>1277</t>
  </si>
  <si>
    <t>2773</t>
  </si>
  <si>
    <t>740</t>
  </si>
  <si>
    <t>1431</t>
  </si>
  <si>
    <t>795</t>
  </si>
  <si>
    <t>2441</t>
  </si>
  <si>
    <t>03/07/2025</t>
  </si>
  <si>
    <t>2907</t>
  </si>
  <si>
    <t>1105</t>
  </si>
  <si>
    <t>2453</t>
  </si>
  <si>
    <t>845</t>
  </si>
  <si>
    <t>2778</t>
  </si>
  <si>
    <t>965</t>
  </si>
  <si>
    <t>1824</t>
  </si>
  <si>
    <t>1164</t>
  </si>
  <si>
    <t>2950</t>
  </si>
  <si>
    <t>1375</t>
  </si>
  <si>
    <t>2095</t>
  </si>
  <si>
    <t>732</t>
  </si>
  <si>
    <t>2241</t>
  </si>
  <si>
    <t>TN B7 6059</t>
  </si>
  <si>
    <t>2406</t>
  </si>
  <si>
    <t>1257</t>
  </si>
  <si>
    <t>3159</t>
  </si>
  <si>
    <t>618</t>
  </si>
  <si>
    <t>04/07/2025</t>
  </si>
  <si>
    <t>77</t>
  </si>
  <si>
    <t>2970</t>
  </si>
  <si>
    <t>2294</t>
  </si>
  <si>
    <t>3026</t>
  </si>
  <si>
    <t>2772</t>
  </si>
  <si>
    <t>938</t>
  </si>
  <si>
    <t>2780</t>
  </si>
  <si>
    <t>992</t>
  </si>
  <si>
    <t>1702</t>
  </si>
  <si>
    <t>1095</t>
  </si>
  <si>
    <t>2074</t>
  </si>
  <si>
    <t>1510</t>
  </si>
  <si>
    <t>2656</t>
  </si>
  <si>
    <t>2749</t>
  </si>
  <si>
    <t>2395</t>
  </si>
  <si>
    <t>2276</t>
  </si>
  <si>
    <t>592</t>
  </si>
  <si>
    <t>2359</t>
  </si>
  <si>
    <t>1571</t>
  </si>
  <si>
    <t>2310</t>
  </si>
  <si>
    <t>2123</t>
  </si>
  <si>
    <t>714</t>
  </si>
  <si>
    <t>05/07/2025</t>
  </si>
  <si>
    <t>1705</t>
  </si>
  <si>
    <t>2385</t>
  </si>
  <si>
    <t>1763</t>
  </si>
  <si>
    <t>TN 39 BZ 4601</t>
  </si>
  <si>
    <t>2358</t>
  </si>
  <si>
    <t>1455</t>
  </si>
  <si>
    <t>2324</t>
  </si>
  <si>
    <t>904</t>
  </si>
  <si>
    <t>2561</t>
  </si>
  <si>
    <t>3684</t>
  </si>
  <si>
    <t>1033</t>
  </si>
  <si>
    <t>2536</t>
  </si>
  <si>
    <t>2219</t>
  </si>
  <si>
    <t>725</t>
  </si>
  <si>
    <t>2124</t>
  </si>
  <si>
    <t>1269</t>
  </si>
  <si>
    <t>3037</t>
  </si>
  <si>
    <t>789</t>
  </si>
  <si>
    <t>06/07/2025</t>
  </si>
  <si>
    <t>TN 47 BB 3178</t>
  </si>
  <si>
    <t>2060</t>
  </si>
  <si>
    <t>2717</t>
  </si>
  <si>
    <t>1226</t>
  </si>
  <si>
    <t>2608</t>
  </si>
  <si>
    <t>4313</t>
  </si>
  <si>
    <t>344</t>
  </si>
  <si>
    <t>TN 48 AI 7574</t>
  </si>
  <si>
    <t>2201</t>
  </si>
  <si>
    <t>1176</t>
  </si>
  <si>
    <t>806</t>
  </si>
  <si>
    <t>2429</t>
  </si>
  <si>
    <t>1066</t>
  </si>
  <si>
    <t>1558</t>
  </si>
  <si>
    <t>TN 57 EA 2147</t>
  </si>
  <si>
    <t>3272</t>
  </si>
  <si>
    <t>877</t>
  </si>
  <si>
    <t>2442</t>
  </si>
  <si>
    <t>1529</t>
  </si>
  <si>
    <t>2233</t>
  </si>
  <si>
    <t>1059</t>
  </si>
  <si>
    <t>2077</t>
  </si>
  <si>
    <t>07/07/2025</t>
  </si>
  <si>
    <t>3147</t>
  </si>
  <si>
    <t>4259</t>
  </si>
  <si>
    <t>583</t>
  </si>
  <si>
    <t>2214</t>
  </si>
  <si>
    <t>1111</t>
  </si>
  <si>
    <t>2333</t>
  </si>
  <si>
    <t>817</t>
  </si>
  <si>
    <t>1452</t>
  </si>
  <si>
    <t>1034</t>
  </si>
  <si>
    <t>2344</t>
  </si>
  <si>
    <t>1070</t>
  </si>
  <si>
    <t>2665</t>
  </si>
  <si>
    <t>984</t>
  </si>
  <si>
    <t>1998</t>
  </si>
  <si>
    <t>08/07/2025</t>
  </si>
  <si>
    <t>2507</t>
  </si>
  <si>
    <t>4528</t>
  </si>
  <si>
    <t>528</t>
  </si>
  <si>
    <t>1668</t>
  </si>
  <si>
    <t>1046</t>
  </si>
  <si>
    <t>3060</t>
  </si>
  <si>
    <t>1442</t>
  </si>
  <si>
    <t>TN 48 BF 4389</t>
  </si>
  <si>
    <t>2265</t>
  </si>
  <si>
    <t>1011</t>
  </si>
  <si>
    <t>2469</t>
  </si>
  <si>
    <t>1119</t>
  </si>
  <si>
    <t>2139</t>
  </si>
  <si>
    <t>1518</t>
  </si>
  <si>
    <t>2540</t>
  </si>
  <si>
    <t>956</t>
  </si>
  <si>
    <t>2097</t>
  </si>
  <si>
    <t>830</t>
  </si>
  <si>
    <t>2860</t>
  </si>
  <si>
    <t>646</t>
  </si>
  <si>
    <t>1949</t>
  </si>
  <si>
    <t>937</t>
  </si>
  <si>
    <t>1989</t>
  </si>
  <si>
    <t>977</t>
  </si>
  <si>
    <t>1941</t>
  </si>
  <si>
    <t>1151</t>
  </si>
  <si>
    <t>3325</t>
  </si>
  <si>
    <t>739</t>
  </si>
  <si>
    <t>2014</t>
  </si>
  <si>
    <t>760</t>
  </si>
  <si>
    <t>3513</t>
  </si>
  <si>
    <t>1144</t>
  </si>
  <si>
    <t>09/07/2025</t>
  </si>
  <si>
    <t>TN 57 CA 2147</t>
  </si>
  <si>
    <t>2089</t>
  </si>
  <si>
    <t>966</t>
  </si>
  <si>
    <t>2598</t>
  </si>
  <si>
    <t>1165</t>
  </si>
  <si>
    <t>2701</t>
  </si>
  <si>
    <t>1162</t>
  </si>
  <si>
    <t>2452</t>
  </si>
  <si>
    <t>TN 48 AL 5157</t>
  </si>
  <si>
    <t>1542</t>
  </si>
  <si>
    <t>850</t>
  </si>
  <si>
    <t>2064</t>
  </si>
  <si>
    <t>1554</t>
  </si>
  <si>
    <t>1539</t>
  </si>
  <si>
    <t>1058</t>
  </si>
  <si>
    <t>3816</t>
  </si>
  <si>
    <t>1394</t>
  </si>
  <si>
    <t>TN 37 DA 6135</t>
  </si>
  <si>
    <t>1955</t>
  </si>
  <si>
    <t>3495</t>
  </si>
  <si>
    <t>1320</t>
  </si>
  <si>
    <t>1638</t>
  </si>
  <si>
    <t>884</t>
  </si>
  <si>
    <t>3892</t>
  </si>
  <si>
    <t>1177</t>
  </si>
  <si>
    <t>10/07/2025</t>
  </si>
  <si>
    <t>969</t>
  </si>
  <si>
    <t>641</t>
  </si>
  <si>
    <t>1147</t>
  </si>
  <si>
    <t>681</t>
  </si>
  <si>
    <t>1550</t>
  </si>
  <si>
    <t>749</t>
  </si>
  <si>
    <t>1282</t>
  </si>
  <si>
    <t>3369</t>
  </si>
  <si>
    <t>1035</t>
  </si>
  <si>
    <t>2138</t>
  </si>
  <si>
    <t>1152</t>
  </si>
  <si>
    <t>2459</t>
  </si>
  <si>
    <t>1096</t>
  </si>
  <si>
    <t>1153</t>
  </si>
  <si>
    <t>2715</t>
  </si>
  <si>
    <t>2052</t>
  </si>
  <si>
    <t>2604</t>
  </si>
  <si>
    <t>2018</t>
  </si>
  <si>
    <t>1146</t>
  </si>
  <si>
    <t>11/07/2025</t>
  </si>
  <si>
    <t>975</t>
  </si>
  <si>
    <t>461</t>
  </si>
  <si>
    <t>621</t>
  </si>
  <si>
    <t>1271</t>
  </si>
  <si>
    <t>607</t>
  </si>
  <si>
    <t>2765</t>
  </si>
  <si>
    <t>2602</t>
  </si>
  <si>
    <t>1313</t>
  </si>
  <si>
    <t>1580</t>
  </si>
  <si>
    <t>1278</t>
  </si>
  <si>
    <t>3277</t>
  </si>
  <si>
    <t>1645</t>
  </si>
  <si>
    <t>834</t>
  </si>
  <si>
    <t>2726</t>
  </si>
  <si>
    <t>2005</t>
  </si>
  <si>
    <t>2202</t>
  </si>
  <si>
    <t>1008</t>
  </si>
  <si>
    <t>2343</t>
  </si>
  <si>
    <t>1173</t>
  </si>
  <si>
    <t>1573</t>
  </si>
  <si>
    <t>926</t>
  </si>
  <si>
    <t>3368</t>
  </si>
  <si>
    <t>1937</t>
  </si>
  <si>
    <t>12/07/2025</t>
  </si>
  <si>
    <t>TN 48 AJ 1866</t>
  </si>
  <si>
    <t>481</t>
  </si>
  <si>
    <t>1446</t>
  </si>
  <si>
    <t>943</t>
  </si>
  <si>
    <t>2158</t>
  </si>
  <si>
    <t>2295</t>
  </si>
  <si>
    <t>1169</t>
  </si>
  <si>
    <t>1122</t>
  </si>
  <si>
    <t>TN 47 BV 4070</t>
  </si>
  <si>
    <t>1978</t>
  </si>
  <si>
    <t>1072</t>
  </si>
  <si>
    <t>3046</t>
  </si>
  <si>
    <t>1255</t>
  </si>
  <si>
    <t>1957</t>
  </si>
  <si>
    <t>677</t>
  </si>
  <si>
    <t>870</t>
  </si>
  <si>
    <t>2152</t>
  </si>
  <si>
    <t>1229</t>
  </si>
  <si>
    <t>2446</t>
  </si>
  <si>
    <t>1044</t>
  </si>
  <si>
    <t>1914</t>
  </si>
  <si>
    <t>1016</t>
  </si>
  <si>
    <t>2973</t>
  </si>
  <si>
    <t>1251</t>
  </si>
  <si>
    <t>1733</t>
  </si>
  <si>
    <t>604</t>
  </si>
  <si>
    <t>1466</t>
  </si>
  <si>
    <t>545</t>
  </si>
  <si>
    <t>13/07/2025</t>
  </si>
  <si>
    <t>1925</t>
  </si>
  <si>
    <t>1885</t>
  </si>
  <si>
    <t>1930</t>
  </si>
  <si>
    <t>TN 09 CZ 3657</t>
  </si>
  <si>
    <t>2182</t>
  </si>
  <si>
    <t>3018</t>
  </si>
  <si>
    <t>1121</t>
  </si>
  <si>
    <t>2574</t>
  </si>
  <si>
    <t>823</t>
  </si>
  <si>
    <t>2208</t>
  </si>
  <si>
    <t>741</t>
  </si>
  <si>
    <t>2136</t>
  </si>
  <si>
    <t>1183</t>
  </si>
  <si>
    <t>2998</t>
  </si>
  <si>
    <t>1135</t>
  </si>
  <si>
    <t>1609</t>
  </si>
  <si>
    <t>931</t>
  </si>
  <si>
    <t>3170</t>
  </si>
  <si>
    <t>1912</t>
  </si>
  <si>
    <t>TN 48 HF 7574</t>
  </si>
  <si>
    <t>1749</t>
  </si>
  <si>
    <t>896</t>
  </si>
  <si>
    <t>2321</t>
  </si>
  <si>
    <t>995</t>
  </si>
  <si>
    <t>14/07/2025</t>
  </si>
  <si>
    <t>KARUMANDURAI</t>
  </si>
  <si>
    <t>1525</t>
  </si>
  <si>
    <t>2053</t>
  </si>
  <si>
    <t>2456</t>
  </si>
  <si>
    <t>1158</t>
  </si>
  <si>
    <t>2633</t>
  </si>
  <si>
    <t>1328</t>
  </si>
  <si>
    <t>286</t>
  </si>
  <si>
    <t>865</t>
  </si>
  <si>
    <t>4046</t>
  </si>
  <si>
    <t>2212</t>
  </si>
  <si>
    <t>2638</t>
  </si>
  <si>
    <t>1788</t>
  </si>
  <si>
    <t>920</t>
  </si>
  <si>
    <t>2824</t>
  </si>
  <si>
    <t>1724</t>
  </si>
  <si>
    <t>2710</t>
  </si>
  <si>
    <t>837</t>
  </si>
  <si>
    <t>839</t>
  </si>
  <si>
    <t>TN 57 6059</t>
  </si>
  <si>
    <t>1704</t>
  </si>
  <si>
    <t>900</t>
  </si>
  <si>
    <t>2779</t>
  </si>
  <si>
    <t>649</t>
  </si>
  <si>
    <t>15/07/2025</t>
  </si>
  <si>
    <t>2117</t>
  </si>
  <si>
    <t>1140</t>
  </si>
  <si>
    <t>2940</t>
  </si>
  <si>
    <t>955</t>
  </si>
  <si>
    <t>2640</t>
  </si>
  <si>
    <t>2240</t>
  </si>
  <si>
    <t>1243</t>
  </si>
  <si>
    <t>1207</t>
  </si>
  <si>
    <t>1260</t>
  </si>
  <si>
    <t>1940</t>
  </si>
  <si>
    <t>1416</t>
  </si>
  <si>
    <t>1287</t>
  </si>
  <si>
    <t>1695</t>
  </si>
  <si>
    <t>2159</t>
  </si>
  <si>
    <t>687</t>
  </si>
  <si>
    <t>702</t>
  </si>
  <si>
    <t>16/07/2025</t>
  </si>
  <si>
    <t>TN 48 AJ 7574</t>
  </si>
  <si>
    <t>2482</t>
  </si>
  <si>
    <t>322</t>
  </si>
  <si>
    <t>1637</t>
  </si>
  <si>
    <t>2547</t>
  </si>
  <si>
    <t>1612</t>
  </si>
  <si>
    <t>1256</t>
  </si>
  <si>
    <t>1494</t>
  </si>
  <si>
    <t>1023</t>
  </si>
  <si>
    <t>2447</t>
  </si>
  <si>
    <t>1802</t>
  </si>
  <si>
    <t>866</t>
  </si>
  <si>
    <t>1783</t>
  </si>
  <si>
    <t>2285</t>
  </si>
  <si>
    <t>1155</t>
  </si>
  <si>
    <t>2776</t>
  </si>
  <si>
    <t>2523</t>
  </si>
  <si>
    <t>2900</t>
  </si>
  <si>
    <t>917</t>
  </si>
  <si>
    <t>17/07/2025</t>
  </si>
  <si>
    <t>1391</t>
  </si>
  <si>
    <t>647</t>
  </si>
  <si>
    <t>2879</t>
  </si>
  <si>
    <t>1651</t>
  </si>
  <si>
    <t>1672</t>
  </si>
  <si>
    <t>766</t>
  </si>
  <si>
    <t>1902</t>
  </si>
  <si>
    <t>2675</t>
  </si>
  <si>
    <t>1022</t>
  </si>
  <si>
    <t>2831</t>
  </si>
  <si>
    <t>808</t>
  </si>
  <si>
    <t>18/07/2025</t>
  </si>
  <si>
    <t>3401</t>
  </si>
  <si>
    <t>327</t>
  </si>
  <si>
    <t>2105</t>
  </si>
  <si>
    <t>1063</t>
  </si>
  <si>
    <t>2401</t>
  </si>
  <si>
    <t>1454</t>
  </si>
  <si>
    <t>1719</t>
  </si>
  <si>
    <t>625</t>
  </si>
  <si>
    <t>2109</t>
  </si>
  <si>
    <t>1298</t>
  </si>
  <si>
    <t>240</t>
  </si>
  <si>
    <t>237</t>
  </si>
  <si>
    <t>923</t>
  </si>
  <si>
    <t>3714</t>
  </si>
  <si>
    <t>1966</t>
  </si>
  <si>
    <t>916</t>
  </si>
  <si>
    <t>2714</t>
  </si>
  <si>
    <t>1120</t>
  </si>
  <si>
    <t>3028</t>
  </si>
  <si>
    <t>979</t>
  </si>
  <si>
    <t>19/07/2025</t>
  </si>
  <si>
    <t>2044</t>
  </si>
  <si>
    <t>355</t>
  </si>
  <si>
    <t>1607</t>
  </si>
  <si>
    <t>1662</t>
  </si>
  <si>
    <t>2069</t>
  </si>
  <si>
    <t>801</t>
  </si>
  <si>
    <t>1981</t>
  </si>
  <si>
    <t>2757</t>
  </si>
  <si>
    <t>1707</t>
  </si>
  <si>
    <t>20/07/2025</t>
  </si>
  <si>
    <t>4064</t>
  </si>
  <si>
    <t>2620</t>
  </si>
  <si>
    <t>435</t>
  </si>
  <si>
    <t>2232</t>
  </si>
  <si>
    <t>892</t>
  </si>
  <si>
    <t>2040</t>
  </si>
  <si>
    <t>2296</t>
  </si>
  <si>
    <t>413</t>
  </si>
  <si>
    <t>2763</t>
  </si>
  <si>
    <t>976</t>
  </si>
  <si>
    <t>1065</t>
  </si>
  <si>
    <t>510</t>
  </si>
  <si>
    <t>1675</t>
  </si>
  <si>
    <t>1433</t>
  </si>
  <si>
    <t>2515</t>
  </si>
  <si>
    <t>2525</t>
  </si>
  <si>
    <t>1127</t>
  </si>
  <si>
    <t>21/07/2025</t>
  </si>
  <si>
    <t>2200</t>
  </si>
  <si>
    <t>723</t>
  </si>
  <si>
    <t>2223</t>
  </si>
  <si>
    <t>1639</t>
  </si>
  <si>
    <t>581</t>
  </si>
  <si>
    <t>1178</t>
  </si>
  <si>
    <t>1299</t>
  </si>
  <si>
    <t>3292</t>
  </si>
  <si>
    <t>2221</t>
  </si>
  <si>
    <t>758</t>
  </si>
  <si>
    <t>1932</t>
  </si>
  <si>
    <t>1249</t>
  </si>
  <si>
    <t>166</t>
  </si>
  <si>
    <t>22/07/2025</t>
  </si>
  <si>
    <t>4599</t>
  </si>
  <si>
    <t>206</t>
  </si>
  <si>
    <t>1634</t>
  </si>
  <si>
    <t>1911</t>
  </si>
  <si>
    <t>1074</t>
  </si>
  <si>
    <t>TN 47 BN 8057</t>
  </si>
  <si>
    <t>2601</t>
  </si>
  <si>
    <t>1467</t>
  </si>
  <si>
    <t>1108</t>
  </si>
  <si>
    <t>676</t>
  </si>
  <si>
    <t>1716</t>
  </si>
  <si>
    <t>1218</t>
  </si>
  <si>
    <t>963</t>
  </si>
  <si>
    <t>23/07/2025</t>
  </si>
  <si>
    <t>599</t>
  </si>
  <si>
    <t>1593</t>
  </si>
  <si>
    <t>1244</t>
  </si>
  <si>
    <t>2504</t>
  </si>
  <si>
    <t>1174</t>
  </si>
  <si>
    <t>570</t>
  </si>
  <si>
    <t>1021</t>
  </si>
  <si>
    <t>701</t>
  </si>
  <si>
    <t>3085</t>
  </si>
  <si>
    <t>1997</t>
  </si>
  <si>
    <t>2197</t>
  </si>
  <si>
    <t>1037</t>
  </si>
  <si>
    <t>24/07/2025</t>
  </si>
  <si>
    <t>1829</t>
  </si>
  <si>
    <t>967</t>
  </si>
  <si>
    <t>2541</t>
  </si>
  <si>
    <t>1690</t>
  </si>
  <si>
    <t>678</t>
  </si>
  <si>
    <t>2010</t>
  </si>
  <si>
    <t>482</t>
  </si>
  <si>
    <t>25.07.2025</t>
  </si>
  <si>
    <t>1576</t>
  </si>
  <si>
    <t>726</t>
  </si>
  <si>
    <t>1804</t>
  </si>
  <si>
    <t>26.07.2025</t>
  </si>
  <si>
    <t>4180</t>
  </si>
  <si>
    <t>2028</t>
  </si>
  <si>
    <t>437</t>
  </si>
  <si>
    <t>38</t>
  </si>
  <si>
    <t>135</t>
  </si>
  <si>
    <t>55</t>
  </si>
  <si>
    <t>6424</t>
  </si>
  <si>
    <t>27-07-2025</t>
  </si>
  <si>
    <t>2384</t>
  </si>
  <si>
    <t>1214</t>
  </si>
  <si>
    <t>552</t>
  </si>
  <si>
    <t>28-07-2025</t>
  </si>
  <si>
    <t>4461</t>
  </si>
  <si>
    <t>1915</t>
  </si>
  <si>
    <t>442</t>
  </si>
  <si>
    <t>266</t>
  </si>
  <si>
    <t>1422</t>
  </si>
  <si>
    <t>1088</t>
  </si>
  <si>
    <t>31-07-2025</t>
  </si>
  <si>
    <t>1642</t>
  </si>
  <si>
    <t>978</t>
  </si>
  <si>
    <t>3166</t>
  </si>
  <si>
    <t>01-08-2025</t>
  </si>
  <si>
    <t>3695</t>
  </si>
  <si>
    <t>3130</t>
  </si>
  <si>
    <t>463</t>
  </si>
  <si>
    <t>121</t>
  </si>
  <si>
    <t>671</t>
  </si>
  <si>
    <t>751</t>
  </si>
  <si>
    <t>4676</t>
  </si>
  <si>
    <t>03-08-2025</t>
  </si>
  <si>
    <t>3953</t>
  </si>
  <si>
    <t>2834</t>
  </si>
  <si>
    <t>1976</t>
  </si>
  <si>
    <t>1273</t>
  </si>
  <si>
    <t>387</t>
  </si>
  <si>
    <t>518</t>
  </si>
  <si>
    <t>351</t>
  </si>
  <si>
    <t>1275</t>
  </si>
  <si>
    <t>2466</t>
  </si>
  <si>
    <t>04-08-2025</t>
  </si>
  <si>
    <t xml:space="preserve">BOMMIDI </t>
  </si>
  <si>
    <t>3752</t>
  </si>
  <si>
    <t>419</t>
  </si>
  <si>
    <t>05-08-2025</t>
  </si>
  <si>
    <t>3675</t>
  </si>
  <si>
    <t>942</t>
  </si>
  <si>
    <t>07.08.2025</t>
  </si>
  <si>
    <t>TN 48 BW 7081</t>
  </si>
  <si>
    <t xml:space="preserve">NATHAM </t>
  </si>
  <si>
    <t>297</t>
  </si>
  <si>
    <t>51</t>
  </si>
  <si>
    <t>60+</t>
  </si>
  <si>
    <t>42</t>
  </si>
  <si>
    <t>56</t>
  </si>
  <si>
    <t>24</t>
  </si>
  <si>
    <t>4116</t>
  </si>
  <si>
    <t>08.08.2025</t>
  </si>
  <si>
    <t>PAPPARAPATTI</t>
  </si>
  <si>
    <t>71</t>
  </si>
  <si>
    <t>587</t>
  </si>
  <si>
    <t>441</t>
  </si>
  <si>
    <t>1233</t>
  </si>
  <si>
    <t>09.08.2025</t>
  </si>
  <si>
    <t>TN 75 C 6511</t>
  </si>
  <si>
    <t>3536</t>
  </si>
  <si>
    <t>1515</t>
  </si>
  <si>
    <t>10.08.2025</t>
  </si>
  <si>
    <t>217</t>
  </si>
  <si>
    <t>494</t>
  </si>
  <si>
    <t>253</t>
  </si>
  <si>
    <t>5587</t>
  </si>
  <si>
    <t>11.08.2025</t>
  </si>
  <si>
    <t>3119</t>
  </si>
  <si>
    <t>1503</t>
  </si>
  <si>
    <t>TN 58 BW 7081</t>
  </si>
  <si>
    <t>113</t>
  </si>
  <si>
    <t>43</t>
  </si>
  <si>
    <t>29</t>
  </si>
  <si>
    <t>50</t>
  </si>
  <si>
    <t>36</t>
  </si>
  <si>
    <t>353</t>
  </si>
  <si>
    <t>63</t>
  </si>
  <si>
    <t>57</t>
  </si>
  <si>
    <t>62</t>
  </si>
  <si>
    <t>66</t>
  </si>
  <si>
    <t>12.08.2025</t>
  </si>
  <si>
    <t>26</t>
  </si>
  <si>
    <t>21</t>
  </si>
  <si>
    <t>40+</t>
  </si>
  <si>
    <t>864</t>
  </si>
  <si>
    <t>13.08.2025</t>
  </si>
  <si>
    <t>757</t>
  </si>
  <si>
    <t>152</t>
  </si>
  <si>
    <t>87</t>
  </si>
  <si>
    <t>61</t>
  </si>
  <si>
    <t>18</t>
  </si>
  <si>
    <t>TN 57 BW 7081</t>
  </si>
  <si>
    <t>331</t>
  </si>
  <si>
    <t>46</t>
  </si>
  <si>
    <t>39</t>
  </si>
  <si>
    <t>64</t>
  </si>
  <si>
    <t>67</t>
  </si>
  <si>
    <t>14.08.2025</t>
  </si>
  <si>
    <t>572</t>
  </si>
  <si>
    <t>16.08.2025</t>
  </si>
  <si>
    <t>107</t>
  </si>
  <si>
    <t>555</t>
  </si>
  <si>
    <t>09</t>
  </si>
  <si>
    <t>JAMUNAMARATHUR</t>
  </si>
  <si>
    <t>4361</t>
  </si>
  <si>
    <t>129</t>
  </si>
  <si>
    <t>81</t>
  </si>
  <si>
    <t>59</t>
  </si>
  <si>
    <t>1611</t>
  </si>
  <si>
    <t>562</t>
  </si>
  <si>
    <t>18.08.2025</t>
  </si>
  <si>
    <t>512</t>
  </si>
  <si>
    <t>07</t>
  </si>
  <si>
    <t>3757</t>
  </si>
  <si>
    <t>2236</t>
  </si>
  <si>
    <t>20.08.2025</t>
  </si>
  <si>
    <t>4391</t>
  </si>
  <si>
    <t>2316</t>
  </si>
  <si>
    <t>388</t>
  </si>
  <si>
    <t>4470</t>
  </si>
  <si>
    <t>1477</t>
  </si>
  <si>
    <t>21.08.2025</t>
  </si>
  <si>
    <t>428</t>
  </si>
  <si>
    <t>179</t>
  </si>
  <si>
    <t>136</t>
  </si>
  <si>
    <t>78</t>
  </si>
  <si>
    <t>33</t>
  </si>
  <si>
    <t>TN 58 BN 7081</t>
  </si>
  <si>
    <t>399</t>
  </si>
  <si>
    <t>70</t>
  </si>
  <si>
    <t>75</t>
  </si>
  <si>
    <t>88</t>
  </si>
  <si>
    <t>2047</t>
  </si>
  <si>
    <t>392</t>
  </si>
  <si>
    <t>22.08.2025</t>
  </si>
  <si>
    <t>TN 57 DD 2586</t>
  </si>
  <si>
    <t>4505</t>
  </si>
  <si>
    <t>1965</t>
  </si>
  <si>
    <t>TN 40 AV 4070</t>
  </si>
  <si>
    <t>3671</t>
  </si>
  <si>
    <t>636</t>
  </si>
  <si>
    <t>23.08.2025</t>
  </si>
  <si>
    <t>233</t>
  </si>
  <si>
    <t>160</t>
  </si>
  <si>
    <t>159</t>
  </si>
  <si>
    <t>80</t>
  </si>
  <si>
    <t>386</t>
  </si>
  <si>
    <t>101</t>
  </si>
  <si>
    <t>125</t>
  </si>
  <si>
    <t>TN 48 AN 5160</t>
  </si>
  <si>
    <t>2056</t>
  </si>
  <si>
    <t>1104</t>
  </si>
  <si>
    <t>389</t>
  </si>
  <si>
    <t>3699</t>
  </si>
  <si>
    <t>1039</t>
  </si>
  <si>
    <t>359</t>
  </si>
  <si>
    <t>24.08.2025</t>
  </si>
  <si>
    <t>3248</t>
  </si>
  <si>
    <t>2025</t>
  </si>
  <si>
    <t>TN 48 AL 5160</t>
  </si>
  <si>
    <t>3451</t>
  </si>
  <si>
    <t>1789</t>
  </si>
  <si>
    <t>742</t>
  </si>
  <si>
    <t>3232</t>
  </si>
  <si>
    <t>1585</t>
  </si>
  <si>
    <t>3206</t>
  </si>
  <si>
    <t>2364</t>
  </si>
  <si>
    <t>991</t>
  </si>
  <si>
    <t>25.08.2025</t>
  </si>
  <si>
    <t>374</t>
  </si>
  <si>
    <t>239</t>
  </si>
  <si>
    <t>2946</t>
  </si>
  <si>
    <t>1544</t>
  </si>
  <si>
    <t>1040</t>
  </si>
  <si>
    <t>317</t>
  </si>
  <si>
    <t>4483</t>
  </si>
  <si>
    <t>1490</t>
  </si>
  <si>
    <t>503</t>
  </si>
  <si>
    <t>1336</t>
  </si>
  <si>
    <t>2280</t>
  </si>
  <si>
    <t>26.08.2025</t>
  </si>
  <si>
    <t>TN 02 BU 4626</t>
  </si>
  <si>
    <t>4250</t>
  </si>
  <si>
    <t>2313</t>
  </si>
  <si>
    <t>TN 57 BK 1670</t>
  </si>
  <si>
    <t>3854</t>
  </si>
  <si>
    <t>1987</t>
  </si>
  <si>
    <t>668</t>
  </si>
  <si>
    <t>4189</t>
  </si>
  <si>
    <t>1228</t>
  </si>
  <si>
    <t>27.08.2025</t>
  </si>
  <si>
    <t>356</t>
  </si>
  <si>
    <t>172</t>
  </si>
  <si>
    <t>48</t>
  </si>
  <si>
    <t>86</t>
  </si>
  <si>
    <t>68</t>
  </si>
  <si>
    <t>241</t>
  </si>
  <si>
    <t>100</t>
  </si>
  <si>
    <t>93</t>
  </si>
  <si>
    <t>4276</t>
  </si>
  <si>
    <t>2284</t>
  </si>
  <si>
    <t>458</t>
  </si>
  <si>
    <t>4888</t>
  </si>
  <si>
    <t>28.08.2025</t>
  </si>
  <si>
    <t>TN 48 AJ 1860</t>
  </si>
  <si>
    <t>6135</t>
  </si>
  <si>
    <t>1587</t>
  </si>
  <si>
    <t>733</t>
  </si>
  <si>
    <t>4069</t>
  </si>
  <si>
    <t>2252</t>
  </si>
  <si>
    <t>4618</t>
  </si>
  <si>
    <t>791</t>
  </si>
  <si>
    <t>502</t>
  </si>
  <si>
    <t>3412</t>
  </si>
  <si>
    <t>899</t>
  </si>
  <si>
    <t>29.08.2025</t>
  </si>
  <si>
    <t>251</t>
  </si>
  <si>
    <t>35</t>
  </si>
  <si>
    <t>117</t>
  </si>
  <si>
    <t>5579</t>
  </si>
  <si>
    <t>1502</t>
  </si>
  <si>
    <t>367</t>
  </si>
  <si>
    <t>30.08.2025</t>
  </si>
  <si>
    <t>4670</t>
  </si>
  <si>
    <t>1483</t>
  </si>
  <si>
    <t>666</t>
  </si>
  <si>
    <t>3766</t>
  </si>
  <si>
    <t>1031</t>
  </si>
  <si>
    <t>2842</t>
  </si>
  <si>
    <t>1027</t>
  </si>
  <si>
    <t>270</t>
  </si>
  <si>
    <t>5214</t>
  </si>
  <si>
    <t>1366</t>
  </si>
  <si>
    <t>372</t>
  </si>
  <si>
    <t>31.08.2025</t>
  </si>
  <si>
    <t>31</t>
  </si>
  <si>
    <t>45</t>
  </si>
  <si>
    <t>60</t>
  </si>
  <si>
    <t>365</t>
  </si>
  <si>
    <t>287</t>
  </si>
  <si>
    <t>168</t>
  </si>
  <si>
    <t>74</t>
  </si>
  <si>
    <t>4151</t>
  </si>
  <si>
    <t>128</t>
  </si>
  <si>
    <t>1113</t>
  </si>
  <si>
    <t>412</t>
  </si>
  <si>
    <t>194</t>
  </si>
  <si>
    <t>137</t>
  </si>
  <si>
    <t>1372</t>
  </si>
  <si>
    <t>369</t>
  </si>
  <si>
    <t>SANTHAVASAL</t>
  </si>
  <si>
    <t>1261</t>
  </si>
  <si>
    <t>930</t>
  </si>
  <si>
    <t>144</t>
  </si>
  <si>
    <t>919</t>
  </si>
  <si>
    <t>524</t>
  </si>
  <si>
    <t>164</t>
  </si>
  <si>
    <t>SINGARAPETTAI</t>
  </si>
  <si>
    <t>4</t>
  </si>
  <si>
    <t>878</t>
  </si>
  <si>
    <t>200</t>
  </si>
  <si>
    <t>01.09.2025</t>
  </si>
  <si>
    <t>3721</t>
  </si>
  <si>
    <t>544</t>
  </si>
  <si>
    <t>1780</t>
  </si>
  <si>
    <t>2108</t>
  </si>
  <si>
    <t>906</t>
  </si>
  <si>
    <t>4170</t>
  </si>
  <si>
    <t>582</t>
  </si>
  <si>
    <t>02.09.2025</t>
  </si>
  <si>
    <t>106</t>
  </si>
  <si>
    <t>34</t>
  </si>
  <si>
    <t>158</t>
  </si>
  <si>
    <t>4325</t>
  </si>
  <si>
    <t>489</t>
  </si>
  <si>
    <t>03.09.2025</t>
  </si>
  <si>
    <t>134</t>
  </si>
  <si>
    <t>1132</t>
  </si>
  <si>
    <t>04.09.2025</t>
  </si>
  <si>
    <t>30</t>
  </si>
  <si>
    <t>161</t>
  </si>
  <si>
    <t>20</t>
  </si>
  <si>
    <t>16</t>
  </si>
  <si>
    <t>25</t>
  </si>
  <si>
    <t>1234</t>
  </si>
  <si>
    <t>05.09.2025</t>
  </si>
  <si>
    <t>5182</t>
  </si>
  <si>
    <t>1563</t>
  </si>
  <si>
    <t>06.09.2025</t>
  </si>
  <si>
    <t>4026</t>
  </si>
  <si>
    <t>345</t>
  </si>
  <si>
    <t>640</t>
  </si>
  <si>
    <t>08.09.2025</t>
  </si>
  <si>
    <t>TN 58 AW 7081</t>
  </si>
  <si>
    <t>243</t>
  </si>
  <si>
    <t>3711</t>
  </si>
  <si>
    <t>143</t>
  </si>
  <si>
    <t>09.09.2025</t>
  </si>
  <si>
    <t>TN 48 AS 1866</t>
  </si>
  <si>
    <t>2683</t>
  </si>
  <si>
    <t>1407</t>
  </si>
  <si>
    <t>755</t>
  </si>
  <si>
    <t>10.09.2025</t>
  </si>
  <si>
    <t>TN 37DA 6135</t>
  </si>
  <si>
    <t>4805</t>
  </si>
  <si>
    <t>1187</t>
  </si>
  <si>
    <t>810</t>
  </si>
  <si>
    <t>11.09.2025</t>
  </si>
  <si>
    <t>2423</t>
  </si>
  <si>
    <t>1068</t>
  </si>
  <si>
    <t>12.09.2025</t>
  </si>
  <si>
    <t>4479</t>
  </si>
  <si>
    <t>982</t>
  </si>
  <si>
    <t>13.09.2025</t>
  </si>
  <si>
    <t>4821</t>
  </si>
  <si>
    <t>1586</t>
  </si>
  <si>
    <t>15.09.2025</t>
  </si>
  <si>
    <t>03.10.2025</t>
  </si>
  <si>
    <t>TN 57 AQ 6699</t>
  </si>
  <si>
    <t>116</t>
  </si>
  <si>
    <t>-</t>
  </si>
  <si>
    <t>281</t>
  </si>
  <si>
    <t>314</t>
  </si>
  <si>
    <t>473</t>
  </si>
  <si>
    <t>07.10.2025</t>
  </si>
  <si>
    <t>TN 24 AX 7360</t>
  </si>
  <si>
    <t>3629</t>
  </si>
  <si>
    <t>460</t>
  </si>
  <si>
    <t>4595</t>
  </si>
  <si>
    <t>407</t>
  </si>
  <si>
    <t>08.10.2025</t>
  </si>
  <si>
    <t>TN 24 AZ 4875</t>
  </si>
  <si>
    <t>1047</t>
  </si>
  <si>
    <t>1357</t>
  </si>
  <si>
    <t>1951</t>
  </si>
  <si>
    <t>2301</t>
  </si>
  <si>
    <t>2271</t>
  </si>
  <si>
    <t>4067</t>
  </si>
  <si>
    <t>1630</t>
  </si>
  <si>
    <t>294</t>
  </si>
  <si>
    <t>09.10.2025</t>
  </si>
  <si>
    <t>2166</t>
  </si>
  <si>
    <t>3642</t>
  </si>
  <si>
    <t>948</t>
  </si>
  <si>
    <t>4937</t>
  </si>
  <si>
    <t>347</t>
  </si>
  <si>
    <t>10.10.2025</t>
  </si>
  <si>
    <t>4146</t>
  </si>
  <si>
    <t>3964</t>
  </si>
  <si>
    <t>3933</t>
  </si>
  <si>
    <t>533</t>
  </si>
  <si>
    <t>KA 36 C 2474</t>
  </si>
  <si>
    <t>622</t>
  </si>
  <si>
    <t>1625</t>
  </si>
  <si>
    <t>1873</t>
  </si>
  <si>
    <t>891</t>
  </si>
  <si>
    <t>11.10.2025</t>
  </si>
  <si>
    <t>4363</t>
  </si>
  <si>
    <t>2506</t>
  </si>
  <si>
    <t>703</t>
  </si>
  <si>
    <t>12.10.2025</t>
  </si>
  <si>
    <t>4070</t>
  </si>
  <si>
    <t>1983</t>
  </si>
  <si>
    <t>443</t>
  </si>
  <si>
    <t>TN 57 AK 5366</t>
  </si>
  <si>
    <t>3174</t>
  </si>
  <si>
    <t>2960</t>
  </si>
  <si>
    <t>1124</t>
  </si>
  <si>
    <t>605</t>
  </si>
  <si>
    <t>797</t>
  </si>
  <si>
    <t>1528</t>
  </si>
  <si>
    <t>1418</t>
  </si>
  <si>
    <t>13.10.2025</t>
  </si>
  <si>
    <t>TN 25 CD 9400</t>
  </si>
  <si>
    <t>3680</t>
  </si>
  <si>
    <t>1441</t>
  </si>
  <si>
    <t>3111</t>
  </si>
  <si>
    <t>2098</t>
  </si>
  <si>
    <t>329</t>
  </si>
  <si>
    <t>14.10.2025</t>
  </si>
  <si>
    <t>2986</t>
  </si>
  <si>
    <t>259</t>
  </si>
  <si>
    <t>TN 57 CB 1499</t>
  </si>
  <si>
    <t>3672</t>
  </si>
  <si>
    <t>15.10.2025</t>
  </si>
  <si>
    <t>3619</t>
  </si>
  <si>
    <t>2341</t>
  </si>
  <si>
    <t>827</t>
  </si>
  <si>
    <t>880</t>
  </si>
  <si>
    <t>165</t>
  </si>
  <si>
    <t>2004</t>
  </si>
  <si>
    <t>1791</t>
  </si>
  <si>
    <t>1085</t>
  </si>
  <si>
    <t>16.10.2025</t>
  </si>
  <si>
    <t>3782</t>
  </si>
  <si>
    <t>1903</t>
  </si>
  <si>
    <t>17.10.2025</t>
  </si>
  <si>
    <t>TN 57 BP  2586</t>
  </si>
  <si>
    <t>4426</t>
  </si>
  <si>
    <t>2231</t>
  </si>
  <si>
    <t>568</t>
  </si>
  <si>
    <t>3492</t>
  </si>
  <si>
    <t>3425</t>
  </si>
  <si>
    <t>130</t>
  </si>
  <si>
    <t>2204</t>
  </si>
  <si>
    <t>1360</t>
  </si>
  <si>
    <t>315</t>
  </si>
  <si>
    <t>18.10.2025</t>
  </si>
  <si>
    <t>4316</t>
  </si>
  <si>
    <t>2723</t>
  </si>
  <si>
    <t>377</t>
  </si>
  <si>
    <t>2956</t>
  </si>
  <si>
    <t>1263</t>
  </si>
  <si>
    <t>TN 25 CB 9400</t>
  </si>
  <si>
    <t>2578</t>
  </si>
  <si>
    <t>2345</t>
  </si>
  <si>
    <t>404</t>
  </si>
  <si>
    <t>TN 37 BA 6135</t>
  </si>
  <si>
    <t>3306</t>
  </si>
  <si>
    <t>1967</t>
  </si>
  <si>
    <t>712</t>
  </si>
  <si>
    <t>19.10.2025</t>
  </si>
  <si>
    <t>3570</t>
  </si>
  <si>
    <t>3073</t>
  </si>
  <si>
    <t>3350</t>
  </si>
  <si>
    <t>2835</t>
  </si>
  <si>
    <t>1988</t>
  </si>
  <si>
    <t>639</t>
  </si>
  <si>
    <t>TN 48 AV 5160</t>
  </si>
  <si>
    <t>GGCL</t>
  </si>
  <si>
    <t>3095</t>
  </si>
  <si>
    <t>20.10.2025</t>
  </si>
  <si>
    <t>TN 24 AQ 1757</t>
  </si>
  <si>
    <t>3154</t>
  </si>
  <si>
    <t>358</t>
  </si>
  <si>
    <t>3307</t>
  </si>
  <si>
    <t>2881</t>
  </si>
  <si>
    <t>472</t>
  </si>
  <si>
    <t>22.10.2025</t>
  </si>
  <si>
    <t>3586</t>
  </si>
  <si>
    <t>2808</t>
  </si>
  <si>
    <t>218</t>
  </si>
  <si>
    <t>4144</t>
  </si>
  <si>
    <t>2495</t>
  </si>
  <si>
    <t>263</t>
  </si>
  <si>
    <t>23.10.2025</t>
  </si>
  <si>
    <t>4200</t>
  </si>
  <si>
    <t>2745</t>
  </si>
  <si>
    <t>722</t>
  </si>
  <si>
    <t>24.10.2025</t>
  </si>
  <si>
    <t>TN 47 BR 3178</t>
  </si>
  <si>
    <t>2743</t>
  </si>
  <si>
    <t>3173</t>
  </si>
  <si>
    <t>22</t>
  </si>
  <si>
    <t>290</t>
  </si>
  <si>
    <t xml:space="preserve">GGCL </t>
  </si>
  <si>
    <t>3222</t>
  </si>
  <si>
    <t>94</t>
  </si>
  <si>
    <t>151</t>
  </si>
  <si>
    <t>280</t>
  </si>
  <si>
    <t>716</t>
  </si>
  <si>
    <t>1425</t>
  </si>
  <si>
    <t>4191</t>
  </si>
  <si>
    <t>25.10.2025</t>
  </si>
  <si>
    <t>2801</t>
  </si>
  <si>
    <t>3505</t>
  </si>
  <si>
    <t>1006</t>
  </si>
  <si>
    <t>3048</t>
  </si>
  <si>
    <t>1459</t>
  </si>
  <si>
    <t>1217</t>
  </si>
  <si>
    <t>643</t>
  </si>
  <si>
    <t>1025</t>
  </si>
  <si>
    <t>430</t>
  </si>
  <si>
    <t>26.10.2025</t>
  </si>
  <si>
    <t>352</t>
  </si>
  <si>
    <t>2225</t>
  </si>
  <si>
    <t>307</t>
  </si>
  <si>
    <t>265</t>
  </si>
  <si>
    <t>320</t>
  </si>
  <si>
    <t>1439</t>
  </si>
  <si>
    <t>1115</t>
  </si>
  <si>
    <t>395</t>
  </si>
  <si>
    <t>3223</t>
  </si>
  <si>
    <t>2883</t>
  </si>
  <si>
    <t>3456</t>
  </si>
  <si>
    <t>951</t>
  </si>
  <si>
    <t>27.10.2025</t>
  </si>
  <si>
    <t>TN 81 F 6104</t>
  </si>
  <si>
    <t>2618</t>
  </si>
  <si>
    <t>169</t>
  </si>
  <si>
    <t>4380</t>
  </si>
  <si>
    <t>3016</t>
  </si>
  <si>
    <t>249</t>
  </si>
  <si>
    <t>TN 26 BP 2586</t>
  </si>
  <si>
    <t>765</t>
  </si>
  <si>
    <t>1053</t>
  </si>
  <si>
    <t>28.10.2025</t>
  </si>
  <si>
    <t>3480</t>
  </si>
  <si>
    <t>2680</t>
  </si>
  <si>
    <t>4079</t>
  </si>
  <si>
    <t>3082</t>
  </si>
  <si>
    <t>318</t>
  </si>
  <si>
    <t>1240</t>
  </si>
  <si>
    <t>542</t>
  </si>
  <si>
    <t>527</t>
  </si>
  <si>
    <t>29.10.2025</t>
  </si>
  <si>
    <t>2767</t>
  </si>
  <si>
    <t>1172</t>
  </si>
  <si>
    <t>1878</t>
  </si>
  <si>
    <t>631</t>
  </si>
  <si>
    <t>267</t>
  </si>
  <si>
    <t>4323</t>
  </si>
  <si>
    <t>3396</t>
  </si>
  <si>
    <t>291</t>
  </si>
  <si>
    <t>30.10.2025</t>
  </si>
  <si>
    <t>TN 57 BK 5266</t>
  </si>
  <si>
    <t>1069</t>
  </si>
  <si>
    <t>TN 25 CP 9400</t>
  </si>
  <si>
    <t>3999</t>
  </si>
  <si>
    <t>2403</t>
  </si>
  <si>
    <t>279</t>
  </si>
  <si>
    <t>TN 57 BH 1670</t>
  </si>
  <si>
    <t>3995</t>
  </si>
  <si>
    <t>31.10.2025</t>
  </si>
  <si>
    <t>TN 31 F 6104</t>
  </si>
  <si>
    <t>3496</t>
  </si>
  <si>
    <t>663</t>
  </si>
  <si>
    <t>1043</t>
  </si>
  <si>
    <t>451</t>
  </si>
  <si>
    <t>126</t>
  </si>
  <si>
    <t>1310</t>
  </si>
  <si>
    <t>710</t>
  </si>
  <si>
    <t>58</t>
  </si>
  <si>
    <t>910</t>
  </si>
  <si>
    <t>616</t>
  </si>
  <si>
    <t>97</t>
  </si>
  <si>
    <t>SEG QUT</t>
  </si>
  <si>
    <t>1055</t>
  </si>
  <si>
    <t>4.8</t>
  </si>
  <si>
    <t>5.9</t>
  </si>
  <si>
    <t>0.8</t>
  </si>
  <si>
    <t>0.5</t>
  </si>
  <si>
    <t>1.0</t>
  </si>
  <si>
    <t>1.9</t>
  </si>
  <si>
    <t>2.8</t>
  </si>
  <si>
    <t>3.9</t>
  </si>
  <si>
    <t>Manju Agro</t>
  </si>
  <si>
    <t>Guru Agro</t>
  </si>
  <si>
    <t>Palaniandavar Agro</t>
  </si>
  <si>
    <t>Area/Agent</t>
  </si>
  <si>
    <t>Manager</t>
  </si>
  <si>
    <t>Field 
160+</t>
  </si>
  <si>
    <t>Field 100+</t>
  </si>
  <si>
    <t>Filed
80+</t>
  </si>
  <si>
    <t>Field 
60+</t>
  </si>
  <si>
    <t>Field 
30+</t>
  </si>
  <si>
    <t>Field
30-</t>
  </si>
  <si>
    <t>Field Total</t>
  </si>
  <si>
    <t>4256</t>
  </si>
  <si>
    <t>5819</t>
  </si>
  <si>
    <t>3001</t>
  </si>
  <si>
    <t>1681</t>
  </si>
  <si>
    <t>1670</t>
  </si>
  <si>
    <t>348</t>
  </si>
  <si>
    <t>3138</t>
  </si>
  <si>
    <t>2748</t>
  </si>
  <si>
    <t>4160</t>
  </si>
  <si>
    <t>3761</t>
  </si>
  <si>
    <t>2611</t>
  </si>
  <si>
    <t>3894</t>
  </si>
  <si>
    <t>2551</t>
  </si>
  <si>
    <t>3333</t>
  </si>
  <si>
    <t>Factory Date</t>
  </si>
  <si>
    <t>Factory
160+</t>
  </si>
  <si>
    <t>Factory 100+</t>
  </si>
  <si>
    <t>Factory
80+</t>
  </si>
  <si>
    <t>Factory 60+</t>
  </si>
  <si>
    <t>Factory 
30+</t>
  </si>
  <si>
    <t>Factory 30-</t>
  </si>
  <si>
    <t>Factory Total</t>
  </si>
  <si>
    <t xml:space="preserve"> </t>
  </si>
  <si>
    <t>Thilagar</t>
  </si>
  <si>
    <t>Supplier</t>
  </si>
  <si>
    <t>Ranganath</t>
  </si>
  <si>
    <t>Saravanan</t>
  </si>
  <si>
    <t>Zahir</t>
  </si>
  <si>
    <t>BOMMIDI</t>
  </si>
  <si>
    <t>CHELUR</t>
  </si>
  <si>
    <t>KOTTUR</t>
  </si>
  <si>
    <t>HADAGALI</t>
  </si>
  <si>
    <t>HULIYUR</t>
  </si>
  <si>
    <t xml:space="preserve">Jamunamarathur </t>
  </si>
  <si>
    <t xml:space="preserve">Kustagi </t>
  </si>
  <si>
    <t xml:space="preserve">Kalvarayan Hills </t>
  </si>
  <si>
    <t xml:space="preserve">Singarapettai </t>
  </si>
  <si>
    <t>Media</t>
  </si>
  <si>
    <t>Field grade</t>
  </si>
  <si>
    <t>Work</t>
  </si>
  <si>
    <t>Suppliers</t>
  </si>
  <si>
    <t>Total Qty</t>
  </si>
  <si>
    <t>Actual grade</t>
  </si>
  <si>
    <t>Actual kg</t>
  </si>
  <si>
    <t>Actual %</t>
  </si>
  <si>
    <t>O/S-kg</t>
  </si>
  <si>
    <t>O/S-%</t>
  </si>
  <si>
    <t>U/S</t>
  </si>
  <si>
    <t>U/S-%</t>
  </si>
  <si>
    <t>Waste-kg</t>
  </si>
  <si>
    <t>Waste-%</t>
  </si>
  <si>
    <t>weight loss- kg</t>
  </si>
  <si>
    <t>Weight loss - %</t>
  </si>
  <si>
    <t>Soft - kg</t>
  </si>
  <si>
    <t>Soft - %</t>
  </si>
  <si>
    <t>CN-kg</t>
  </si>
  <si>
    <t>CN-%</t>
  </si>
  <si>
    <t>over all</t>
  </si>
  <si>
    <t>Target %</t>
  </si>
  <si>
    <t>02-06-2025</t>
  </si>
  <si>
    <t>AA</t>
  </si>
  <si>
    <t>GM</t>
  </si>
  <si>
    <t>300/450</t>
  </si>
  <si>
    <t>CN</t>
  </si>
  <si>
    <t>Belt</t>
  </si>
  <si>
    <t>80/120</t>
  </si>
  <si>
    <t>Table</t>
  </si>
  <si>
    <t>20/30</t>
  </si>
  <si>
    <t>BR</t>
  </si>
  <si>
    <t>GCI</t>
  </si>
  <si>
    <t>10/30</t>
  </si>
  <si>
    <t>03-06-2025</t>
  </si>
  <si>
    <t>04-06-2025</t>
  </si>
  <si>
    <t>05-06-2025</t>
  </si>
  <si>
    <t>150/300</t>
  </si>
  <si>
    <t>40/80</t>
  </si>
  <si>
    <t>06-06-2025</t>
  </si>
  <si>
    <t>07-06-2025</t>
  </si>
  <si>
    <t>09-06-2025</t>
  </si>
  <si>
    <t>Nav</t>
  </si>
  <si>
    <t>Topping</t>
  </si>
  <si>
    <t>30/60</t>
  </si>
  <si>
    <t>Skanda Agro</t>
  </si>
  <si>
    <t>10-06-2025</t>
  </si>
  <si>
    <t>60/100</t>
  </si>
  <si>
    <t>11-06-2025</t>
  </si>
  <si>
    <t>NAV</t>
  </si>
  <si>
    <t>12-06-2025</t>
  </si>
  <si>
    <t>13-06-2025</t>
  </si>
  <si>
    <t>D TO D</t>
  </si>
  <si>
    <t>LID CULLING</t>
  </si>
  <si>
    <t>14-06-2025</t>
  </si>
  <si>
    <t>F.MIX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</si>
  <si>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</si>
  <si>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</si>
  <si>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</si>
  <si>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</si>
  <si>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</si>
  <si>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</si>
  <si>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</si>
  <si>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</si>
  <si>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</si>
  <si>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</si>
  <si>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</si>
  <si>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</si>
  <si>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NKMS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</si>
  <si>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</si>
  <si>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</si>
  <si>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</si>
  <si>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</si>
  <si>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</si>
  <si>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</si>
  <si>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</si>
  <si>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</si>
  <si>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</si>
  <si>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</si>
  <si>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</si>
  <si>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</si>
  <si>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PAILS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</si>
  <si>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</si>
  <si>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</si>
  <si>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</si>
  <si>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</si>
  <si>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</si>
  <si>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</si>
  <si>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</si>
  <si>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</si>
  <si>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</si>
  <si>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</si>
  <si>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</si>
  <si>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</si>
  <si>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UR AGRO</t>
  </si>
  <si>
    <t>21-07-2025</t>
  </si>
  <si>
    <t>22-07-2025</t>
  </si>
  <si>
    <t>23-07-2025</t>
  </si>
  <si>
    <t>OV</t>
  </si>
  <si>
    <t>24-07-2025</t>
  </si>
  <si>
    <t>25-07-2025</t>
  </si>
  <si>
    <t>26-07-2025</t>
  </si>
  <si>
    <t>29-07-2025</t>
  </si>
  <si>
    <t>30-07-2025</t>
  </si>
  <si>
    <t>Lid culling</t>
  </si>
  <si>
    <t>02-08-2025</t>
  </si>
  <si>
    <t>06-08-2025</t>
  </si>
  <si>
    <t>07-08-2025</t>
  </si>
  <si>
    <t>08-08-2025</t>
  </si>
  <si>
    <t>C.CUT</t>
  </si>
  <si>
    <t>09-08-2025</t>
  </si>
  <si>
    <t>11-08-2025</t>
  </si>
  <si>
    <t>12-08-2025</t>
  </si>
  <si>
    <t>13-08-2025</t>
  </si>
  <si>
    <t>14-08-2025</t>
  </si>
  <si>
    <t>16-08-2025</t>
  </si>
  <si>
    <t>18-08-2025</t>
  </si>
  <si>
    <t>19-08-2025</t>
  </si>
  <si>
    <t>20-08-2025</t>
  </si>
  <si>
    <t>21-08-2025</t>
  </si>
  <si>
    <t>belt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</si>
  <si>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</si>
  <si>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</si>
  <si>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</si>
  <si>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</si>
  <si>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</si>
  <si>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</si>
  <si>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</si>
  <si>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120/150</t>
  </si>
  <si>
    <t>29-08-2025</t>
  </si>
  <si>
    <t>30-08-2025</t>
  </si>
  <si>
    <t>01-09-2025</t>
  </si>
  <si>
    <t>02-09-2025</t>
  </si>
  <si>
    <t>03-09-2025</t>
  </si>
  <si>
    <t>04-09-2025</t>
  </si>
  <si>
    <t>05-09-2025</t>
  </si>
  <si>
    <t>06-09-2025</t>
  </si>
  <si>
    <t>08-09-2025</t>
  </si>
  <si>
    <t>09-09-2025</t>
  </si>
  <si>
    <t>10-09-2025</t>
  </si>
  <si>
    <t>11-09-2025</t>
  </si>
  <si>
    <t>12-09-2025</t>
  </si>
  <si>
    <t>13-09-2025</t>
  </si>
  <si>
    <t>Foures agro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</si>
  <si>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</si>
  <si>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</si>
  <si>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</si>
  <si>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</si>
  <si>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</si>
  <si>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</si>
  <si>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</si>
  <si>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</si>
  <si>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</si>
  <si>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</si>
  <si>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</si>
  <si>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Field mix</t>
  </si>
  <si>
    <t>varsa agro</t>
  </si>
  <si>
    <t>25-09-2025</t>
  </si>
  <si>
    <t>26-09-2025</t>
  </si>
  <si>
    <t>union agro</t>
  </si>
  <si>
    <t>27-09-2025</t>
  </si>
  <si>
    <t>28-09-2025</t>
  </si>
  <si>
    <t>29-09-2025</t>
  </si>
  <si>
    <t>30-09-2025</t>
  </si>
  <si>
    <t>01-10-2025</t>
  </si>
  <si>
    <t>02-10-2025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</si>
  <si>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</si>
  <si>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</si>
  <si>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</si>
  <si>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</si>
  <si>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</si>
  <si>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</si>
  <si>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</si>
  <si>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</si>
  <si>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</si>
  <si>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</si>
  <si>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</si>
  <si>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</si>
  <si>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varsha agro</t>
  </si>
  <si>
    <t>16-10-2025</t>
  </si>
  <si>
    <t>17-10-2025</t>
  </si>
  <si>
    <t>5/10.</t>
  </si>
  <si>
    <t>18-10-2025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</si>
  <si>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</si>
  <si>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</si>
  <si>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</si>
  <si>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</si>
  <si>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</si>
  <si>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</si>
  <si>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</si>
  <si>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</si>
  <si>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DATE</t>
  </si>
  <si>
    <t>160+ MIX</t>
  </si>
  <si>
    <t>100+ MIX</t>
  </si>
  <si>
    <t>30+ MIX</t>
  </si>
  <si>
    <t>30- MIX</t>
  </si>
  <si>
    <t>MIX CN</t>
  </si>
  <si>
    <t>5/10</t>
  </si>
  <si>
    <t>09.06.2025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</si>
  <si>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</si>
  <si>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</si>
  <si>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</si>
  <si>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</si>
  <si>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</si>
  <si>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</si>
  <si>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</si>
  <si>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</si>
  <si>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</si>
  <si>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</si>
  <si>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</si>
  <si>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</si>
  <si>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</si>
  <si>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</si>
  <si>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</si>
  <si>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</si>
  <si>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</si>
  <si>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</si>
  <si>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</si>
  <si>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</si>
  <si>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</si>
  <si>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</si>
  <si>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</si>
  <si>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</si>
  <si>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</si>
  <si>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</si>
  <si>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</si>
  <si>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</si>
  <si>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</si>
  <si>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</si>
  <si>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</si>
  <si>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</si>
  <si>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</si>
  <si>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</si>
  <si>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</si>
  <si>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</si>
  <si>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</si>
  <si>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</si>
  <si>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</si>
  <si>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</si>
  <si>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</si>
  <si>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</si>
  <si>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</si>
  <si>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27.07.2025</t>
  </si>
  <si>
    <t>28.07.2025</t>
  </si>
  <si>
    <t>31.07.2025</t>
  </si>
  <si>
    <t>01.08.2025</t>
  </si>
  <si>
    <t>03.08.2025</t>
  </si>
  <si>
    <t>04.08.2025</t>
  </si>
  <si>
    <t>05.08.2025</t>
  </si>
  <si>
    <t>15.08.2025</t>
  </si>
  <si>
    <t>17.08.2025</t>
  </si>
  <si>
    <t>19.08.2025</t>
  </si>
  <si>
    <t>07.09.2025</t>
  </si>
  <si>
    <t>14.09.2025</t>
  </si>
  <si>
    <t>28.09.2025</t>
  </si>
  <si>
    <t>30.09.2025</t>
  </si>
  <si>
    <t>05.10.2025</t>
  </si>
  <si>
    <t>21.10.2025</t>
  </si>
  <si>
    <t>MONTH</t>
  </si>
  <si>
    <t>NAVR</t>
  </si>
  <si>
    <t>NAV LA</t>
  </si>
  <si>
    <t>NORMAL AA</t>
  </si>
  <si>
    <t>NORMAL AA SEMI</t>
  </si>
  <si>
    <t>NIL KMS</t>
  </si>
  <si>
    <t>8% SALT</t>
  </si>
  <si>
    <t>15% SALT</t>
  </si>
  <si>
    <t>MEDIA</t>
  </si>
  <si>
    <t>GRADE</t>
  </si>
  <si>
    <t>NDW</t>
  </si>
  <si>
    <t>CUSTOMER</t>
  </si>
  <si>
    <t>CONTAINER NO</t>
  </si>
  <si>
    <t>CHEMICAL COST</t>
  </si>
  <si>
    <t>CZLA</t>
  </si>
  <si>
    <t>TIIU 2255378 - 5</t>
  </si>
  <si>
    <t>02.10.2025</t>
  </si>
  <si>
    <t>BRINE</t>
  </si>
  <si>
    <t>AMF</t>
  </si>
  <si>
    <t>FCIU 566228 - 9</t>
  </si>
  <si>
    <t>NYKU 981132 - 7</t>
  </si>
  <si>
    <t>SEI</t>
  </si>
  <si>
    <t>CAAU 223290 - 9</t>
  </si>
  <si>
    <t>04.06.2025</t>
  </si>
  <si>
    <t>ODI</t>
  </si>
  <si>
    <t>NYKU 986390 - 6</t>
  </si>
  <si>
    <t>TCLU 383171 - 0</t>
  </si>
  <si>
    <t>FTAU 208919 - 4</t>
  </si>
  <si>
    <t>05-05-2025</t>
  </si>
  <si>
    <t>FRI</t>
  </si>
  <si>
    <t>STJU 200611-5</t>
  </si>
  <si>
    <t>06.06.2025</t>
  </si>
  <si>
    <t>BXT</t>
  </si>
  <si>
    <t>TIIU 227998 - 5</t>
  </si>
  <si>
    <t>TIIU 230780 - 8</t>
  </si>
  <si>
    <t>TLLU 353997 - 0</t>
  </si>
  <si>
    <t>TIIU 226402 - 8</t>
  </si>
  <si>
    <t>06.08.2025</t>
  </si>
  <si>
    <t>CAIU 285808 - 0</t>
  </si>
  <si>
    <t>GCXU 229058 - 1</t>
  </si>
  <si>
    <t>NYKU 989283 - 8</t>
  </si>
  <si>
    <t>FTAU 205084 - 4</t>
  </si>
  <si>
    <t>MRSU 007390-8</t>
  </si>
  <si>
    <t>SUDU 797185 -6</t>
  </si>
  <si>
    <t>TRHU 115178 - 3</t>
  </si>
  <si>
    <t>SEKU 159078 - 0</t>
  </si>
  <si>
    <t>STJU 201071 - 1</t>
  </si>
  <si>
    <t>MOO</t>
  </si>
  <si>
    <t>FCIU 603089 - 3</t>
  </si>
  <si>
    <t>MSDU 139175 - 9</t>
  </si>
  <si>
    <t>MSMU 111649 - 7</t>
  </si>
  <si>
    <t>MSNU 211557 - 0</t>
  </si>
  <si>
    <t>SEGU 369223 - 6</t>
  </si>
  <si>
    <t>08.05.2025</t>
  </si>
  <si>
    <t>CAAU 242149 - 8</t>
  </si>
  <si>
    <t>SEKU 163615 - 6</t>
  </si>
  <si>
    <t>JJR</t>
  </si>
  <si>
    <t>MRSU 036580 - 7</t>
  </si>
  <si>
    <t>MNT</t>
  </si>
  <si>
    <t>TCLU 396706 - 0</t>
  </si>
  <si>
    <t>09.05.2025</t>
  </si>
  <si>
    <t>TIIU 200110 - 3</t>
  </si>
  <si>
    <t>PTM</t>
  </si>
  <si>
    <t>TIIU 225598 - 3</t>
  </si>
  <si>
    <t>SANCH</t>
  </si>
  <si>
    <t>MEDU 662231 - 8</t>
  </si>
  <si>
    <t>MSNU 101539-2</t>
  </si>
  <si>
    <t>GCXU 255880 - 1</t>
  </si>
  <si>
    <t>10.06.2025</t>
  </si>
  <si>
    <t>MRSU 037344 - 3</t>
  </si>
  <si>
    <t>BSIU 309007 - 3</t>
  </si>
  <si>
    <t>GCXU 228688 - 0</t>
  </si>
  <si>
    <t>NYKU 971364 - 0</t>
  </si>
  <si>
    <t>MRSU 037573 - 9</t>
  </si>
  <si>
    <t>KKTU 797686 - 7</t>
  </si>
  <si>
    <t>ONEU 216070 - 3</t>
  </si>
  <si>
    <t>ONEU 222882 - 4</t>
  </si>
  <si>
    <t>PAILS BACKET</t>
  </si>
  <si>
    <t>ALB</t>
  </si>
  <si>
    <t>SEGU 398920 - 3</t>
  </si>
  <si>
    <t>VMM</t>
  </si>
  <si>
    <t>GAOU 255440 - 3</t>
  </si>
  <si>
    <t>MRSU 035297 - 0</t>
  </si>
  <si>
    <t>SEKU 167590 - 7</t>
  </si>
  <si>
    <t>CAAU 235452 - 7</t>
  </si>
  <si>
    <t>MRKU 919324 - 4</t>
  </si>
  <si>
    <t>MRKU 939883 - 5</t>
  </si>
  <si>
    <t>FTAU 207247 - 9</t>
  </si>
  <si>
    <t>MRSU 047315 - 0</t>
  </si>
  <si>
    <t>SEKU 156934 - 0</t>
  </si>
  <si>
    <t>TIIU 226695 - 1</t>
  </si>
  <si>
    <t>TCLU 727944 - 5</t>
  </si>
  <si>
    <t>TEMU 478127 - 3</t>
  </si>
  <si>
    <t>TRHU 173768 - 7</t>
  </si>
  <si>
    <t>MEDU 566944 - 0</t>
  </si>
  <si>
    <t>MSMU 107149 - 5</t>
  </si>
  <si>
    <t>MSMU 153489 - 8</t>
  </si>
  <si>
    <t>ONEU 275126 - 5</t>
  </si>
  <si>
    <t>SEGU 211547 - 7</t>
  </si>
  <si>
    <t xml:space="preserve">CAAU 235987 - 4 </t>
  </si>
  <si>
    <t>MRSU 049816-3</t>
  </si>
  <si>
    <t>EGHU 350918 - 6</t>
  </si>
  <si>
    <t>EGHU 391956 - 0</t>
  </si>
  <si>
    <t>14.05.2025</t>
  </si>
  <si>
    <t>BEAU 275863 - 5</t>
  </si>
  <si>
    <t>ONEU 214463 - 6</t>
  </si>
  <si>
    <t>ONEU 239903 - 0</t>
  </si>
  <si>
    <t>GCXU 252461 - 1</t>
  </si>
  <si>
    <t>GCXU 253989 - 0</t>
  </si>
  <si>
    <t>MRSU 040694 - 8</t>
  </si>
  <si>
    <t>MRSU 047498 - 4</t>
  </si>
  <si>
    <t>SEKU 165224 - 4</t>
  </si>
  <si>
    <t>HLBU 299468 - 5</t>
  </si>
  <si>
    <t>HLXU 107976 - 3</t>
  </si>
  <si>
    <t>WTF</t>
  </si>
  <si>
    <t>BSIU 292555 - 8</t>
  </si>
  <si>
    <t>STN</t>
  </si>
  <si>
    <t>DFSU 107371 - 0</t>
  </si>
  <si>
    <t>UNS</t>
  </si>
  <si>
    <t>KMTU 742643 - 9</t>
  </si>
  <si>
    <t>TIIU 207466 - 6</t>
  </si>
  <si>
    <t>TIIU 225592 - 0</t>
  </si>
  <si>
    <t>SEASOME PASTE</t>
  </si>
  <si>
    <t>OOCU 045951 - 5</t>
  </si>
  <si>
    <t>15.05.2025</t>
  </si>
  <si>
    <t>CAAU 235447 - 1</t>
  </si>
  <si>
    <t>BMOU 148867 - 4</t>
  </si>
  <si>
    <t>KKTU 814087 - 1</t>
  </si>
  <si>
    <t>SEGU 285851 - 2</t>
  </si>
  <si>
    <t>MSBU 101114 - 7</t>
  </si>
  <si>
    <t>MSBU 104293 - 4</t>
  </si>
  <si>
    <t>TCLU 391767 - 1</t>
  </si>
  <si>
    <t>ACT</t>
  </si>
  <si>
    <t>GLDU 967075 - 0</t>
  </si>
  <si>
    <t>MRSU 039571 - 4</t>
  </si>
  <si>
    <t>MRSU 041061 - 3</t>
  </si>
  <si>
    <t>MRSU 047715- 5</t>
  </si>
  <si>
    <t>MRSU 056357 - 2</t>
  </si>
  <si>
    <t>TLLU 362664 - 8</t>
  </si>
  <si>
    <t>UETU 295754 - 4</t>
  </si>
  <si>
    <t>CRL</t>
  </si>
  <si>
    <t>TIIU 227242 - 4</t>
  </si>
  <si>
    <t>LAT</t>
  </si>
  <si>
    <t>FCIU 568112 - 3</t>
  </si>
  <si>
    <t>KKTU 816265 - 4</t>
  </si>
  <si>
    <t>TCLU 338968 - 2</t>
  </si>
  <si>
    <t>TRHU 174188 - 2</t>
  </si>
  <si>
    <t>TRHU 188415 - 8</t>
  </si>
  <si>
    <t>TIIU 207168 - 8</t>
  </si>
  <si>
    <t>17.05.2025</t>
  </si>
  <si>
    <t>MRSU 055744 - 0</t>
  </si>
  <si>
    <t>BSIU 297360 - 1</t>
  </si>
  <si>
    <t>CAIU 666598 - 3</t>
  </si>
  <si>
    <t>HMMU 201244-3</t>
  </si>
  <si>
    <t>WHSU 222773 - 0</t>
  </si>
  <si>
    <t>155 &amp; 180</t>
  </si>
  <si>
    <t>SEKU 164435 - 7</t>
  </si>
  <si>
    <t>18.09.2025</t>
  </si>
  <si>
    <t>CJC</t>
  </si>
  <si>
    <t>CAAU 242807 - 0</t>
  </si>
  <si>
    <t>19.05.2025</t>
  </si>
  <si>
    <t>GAOU 256928 - 1</t>
  </si>
  <si>
    <t>TIIU 209144 - 7</t>
  </si>
  <si>
    <t>NYKU 972136 - 8</t>
  </si>
  <si>
    <t>ONEU 322455 - 1</t>
  </si>
  <si>
    <t>ONEU 325442 - 7</t>
  </si>
  <si>
    <t>GCXU 221321 - 9</t>
  </si>
  <si>
    <t>TCLU 718065 - 9</t>
  </si>
  <si>
    <t>CAAU 242381 - 8</t>
  </si>
  <si>
    <t>GCXU 253554 - 0</t>
  </si>
  <si>
    <t>MRSU 036016 - 9</t>
  </si>
  <si>
    <t>MRSU 052359 - 0</t>
  </si>
  <si>
    <t>SEKU 157273 - 0</t>
  </si>
  <si>
    <t>19.09.2025</t>
  </si>
  <si>
    <t>CTL</t>
  </si>
  <si>
    <t>CAAU 762350 - 5</t>
  </si>
  <si>
    <t>SEGU 144753 - 8</t>
  </si>
  <si>
    <t>TGBU 323844 - 6</t>
  </si>
  <si>
    <t>MRSU 044566 - 7</t>
  </si>
  <si>
    <t>MRSU 062689 - 7</t>
  </si>
  <si>
    <t>STJU 202827 - 0</t>
  </si>
  <si>
    <t>MTL</t>
  </si>
  <si>
    <t>MRSU 043537 - 6</t>
  </si>
  <si>
    <t>EMCU 627376 - 1</t>
  </si>
  <si>
    <t>MRSU 040996 - 8</t>
  </si>
  <si>
    <t>THS</t>
  </si>
  <si>
    <t>TIIU 225038 - 5</t>
  </si>
  <si>
    <t>20.09.2025</t>
  </si>
  <si>
    <t>BGT</t>
  </si>
  <si>
    <t>FCIU 475018 - 0</t>
  </si>
  <si>
    <t>FTAU 162808 - 0</t>
  </si>
  <si>
    <t>MAGU 215759 - 1</t>
  </si>
  <si>
    <t>MRSU 055202 - 7</t>
  </si>
  <si>
    <t>22.05.2025</t>
  </si>
  <si>
    <t>ONEU 312836 - 8</t>
  </si>
  <si>
    <t>TCLU 240935 - 7</t>
  </si>
  <si>
    <t>TRHU 188438 - 0</t>
  </si>
  <si>
    <t>CAAU 228179 - 7</t>
  </si>
  <si>
    <t>TCLU 212697 - 4</t>
  </si>
  <si>
    <t>TEMU 137961 - 4</t>
  </si>
  <si>
    <t>SVN</t>
  </si>
  <si>
    <t>GCXU 237560 - 5</t>
  </si>
  <si>
    <t>HAMU 06290 - 6</t>
  </si>
  <si>
    <t>TGBU 235725 - 0</t>
  </si>
  <si>
    <t>UACU 415906 - 6</t>
  </si>
  <si>
    <t>GCXU 252383 - 1</t>
  </si>
  <si>
    <t>MRSU 041238 - 6</t>
  </si>
  <si>
    <t>MRSU 057048 - 4</t>
  </si>
  <si>
    <t>STJU 201965 - 8</t>
  </si>
  <si>
    <t>TIIU 224685 - 2</t>
  </si>
  <si>
    <t>CAAU 242133 - 2</t>
  </si>
  <si>
    <t>SEKU 163289 - 1</t>
  </si>
  <si>
    <t>HMI</t>
  </si>
  <si>
    <t>IAAU 289678 - 1</t>
  </si>
  <si>
    <t>TGCU 209458 - 5</t>
  </si>
  <si>
    <t>FTAU 155698 - 8</t>
  </si>
  <si>
    <t>HAMU 108780 - 1</t>
  </si>
  <si>
    <t>NIDU 139313 - 0</t>
  </si>
  <si>
    <t>TEMU 139313 - 0</t>
  </si>
  <si>
    <t>23.09.2025</t>
  </si>
  <si>
    <t>TCKU 101761 - 0</t>
  </si>
  <si>
    <t>HAMU 107163 - 6</t>
  </si>
  <si>
    <t>HLBU 173641 - 2</t>
  </si>
  <si>
    <t>HLBU 366490 - 2</t>
  </si>
  <si>
    <t>HLXU 135295 - 0</t>
  </si>
  <si>
    <t>HLBU 363194 - 0</t>
  </si>
  <si>
    <t>MRSU 048047 - 8</t>
  </si>
  <si>
    <t>MRSU 049033 - 1</t>
  </si>
  <si>
    <t>CAIU 665272 - 8</t>
  </si>
  <si>
    <t>FCIU 610341 - 2</t>
  </si>
  <si>
    <t>HLBU 364964 - 1</t>
  </si>
  <si>
    <t>GCXU 237214 - 4</t>
  </si>
  <si>
    <t>24.09.2025</t>
  </si>
  <si>
    <t>TCLU 279320- 0</t>
  </si>
  <si>
    <t>CSNU 176127 - 8</t>
  </si>
  <si>
    <t>OOCU 073163 - 9</t>
  </si>
  <si>
    <t>CAIU 365996 - 6</t>
  </si>
  <si>
    <t>KKTU 806600 - 7</t>
  </si>
  <si>
    <t>KKTU 824250 - 7</t>
  </si>
  <si>
    <t>NYKU 989151 - 2</t>
  </si>
  <si>
    <t>ITP</t>
  </si>
  <si>
    <t>CMAU 282650 - 5</t>
  </si>
  <si>
    <t>GCXU 231633 - 0</t>
  </si>
  <si>
    <t>TEMU 540023 - 7</t>
  </si>
  <si>
    <t>TLLU 211321 - 3</t>
  </si>
  <si>
    <t>TRHU 118869 - 5</t>
  </si>
  <si>
    <t>TCLU 356937 - 0</t>
  </si>
  <si>
    <t>WHSU 296967 - 9</t>
  </si>
  <si>
    <t>NYKU 990066 - 1</t>
  </si>
  <si>
    <t>ONEU 213800 - 0</t>
  </si>
  <si>
    <t>ONEU 308330 - 3</t>
  </si>
  <si>
    <t>GCXU 227578 - 2</t>
  </si>
  <si>
    <t>ONEU 214119 - 6</t>
  </si>
  <si>
    <t>ONEU 244741 - 6</t>
  </si>
  <si>
    <t>TRHU 217608 - 7</t>
  </si>
  <si>
    <t>FBIU 033723 - 7</t>
  </si>
  <si>
    <t>GLDU 954655 - 0</t>
  </si>
  <si>
    <t>ONEU 311905 - 2</t>
  </si>
  <si>
    <t>SEGU 153545 - 4</t>
  </si>
  <si>
    <t>26.09.2025</t>
  </si>
  <si>
    <t>IAAU 201471 - 2</t>
  </si>
  <si>
    <t>IAAU 279781 - 3</t>
  </si>
  <si>
    <t>IAAU 283838 - 4</t>
  </si>
  <si>
    <t>CMAU 066913 - 5</t>
  </si>
  <si>
    <t>JSS</t>
  </si>
  <si>
    <t>CMAU 237365 - 1</t>
  </si>
  <si>
    <t>27.09.2025</t>
  </si>
  <si>
    <t>NYKU 988591 - 0</t>
  </si>
  <si>
    <t>ONEU 317731 - 5</t>
  </si>
  <si>
    <t>CAAU 845880 - 6</t>
  </si>
  <si>
    <t>TIIU 200843 - 2</t>
  </si>
  <si>
    <t>28.05.2025</t>
  </si>
  <si>
    <t>CORU 260186 - 2</t>
  </si>
  <si>
    <t>KKTU 800464 - 3</t>
  </si>
  <si>
    <t>TCLU 197259 - 8</t>
  </si>
  <si>
    <t>TRHU 270527 - 8</t>
  </si>
  <si>
    <t>GCXU 223227 - 1</t>
  </si>
  <si>
    <t>NYKU 364507 - 0</t>
  </si>
  <si>
    <t>TRHU 205094 - 6</t>
  </si>
  <si>
    <t>MSDU 249565 - 5</t>
  </si>
  <si>
    <t>MSMU 140292 - 6</t>
  </si>
  <si>
    <t>CSNU 163358 - 0</t>
  </si>
  <si>
    <t>OOCU 050021 - 8</t>
  </si>
  <si>
    <t>OOCU 119602 - 8</t>
  </si>
  <si>
    <t>SEKU 144128 - 3</t>
  </si>
  <si>
    <t>FTAU 208099 - 9</t>
  </si>
  <si>
    <t>UETU 297571 - 7</t>
  </si>
  <si>
    <t>MRSU 039634 - 6</t>
  </si>
  <si>
    <t>29.05.2025</t>
  </si>
  <si>
    <t>FTAU 208243 - 5</t>
  </si>
  <si>
    <t>TGBU 378537 - 7</t>
  </si>
  <si>
    <t>HLBU 121257 - 0</t>
  </si>
  <si>
    <t>HLBU 264577 - 0</t>
  </si>
  <si>
    <t>HLBU 377208 - 6</t>
  </si>
  <si>
    <t>HLBU 413249 - 0</t>
  </si>
  <si>
    <t>29.09.2025</t>
  </si>
  <si>
    <t>BEAU 291467 - 7</t>
  </si>
  <si>
    <t>SEGU 243544 - 4</t>
  </si>
  <si>
    <t>SEGU 249978 - 9</t>
  </si>
  <si>
    <t>SEGU 300877 - 1</t>
  </si>
  <si>
    <t>ANH</t>
  </si>
  <si>
    <t>CAAU 242274 - 5</t>
  </si>
  <si>
    <t>SEKU 151266 - 4</t>
  </si>
  <si>
    <t>30.05.2025</t>
  </si>
  <si>
    <t>CAIU 302253 - 5</t>
  </si>
  <si>
    <t>CMAU 300697 - 0</t>
  </si>
  <si>
    <t>ONEU 212021 - 2</t>
  </si>
  <si>
    <t>ONEU 29438 - 3</t>
  </si>
  <si>
    <t>ONEU 308668 - 4</t>
  </si>
  <si>
    <t>ONEU 321546 - 2</t>
  </si>
  <si>
    <t>30.07.2025</t>
  </si>
  <si>
    <t>IAAU 287209 - 6</t>
  </si>
  <si>
    <t>OOLU 199729 - 7</t>
  </si>
  <si>
    <t>TGBU 323087 - 2</t>
  </si>
  <si>
    <t>KKTU 797976 - 3</t>
  </si>
  <si>
    <t>TRHU 286293 - 4</t>
  </si>
  <si>
    <t>GLDU 956883 - 6</t>
  </si>
  <si>
    <t>TCLU 383071 - 4</t>
  </si>
  <si>
    <t>MRSU 746118 - 7</t>
  </si>
  <si>
    <t>SELU 411945 - 2</t>
  </si>
  <si>
    <t>SLA</t>
  </si>
  <si>
    <t>FTAU 209137 - 6</t>
  </si>
  <si>
    <t>MRKU 900127 - 5</t>
  </si>
  <si>
    <t>UETU 294539 - 5</t>
  </si>
  <si>
    <t>SEGU 241289 - 7</t>
  </si>
  <si>
    <t>SEGU 245629 - 9</t>
  </si>
  <si>
    <t>30-05-2025</t>
  </si>
  <si>
    <t>CMAU 221864 - 0</t>
  </si>
  <si>
    <t>CAIU 384158-5</t>
  </si>
  <si>
    <t>31.05.2025</t>
  </si>
  <si>
    <t>BEAU 200421 - 3</t>
  </si>
  <si>
    <t>TGBU 325954 - 1</t>
  </si>
  <si>
    <t>Field Stacker</t>
  </si>
  <si>
    <t>FactoryStacker</t>
  </si>
  <si>
    <t>AFTER PACKING WASTE</t>
  </si>
  <si>
    <t>WORK</t>
  </si>
  <si>
    <t>AFTER PACKING WASTE LOSS</t>
  </si>
  <si>
    <t>GREENS BELT</t>
  </si>
  <si>
    <t>COST</t>
  </si>
  <si>
    <t>3</t>
  </si>
  <si>
    <t>2</t>
  </si>
  <si>
    <t>40</t>
  </si>
  <si>
    <t>10</t>
  </si>
  <si>
    <t>PIN CODE</t>
  </si>
  <si>
    <t>TOTAL</t>
  </si>
  <si>
    <t>MIX Brl</t>
  </si>
  <si>
    <t>Grade Brl</t>
  </si>
  <si>
    <t>Other Brl</t>
  </si>
  <si>
    <t>June</t>
  </si>
  <si>
    <t>July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</si>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</sst>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\-mm\-yyyy;@"/>
    <numFmt numFmtId="165" formatCode="[$-14009]dd\-mm\-yy;@"/>
    <numFmt numFmtId="166" formatCode="0.0%"/>
    <numFmt numFmtId="167" formatCode="0.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7">
    <xf numFmtId="0" fontId="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9" fontId="11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185">
    <xf numFmtId="0" fontId="0" fillId="0" borderId="0" xfId="0"/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2" borderId="0" xfId="0" applyFill="1" applyBorder="1"/>
    <xf numFmtId="0" fontId="7" fillId="0" borderId="2" xfId="1" applyFont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center" vertical="center" textRotation="90" wrapText="1"/>
    </xf>
    <xf numFmtId="49" fontId="5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4" fontId="5" fillId="0" borderId="1" xfId="1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center"/>
    </xf>
    <xf numFmtId="49" fontId="6" fillId="0" borderId="1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" fontId="6" fillId="0" borderId="1" xfId="1" quotePrefix="1" applyNumberFormat="1" applyFont="1" applyFill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1" fontId="5" fillId="0" borderId="1" xfId="1" quotePrefix="1" applyNumberFormat="1" applyFont="1" applyFill="1" applyBorder="1" applyAlignment="1">
      <alignment horizontal="center" vertical="center"/>
    </xf>
    <xf numFmtId="14" fontId="5" fillId="0" borderId="1" xfId="1" quotePrefix="1" applyNumberFormat="1" applyFont="1" applyBorder="1" applyAlignment="1">
      <alignment horizontal="center" vertical="center"/>
    </xf>
    <xf numFmtId="49" fontId="5" fillId="0" borderId="1" xfId="1" quotePrefix="1" applyNumberFormat="1" applyFont="1" applyBorder="1" applyAlignment="1">
      <alignment horizontal="center" vertical="center"/>
    </xf>
    <xf numFmtId="1" fontId="6" fillId="0" borderId="1" xfId="0" quotePrefix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0" fontId="0" fillId="0" borderId="0" xfId="0" applyBorder="1"/>
    <xf numFmtId="0" fontId="0" fillId="2" borderId="0" xfId="0" applyFill="1"/>
    <xf numFmtId="0" fontId="4" fillId="0" borderId="1" xfId="0" applyFont="1" applyBorder="1" applyAlignment="1">
      <alignment horizontal="center" vertical="center"/>
    </xf>
    <xf numFmtId="0" fontId="0" fillId="0" borderId="1" xfId="0" applyFill="1" applyBorder="1"/>
    <xf numFmtId="0" fontId="0" fillId="0" borderId="0" xfId="0" applyFill="1" applyBorder="1"/>
    <xf numFmtId="0" fontId="0" fillId="0" borderId="1" xfId="0" quotePrefix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165" fontId="14" fillId="0" borderId="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164" fontId="18" fillId="0" borderId="1" xfId="1" applyNumberFormat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9" fontId="18" fillId="0" borderId="1" xfId="6" applyFont="1" applyBorder="1" applyAlignment="1">
      <alignment horizontal="center" vertical="center" wrapText="1"/>
    </xf>
    <xf numFmtId="9" fontId="19" fillId="0" borderId="1" xfId="6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166" fontId="19" fillId="0" borderId="1" xfId="6" applyNumberFormat="1" applyFont="1" applyBorder="1" applyAlignment="1">
      <alignment horizontal="center" vertical="center" wrapText="1"/>
    </xf>
    <xf numFmtId="166" fontId="18" fillId="0" borderId="1" xfId="6" applyNumberFormat="1" applyFont="1" applyBorder="1" applyAlignment="1">
      <alignment horizontal="center" vertical="center" wrapText="1"/>
    </xf>
    <xf numFmtId="166" fontId="19" fillId="0" borderId="1" xfId="6" applyNumberFormat="1" applyFont="1" applyFill="1" applyBorder="1" applyAlignment="1">
      <alignment horizontal="center" vertical="center" wrapText="1"/>
    </xf>
    <xf numFmtId="9" fontId="18" fillId="0" borderId="1" xfId="6" applyFont="1" applyFill="1" applyBorder="1" applyAlignment="1">
      <alignment horizontal="center" vertical="center" wrapText="1"/>
    </xf>
    <xf numFmtId="14" fontId="0" fillId="0" borderId="1" xfId="0" quotePrefix="1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9" fontId="0" fillId="0" borderId="1" xfId="6" applyFont="1" applyFill="1" applyBorder="1" applyAlignment="1">
      <alignment horizontal="center" vertical="center"/>
    </xf>
    <xf numFmtId="9" fontId="0" fillId="0" borderId="1" xfId="6" applyNumberFormat="1" applyFont="1" applyFill="1" applyBorder="1" applyAlignment="1">
      <alignment horizontal="center" vertical="center"/>
    </xf>
    <xf numFmtId="9" fontId="0" fillId="0" borderId="1" xfId="6" applyFont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9" fontId="20" fillId="0" borderId="1" xfId="6" applyNumberFormat="1" applyFont="1" applyFill="1" applyBorder="1" applyAlignment="1">
      <alignment horizontal="center" vertical="center"/>
    </xf>
    <xf numFmtId="9" fontId="18" fillId="0" borderId="1" xfId="6" applyNumberFormat="1" applyFont="1" applyFill="1" applyBorder="1" applyAlignment="1">
      <alignment horizontal="center" vertical="center"/>
    </xf>
    <xf numFmtId="166" fontId="17" fillId="0" borderId="1" xfId="6" applyNumberFormat="1" applyFont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6" applyFont="1" applyFill="1" applyBorder="1" applyAlignment="1">
      <alignment horizontal="center"/>
    </xf>
    <xf numFmtId="9" fontId="3" fillId="0" borderId="1" xfId="6" applyFont="1" applyFill="1" applyBorder="1" applyAlignment="1">
      <alignment horizontal="center" vertical="center"/>
    </xf>
    <xf numFmtId="9" fontId="3" fillId="0" borderId="1" xfId="6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quotePrefix="1" applyNumberFormat="1" applyFill="1" applyBorder="1" applyAlignment="1">
      <alignment horizontal="center"/>
    </xf>
    <xf numFmtId="9" fontId="0" fillId="0" borderId="1" xfId="6" applyNumberFormat="1" applyFont="1" applyFill="1" applyBorder="1" applyAlignment="1">
      <alignment horizontal="center"/>
    </xf>
    <xf numFmtId="9" fontId="20" fillId="0" borderId="1" xfId="6" applyFont="1" applyFill="1" applyBorder="1" applyAlignment="1">
      <alignment horizontal="center" vertical="center"/>
    </xf>
    <xf numFmtId="9" fontId="18" fillId="0" borderId="1" xfId="6" applyFont="1" applyFill="1" applyBorder="1" applyAlignment="1">
      <alignment horizontal="center" vertical="center"/>
    </xf>
    <xf numFmtId="0" fontId="20" fillId="0" borderId="1" xfId="0" applyFont="1" applyBorder="1"/>
    <xf numFmtId="0" fontId="0" fillId="2" borderId="1" xfId="0" applyFill="1" applyBorder="1" applyAlignment="1">
      <alignment horizontal="center"/>
    </xf>
    <xf numFmtId="9" fontId="3" fillId="0" borderId="1" xfId="6" applyFont="1" applyBorder="1" applyAlignment="1">
      <alignment horizontal="center" vertical="center" wrapText="1"/>
    </xf>
    <xf numFmtId="9" fontId="20" fillId="0" borderId="1" xfId="6" applyFont="1" applyBorder="1" applyAlignment="1">
      <alignment horizontal="center"/>
    </xf>
    <xf numFmtId="9" fontId="17" fillId="0" borderId="1" xfId="6" applyFont="1" applyBorder="1" applyAlignment="1">
      <alignment horizontal="center"/>
    </xf>
    <xf numFmtId="9" fontId="20" fillId="0" borderId="1" xfId="6" applyFont="1" applyFill="1" applyBorder="1" applyAlignment="1">
      <alignment horizontal="center"/>
    </xf>
    <xf numFmtId="9" fontId="17" fillId="0" borderId="1" xfId="6" applyFont="1" applyFill="1" applyBorder="1" applyAlignment="1">
      <alignment horizontal="center"/>
    </xf>
    <xf numFmtId="9" fontId="20" fillId="0" borderId="1" xfId="6" applyNumberFormat="1" applyFont="1" applyFill="1" applyBorder="1" applyAlignment="1">
      <alignment horizontal="center"/>
    </xf>
    <xf numFmtId="9" fontId="3" fillId="0" borderId="1" xfId="6" applyFont="1" applyFill="1" applyBorder="1" applyAlignment="1">
      <alignment horizontal="center" vertical="center" wrapText="1"/>
    </xf>
    <xf numFmtId="9" fontId="3" fillId="0" borderId="1" xfId="6" applyNumberFormat="1" applyFont="1" applyFill="1" applyBorder="1" applyAlignment="1">
      <alignment horizontal="center" vertical="center" wrapText="1"/>
    </xf>
    <xf numFmtId="9" fontId="17" fillId="0" borderId="1" xfId="6" applyNumberFormat="1" applyFont="1" applyFill="1" applyBorder="1" applyAlignment="1">
      <alignment horizontal="center"/>
    </xf>
    <xf numFmtId="0" fontId="0" fillId="0" borderId="1" xfId="0" quotePrefix="1" applyBorder="1"/>
    <xf numFmtId="0" fontId="0" fillId="0" borderId="1" xfId="0" quotePrefix="1" applyFill="1" applyBorder="1"/>
    <xf numFmtId="0" fontId="20" fillId="0" borderId="1" xfId="0" applyFont="1" applyFill="1" applyBorder="1"/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/>
    </xf>
    <xf numFmtId="0" fontId="0" fillId="0" borderId="10" xfId="0" applyFill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" xfId="0" applyBorder="1" applyAlignment="1">
      <alignment horizontal="right"/>
    </xf>
    <xf numFmtId="16" fontId="0" fillId="0" borderId="1" xfId="0" quotePrefix="1" applyNumberFormat="1" applyBorder="1"/>
    <xf numFmtId="16" fontId="0" fillId="0" borderId="1" xfId="0" applyNumberFormat="1" applyBorder="1"/>
    <xf numFmtId="14" fontId="0" fillId="0" borderId="1" xfId="0" quotePrefix="1" applyNumberFormat="1" applyBorder="1"/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0" fontId="5" fillId="2" borderId="4" xfId="1" quotePrefix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6" fillId="2" borderId="1" xfId="0" quotePrefix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1" xfId="1" quotePrefix="1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5" fillId="2" borderId="1" xfId="1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5" fillId="2" borderId="1" xfId="1" applyNumberFormat="1" applyFont="1" applyFill="1" applyBorder="1" applyAlignment="1">
      <alignment horizontal="center" vertical="center"/>
    </xf>
    <xf numFmtId="0" fontId="0" fillId="2" borderId="1" xfId="1" quotePrefix="1" applyFont="1" applyFill="1" applyBorder="1"/>
    <xf numFmtId="1" fontId="5" fillId="2" borderId="1" xfId="1" applyNumberFormat="1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4" fillId="2" borderId="2" xfId="0" quotePrefix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1" xfId="0" quotePrefix="1" applyFont="1" applyFill="1" applyBorder="1" applyAlignment="1">
      <alignment horizontal="center"/>
    </xf>
    <xf numFmtId="0" fontId="0" fillId="2" borderId="1" xfId="0" applyFill="1" applyBorder="1"/>
    <xf numFmtId="0" fontId="12" fillId="2" borderId="1" xfId="0" applyFont="1" applyFill="1" applyBorder="1" applyAlignment="1">
      <alignment horizontal="center"/>
    </xf>
    <xf numFmtId="0" fontId="0" fillId="2" borderId="2" xfId="0" applyFill="1" applyBorder="1"/>
    <xf numFmtId="49" fontId="6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2" fillId="0" borderId="0" xfId="0" applyFont="1"/>
    <xf numFmtId="0" fontId="0" fillId="2" borderId="4" xfId="0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0" fillId="2" borderId="4" xfId="0" applyFill="1" applyBorder="1"/>
    <xf numFmtId="0" fontId="0" fillId="2" borderId="3" xfId="0" applyFill="1" applyBorder="1"/>
    <xf numFmtId="0" fontId="2" fillId="0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Fill="1" applyBorder="1"/>
    <xf numFmtId="0" fontId="18" fillId="0" borderId="1" xfId="0" applyFont="1" applyBorder="1" applyAlignment="1">
      <alignment horizontal="center"/>
    </xf>
    <xf numFmtId="9" fontId="0" fillId="0" borderId="1" xfId="6" quotePrefix="1" applyFont="1" applyFill="1" applyBorder="1" applyAlignment="1">
      <alignment horizontal="center" vertical="center"/>
    </xf>
    <xf numFmtId="0" fontId="18" fillId="0" borderId="1" xfId="0" applyFont="1" applyBorder="1"/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/>
    <xf numFmtId="0" fontId="1" fillId="0" borderId="9" xfId="0" quotePrefix="1" applyFont="1" applyBorder="1"/>
    <xf numFmtId="0" fontId="1" fillId="0" borderId="1" xfId="0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2" fontId="20" fillId="0" borderId="1" xfId="6" applyNumberFormat="1" applyFont="1" applyFill="1" applyBorder="1" applyAlignment="1">
      <alignment horizontal="center" vertical="center"/>
    </xf>
    <xf numFmtId="2" fontId="19" fillId="0" borderId="1" xfId="6" applyNumberFormat="1" applyFont="1" applyBorder="1" applyAlignment="1">
      <alignment horizontal="center" vertical="center" wrapText="1"/>
    </xf>
    <xf numFmtId="2" fontId="0" fillId="0" borderId="0" xfId="0" applyNumberFormat="1"/>
    <xf numFmtId="167" fontId="18" fillId="0" borderId="0" xfId="0" applyNumberFormat="1" applyFont="1" applyBorder="1" applyAlignment="1">
      <alignment horizontal="center" wrapText="1"/>
    </xf>
    <xf numFmtId="167" fontId="0" fillId="0" borderId="0" xfId="0" applyNumberFormat="1" applyBorder="1"/>
  </cellXfs>
  <cellStyles count="7">
    <cellStyle name="Normal" xfId="0" builtinId="0"/>
    <cellStyle name="Normal 2" xfId="1" xr:uid="{00000000-0005-0000-0000-000001000000}"/>
    <cellStyle name="Normal 2 2" xfId="2" xr:uid="{00000000-0005-0000-0000-000002000000}"/>
    <cellStyle name="Normal 4" xfId="3" xr:uid="{00000000-0005-0000-0000-000003000000}"/>
    <cellStyle name="Normal 7" xfId="4" xr:uid="{00000000-0005-0000-0000-000004000000}"/>
    <cellStyle name="Percent" xfId="6" builtinId="5"/>
    <cellStyle name="Percent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566"/>
  <sheetViews>
    <sheetView topLeftCell="A346" workbookViewId="0">
      <selection activeCell="S380" sqref="S380"/>
    </sheetView>
  </sheetViews>
  <sheetFormatPr defaultRowHeight="15"/>
  <cols>
    <col min="1" max="1" width="12.85546875" customWidth="1"/>
    <col min="2" max="2" width="27.140625" style="33" customWidth="1"/>
    <col min="3" max="3" width="13.140625" customWidth="1"/>
    <col min="4" max="4" width="10.42578125" customWidth="1"/>
    <col min="5" max="5" width="11.42578125" customWidth="1"/>
    <col min="6" max="6" width="9.5703125" customWidth="1"/>
    <col min="7" max="7" width="10.5703125" customWidth="1"/>
    <col min="12" max="12" width="10.28515625" customWidth="1"/>
    <col min="13" max="13" width="10.7109375" customWidth="1"/>
    <col min="17" max="17" width="13.28515625" bestFit="1" customWidth="1"/>
    <col min="18" max="18" width="11.5703125" customWidth="1"/>
    <col min="19" max="19" width="13" customWidth="1"/>
    <col min="20" max="20" width="14" customWidth="1"/>
  </cols>
  <sheetData>
    <row r="1" spans="1:20" ht="31.5">
      <c r="A1" s="43" t="s">
        <v>1484</v>
      </c>
      <c r="B1" s="44" t="s">
        <v>1461</v>
      </c>
      <c r="C1" s="44" t="s">
        <v>1462</v>
      </c>
      <c r="D1" s="44" t="s">
        <v>1463</v>
      </c>
      <c r="E1" s="44" t="s">
        <v>1485</v>
      </c>
      <c r="F1" s="44" t="s">
        <v>1464</v>
      </c>
      <c r="G1" s="44" t="s">
        <v>1486</v>
      </c>
      <c r="H1" s="44" t="s">
        <v>1465</v>
      </c>
      <c r="I1" s="44" t="s">
        <v>1487</v>
      </c>
      <c r="J1" s="44" t="s">
        <v>1466</v>
      </c>
      <c r="K1" s="44" t="s">
        <v>1488</v>
      </c>
      <c r="L1" s="44" t="s">
        <v>1467</v>
      </c>
      <c r="M1" s="44" t="s">
        <v>1489</v>
      </c>
      <c r="N1" s="44" t="s">
        <v>1468</v>
      </c>
      <c r="O1" s="44" t="s">
        <v>1490</v>
      </c>
      <c r="P1" s="44" t="s">
        <v>2097</v>
      </c>
      <c r="Q1" s="44" t="s">
        <v>2098</v>
      </c>
      <c r="R1" s="45" t="s">
        <v>1469</v>
      </c>
      <c r="S1" s="47" t="s">
        <v>1491</v>
      </c>
      <c r="T1" s="169" t="s">
        <v>2108</v>
      </c>
    </row>
    <row r="2" spans="1:20" ht="15.75" hidden="1">
      <c r="A2" s="39">
        <v>45817</v>
      </c>
      <c r="B2" s="22" t="s">
        <v>1500</v>
      </c>
      <c r="C2" s="40" t="s">
        <v>1493</v>
      </c>
      <c r="D2" s="40">
        <f>1694-910</f>
        <v>784</v>
      </c>
      <c r="E2" s="35">
        <v>770</v>
      </c>
      <c r="F2" s="40">
        <v>521</v>
      </c>
      <c r="G2" s="35">
        <v>546</v>
      </c>
      <c r="H2" s="40">
        <v>0</v>
      </c>
      <c r="I2" s="35">
        <v>0</v>
      </c>
      <c r="J2" s="40">
        <v>0</v>
      </c>
      <c r="K2" s="35">
        <v>0</v>
      </c>
      <c r="L2" s="40">
        <v>761</v>
      </c>
      <c r="M2" s="35">
        <v>718</v>
      </c>
      <c r="N2" s="40">
        <v>907</v>
      </c>
      <c r="O2" s="35">
        <v>893</v>
      </c>
      <c r="P2" s="40">
        <v>0</v>
      </c>
      <c r="Q2" s="35">
        <v>0</v>
      </c>
      <c r="R2" s="40">
        <f>SUM(D2,F2,H2,J2,L2,N2,P2)</f>
        <v>2973</v>
      </c>
      <c r="S2" s="35">
        <f>SUM(E2,G2,I2,K2,M2,O2,Q2)</f>
        <v>2927</v>
      </c>
      <c r="T2" s="11">
        <v>583134</v>
      </c>
    </row>
    <row r="3" spans="1:20" ht="15.75" hidden="1">
      <c r="A3" s="39">
        <v>45817</v>
      </c>
      <c r="B3" s="56" t="s">
        <v>33</v>
      </c>
      <c r="C3" s="40" t="s">
        <v>1493</v>
      </c>
      <c r="D3" s="40">
        <v>713</v>
      </c>
      <c r="E3" s="35">
        <v>659</v>
      </c>
      <c r="F3" s="40">
        <v>483.5</v>
      </c>
      <c r="G3" s="35">
        <v>483</v>
      </c>
      <c r="H3" s="40">
        <v>0</v>
      </c>
      <c r="I3" s="35">
        <v>0</v>
      </c>
      <c r="J3" s="40">
        <v>0</v>
      </c>
      <c r="K3" s="35">
        <v>0</v>
      </c>
      <c r="L3" s="40">
        <v>677</v>
      </c>
      <c r="M3" s="35">
        <v>653</v>
      </c>
      <c r="N3" s="40">
        <v>788.5</v>
      </c>
      <c r="O3" s="35">
        <v>730</v>
      </c>
      <c r="P3" s="40">
        <v>0</v>
      </c>
      <c r="Q3" s="35">
        <v>0</v>
      </c>
      <c r="R3" s="40">
        <f t="shared" ref="R3:R65" si="0">SUM(D3,F3,H3,J3,L3,N3,P3)</f>
        <v>2662</v>
      </c>
      <c r="S3" s="35">
        <f t="shared" ref="S3:S65" si="1">SUM(E3,G3,I3,K3,M3,O3,Q3)</f>
        <v>2525</v>
      </c>
      <c r="T3" s="11">
        <v>583131</v>
      </c>
    </row>
    <row r="4" spans="1:20" ht="15.75" hidden="1">
      <c r="A4" s="39">
        <v>45820</v>
      </c>
      <c r="B4" s="22" t="s">
        <v>1500</v>
      </c>
      <c r="C4" s="40" t="s">
        <v>1493</v>
      </c>
      <c r="D4" s="40">
        <v>1128</v>
      </c>
      <c r="E4" s="35">
        <v>1202</v>
      </c>
      <c r="F4" s="40">
        <v>894</v>
      </c>
      <c r="G4" s="35">
        <v>748</v>
      </c>
      <c r="H4" s="40">
        <v>0</v>
      </c>
      <c r="I4" s="35">
        <v>0</v>
      </c>
      <c r="J4" s="40">
        <v>0</v>
      </c>
      <c r="K4" s="35">
        <v>0</v>
      </c>
      <c r="L4" s="40">
        <v>1240</v>
      </c>
      <c r="M4" s="35">
        <v>1264</v>
      </c>
      <c r="N4" s="40">
        <v>545</v>
      </c>
      <c r="O4" s="35">
        <v>540</v>
      </c>
      <c r="P4" s="40">
        <v>0</v>
      </c>
      <c r="Q4" s="35">
        <v>0</v>
      </c>
      <c r="R4" s="40">
        <f t="shared" si="0"/>
        <v>3807</v>
      </c>
      <c r="S4" s="35">
        <f t="shared" si="1"/>
        <v>3754</v>
      </c>
      <c r="T4" s="11">
        <v>583134</v>
      </c>
    </row>
    <row r="5" spans="1:20" ht="15.75" hidden="1">
      <c r="A5" s="39">
        <v>45820</v>
      </c>
      <c r="B5" s="56" t="s">
        <v>33</v>
      </c>
      <c r="C5" s="40" t="s">
        <v>1493</v>
      </c>
      <c r="D5" s="40">
        <v>295.60000000000002</v>
      </c>
      <c r="E5" s="35">
        <v>285</v>
      </c>
      <c r="F5" s="40">
        <v>187</v>
      </c>
      <c r="G5" s="35">
        <v>183</v>
      </c>
      <c r="H5" s="40">
        <v>0</v>
      </c>
      <c r="I5" s="35">
        <v>0</v>
      </c>
      <c r="J5" s="40">
        <v>0</v>
      </c>
      <c r="K5" s="35">
        <v>0</v>
      </c>
      <c r="L5" s="40">
        <v>314.5</v>
      </c>
      <c r="M5" s="35">
        <v>316</v>
      </c>
      <c r="N5" s="40">
        <v>128</v>
      </c>
      <c r="O5" s="35">
        <v>127</v>
      </c>
      <c r="P5" s="40">
        <v>0</v>
      </c>
      <c r="Q5" s="35">
        <v>0</v>
      </c>
      <c r="R5" s="40">
        <f t="shared" si="0"/>
        <v>925.1</v>
      </c>
      <c r="S5" s="35">
        <f t="shared" si="1"/>
        <v>911</v>
      </c>
      <c r="T5" s="11">
        <v>583131</v>
      </c>
    </row>
    <row r="6" spans="1:20" ht="15.75" hidden="1">
      <c r="A6" s="39">
        <v>45821</v>
      </c>
      <c r="B6" s="22" t="s">
        <v>1500</v>
      </c>
      <c r="C6" s="40" t="s">
        <v>1493</v>
      </c>
      <c r="D6" s="35">
        <f>2145-80</f>
        <v>2065</v>
      </c>
      <c r="E6" s="35">
        <v>2078</v>
      </c>
      <c r="F6" s="35">
        <v>1298</v>
      </c>
      <c r="G6" s="35">
        <v>1155</v>
      </c>
      <c r="H6" s="35">
        <v>0</v>
      </c>
      <c r="I6" s="35">
        <v>0</v>
      </c>
      <c r="J6" s="35">
        <v>0</v>
      </c>
      <c r="K6" s="35">
        <v>0</v>
      </c>
      <c r="L6" s="35">
        <v>1553</v>
      </c>
      <c r="M6" s="35">
        <v>1611</v>
      </c>
      <c r="N6" s="35">
        <v>580</v>
      </c>
      <c r="O6" s="35">
        <v>581</v>
      </c>
      <c r="P6" s="35">
        <v>0</v>
      </c>
      <c r="Q6" s="35">
        <v>0</v>
      </c>
      <c r="R6" s="40">
        <f t="shared" si="0"/>
        <v>5496</v>
      </c>
      <c r="S6" s="35">
        <f t="shared" si="1"/>
        <v>5425</v>
      </c>
      <c r="T6" s="11">
        <v>583134</v>
      </c>
    </row>
    <row r="7" spans="1:20" ht="15.75" hidden="1">
      <c r="A7" s="39">
        <v>45821</v>
      </c>
      <c r="B7" s="56" t="s">
        <v>33</v>
      </c>
      <c r="C7" s="40" t="s">
        <v>1493</v>
      </c>
      <c r="D7" s="35">
        <v>665.5</v>
      </c>
      <c r="E7" s="35">
        <v>670</v>
      </c>
      <c r="F7" s="35">
        <v>498</v>
      </c>
      <c r="G7" s="35">
        <v>444</v>
      </c>
      <c r="H7" s="35">
        <v>0</v>
      </c>
      <c r="I7" s="35">
        <v>0</v>
      </c>
      <c r="J7" s="35">
        <v>0</v>
      </c>
      <c r="K7" s="35">
        <v>0</v>
      </c>
      <c r="L7" s="35">
        <v>495</v>
      </c>
      <c r="M7" s="35">
        <v>520</v>
      </c>
      <c r="N7" s="35">
        <v>133.5</v>
      </c>
      <c r="O7" s="35">
        <v>134</v>
      </c>
      <c r="P7" s="35">
        <v>0</v>
      </c>
      <c r="Q7" s="35">
        <v>0</v>
      </c>
      <c r="R7" s="40">
        <f t="shared" si="0"/>
        <v>1792</v>
      </c>
      <c r="S7" s="35">
        <f t="shared" si="1"/>
        <v>1768</v>
      </c>
      <c r="T7" s="11">
        <v>583131</v>
      </c>
    </row>
    <row r="8" spans="1:20" ht="15.75" hidden="1">
      <c r="A8" s="39">
        <v>45822</v>
      </c>
      <c r="B8" s="22" t="s">
        <v>1500</v>
      </c>
      <c r="C8" s="40" t="s">
        <v>1493</v>
      </c>
      <c r="D8" s="35">
        <v>1355</v>
      </c>
      <c r="E8" s="35">
        <v>1252</v>
      </c>
      <c r="F8" s="35">
        <v>974</v>
      </c>
      <c r="G8" s="35">
        <v>904</v>
      </c>
      <c r="H8" s="35">
        <v>0</v>
      </c>
      <c r="I8" s="35">
        <v>0</v>
      </c>
      <c r="J8" s="35">
        <v>0</v>
      </c>
      <c r="K8" s="35">
        <v>0</v>
      </c>
      <c r="L8" s="35">
        <v>1302</v>
      </c>
      <c r="M8" s="35">
        <v>1348</v>
      </c>
      <c r="N8" s="35">
        <v>622</v>
      </c>
      <c r="O8" s="35">
        <v>609</v>
      </c>
      <c r="P8" s="35">
        <v>0</v>
      </c>
      <c r="Q8" s="35">
        <v>0</v>
      </c>
      <c r="R8" s="40">
        <f t="shared" si="0"/>
        <v>4253</v>
      </c>
      <c r="S8" s="35">
        <f t="shared" si="1"/>
        <v>4113</v>
      </c>
      <c r="T8" s="11">
        <v>583134</v>
      </c>
    </row>
    <row r="9" spans="1:20" ht="15.75" hidden="1">
      <c r="A9" s="39">
        <v>45822</v>
      </c>
      <c r="B9" s="56" t="s">
        <v>33</v>
      </c>
      <c r="C9" s="40" t="s">
        <v>1493</v>
      </c>
      <c r="D9" s="35">
        <v>523</v>
      </c>
      <c r="E9" s="35">
        <v>483</v>
      </c>
      <c r="F9" s="35">
        <v>269</v>
      </c>
      <c r="G9" s="35">
        <v>250</v>
      </c>
      <c r="H9" s="35">
        <v>0</v>
      </c>
      <c r="I9" s="35">
        <v>0</v>
      </c>
      <c r="J9" s="35">
        <v>0</v>
      </c>
      <c r="K9" s="35">
        <v>0</v>
      </c>
      <c r="L9" s="35">
        <v>550.5</v>
      </c>
      <c r="M9" s="35">
        <v>570</v>
      </c>
      <c r="N9" s="35">
        <v>478</v>
      </c>
      <c r="O9" s="35">
        <v>468</v>
      </c>
      <c r="P9" s="35">
        <v>0</v>
      </c>
      <c r="Q9" s="35">
        <v>0</v>
      </c>
      <c r="R9" s="40">
        <f t="shared" si="0"/>
        <v>1820.5</v>
      </c>
      <c r="S9" s="35">
        <f t="shared" si="1"/>
        <v>1771</v>
      </c>
      <c r="T9" s="11">
        <v>583131</v>
      </c>
    </row>
    <row r="10" spans="1:20" ht="15.75" hidden="1">
      <c r="A10" s="39">
        <v>45823</v>
      </c>
      <c r="B10" s="22" t="s">
        <v>1500</v>
      </c>
      <c r="C10" s="40" t="s">
        <v>1493</v>
      </c>
      <c r="D10" s="35">
        <f>2400-20</f>
        <v>2380</v>
      </c>
      <c r="E10" s="35">
        <v>2465</v>
      </c>
      <c r="F10" s="35">
        <v>1551</v>
      </c>
      <c r="G10" s="35">
        <v>1288</v>
      </c>
      <c r="H10" s="35">
        <v>0</v>
      </c>
      <c r="I10" s="35">
        <v>0</v>
      </c>
      <c r="J10" s="35">
        <v>0</v>
      </c>
      <c r="K10" s="35">
        <v>0</v>
      </c>
      <c r="L10" s="35">
        <v>1771</v>
      </c>
      <c r="M10" s="35">
        <v>1635</v>
      </c>
      <c r="N10" s="35">
        <v>711</v>
      </c>
      <c r="O10" s="35">
        <v>694</v>
      </c>
      <c r="P10" s="35">
        <v>0</v>
      </c>
      <c r="Q10" s="35">
        <v>0</v>
      </c>
      <c r="R10" s="40">
        <f t="shared" si="0"/>
        <v>6413</v>
      </c>
      <c r="S10" s="35">
        <f t="shared" si="1"/>
        <v>6082</v>
      </c>
      <c r="T10" s="11">
        <v>583134</v>
      </c>
    </row>
    <row r="11" spans="1:20" ht="15.75" hidden="1">
      <c r="A11" s="39">
        <v>45824</v>
      </c>
      <c r="B11" s="22" t="s">
        <v>1500</v>
      </c>
      <c r="C11" s="40" t="s">
        <v>1493</v>
      </c>
      <c r="D11" s="35">
        <v>1576</v>
      </c>
      <c r="E11" s="35">
        <v>1500</v>
      </c>
      <c r="F11" s="35">
        <v>1068</v>
      </c>
      <c r="G11" s="35">
        <v>1002</v>
      </c>
      <c r="H11" s="35">
        <v>0</v>
      </c>
      <c r="I11" s="35">
        <v>0</v>
      </c>
      <c r="J11" s="35">
        <v>0</v>
      </c>
      <c r="K11" s="35">
        <v>0</v>
      </c>
      <c r="L11" s="35">
        <v>1453</v>
      </c>
      <c r="M11" s="35">
        <v>1455</v>
      </c>
      <c r="N11" s="35">
        <v>726</v>
      </c>
      <c r="O11" s="35">
        <v>665</v>
      </c>
      <c r="P11" s="35">
        <v>0</v>
      </c>
      <c r="Q11" s="35">
        <v>0</v>
      </c>
      <c r="R11" s="40">
        <f t="shared" si="0"/>
        <v>4823</v>
      </c>
      <c r="S11" s="35">
        <f t="shared" si="1"/>
        <v>4622</v>
      </c>
      <c r="T11" s="11">
        <v>583134</v>
      </c>
    </row>
    <row r="12" spans="1:20" ht="15.75" hidden="1">
      <c r="A12" s="39">
        <v>45824</v>
      </c>
      <c r="B12" s="56" t="s">
        <v>33</v>
      </c>
      <c r="C12" s="40" t="s">
        <v>1493</v>
      </c>
      <c r="D12" s="35">
        <v>253.5</v>
      </c>
      <c r="E12" s="35">
        <v>241</v>
      </c>
      <c r="F12" s="35">
        <v>134.5</v>
      </c>
      <c r="G12" s="35">
        <v>126</v>
      </c>
      <c r="H12" s="35">
        <v>0</v>
      </c>
      <c r="I12" s="35">
        <v>0</v>
      </c>
      <c r="J12" s="35">
        <v>0</v>
      </c>
      <c r="K12" s="35">
        <v>0</v>
      </c>
      <c r="L12" s="35">
        <v>334</v>
      </c>
      <c r="M12" s="35">
        <v>333</v>
      </c>
      <c r="N12" s="35">
        <v>292</v>
      </c>
      <c r="O12" s="35">
        <v>268</v>
      </c>
      <c r="P12" s="35">
        <v>0</v>
      </c>
      <c r="Q12" s="35">
        <v>0</v>
      </c>
      <c r="R12" s="40">
        <f t="shared" si="0"/>
        <v>1014</v>
      </c>
      <c r="S12" s="35">
        <f t="shared" si="1"/>
        <v>968</v>
      </c>
      <c r="T12" s="11">
        <v>583131</v>
      </c>
    </row>
    <row r="13" spans="1:20" hidden="1">
      <c r="A13" s="39">
        <v>45824</v>
      </c>
      <c r="B13" s="35" t="s">
        <v>1458</v>
      </c>
      <c r="C13" s="40" t="s">
        <v>1494</v>
      </c>
      <c r="D13" s="35">
        <v>0</v>
      </c>
      <c r="E13" s="35">
        <v>0</v>
      </c>
      <c r="F13" s="35">
        <v>1557</v>
      </c>
      <c r="G13" s="35">
        <v>1496</v>
      </c>
      <c r="H13" s="35">
        <v>0</v>
      </c>
      <c r="I13" s="35">
        <v>0</v>
      </c>
      <c r="J13" s="35">
        <v>0</v>
      </c>
      <c r="K13" s="35">
        <v>0</v>
      </c>
      <c r="L13" s="35">
        <v>4365</v>
      </c>
      <c r="M13" s="35">
        <v>4286</v>
      </c>
      <c r="N13" s="35">
        <v>1357</v>
      </c>
      <c r="O13" s="35">
        <v>1400</v>
      </c>
      <c r="P13" s="35">
        <v>0</v>
      </c>
      <c r="Q13" s="35">
        <v>0</v>
      </c>
      <c r="R13" s="40">
        <f t="shared" si="0"/>
        <v>7279</v>
      </c>
      <c r="S13" s="35">
        <f t="shared" si="1"/>
        <v>7182</v>
      </c>
      <c r="T13" s="11">
        <v>517561</v>
      </c>
    </row>
    <row r="14" spans="1:20" hidden="1">
      <c r="A14" s="39">
        <v>45825</v>
      </c>
      <c r="B14" s="35" t="s">
        <v>1458</v>
      </c>
      <c r="C14" s="40" t="s">
        <v>1494</v>
      </c>
      <c r="D14" s="35">
        <v>0</v>
      </c>
      <c r="E14" s="35">
        <v>0</v>
      </c>
      <c r="F14" s="35">
        <v>2461</v>
      </c>
      <c r="G14" s="35">
        <v>2487</v>
      </c>
      <c r="H14" s="35">
        <v>0</v>
      </c>
      <c r="I14" s="35">
        <v>0</v>
      </c>
      <c r="J14" s="35">
        <v>0</v>
      </c>
      <c r="K14" s="35">
        <v>0</v>
      </c>
      <c r="L14" s="35">
        <v>4284</v>
      </c>
      <c r="M14" s="35">
        <v>4248</v>
      </c>
      <c r="N14" s="35">
        <v>1052</v>
      </c>
      <c r="O14" s="35">
        <v>1014</v>
      </c>
      <c r="P14" s="35">
        <v>0</v>
      </c>
      <c r="Q14" s="35">
        <v>0</v>
      </c>
      <c r="R14" s="40">
        <f t="shared" si="0"/>
        <v>7797</v>
      </c>
      <c r="S14" s="35">
        <f t="shared" si="1"/>
        <v>7749</v>
      </c>
      <c r="T14" s="11">
        <v>517561</v>
      </c>
    </row>
    <row r="15" spans="1:20" ht="15.75" hidden="1">
      <c r="A15" s="39">
        <v>45825</v>
      </c>
      <c r="B15" s="56" t="s">
        <v>33</v>
      </c>
      <c r="C15" s="40" t="s">
        <v>1494</v>
      </c>
      <c r="D15" s="40">
        <v>1067</v>
      </c>
      <c r="E15" s="35">
        <v>1019</v>
      </c>
      <c r="F15" s="40">
        <v>345</v>
      </c>
      <c r="G15" s="35">
        <v>192</v>
      </c>
      <c r="H15" s="40">
        <v>1753</v>
      </c>
      <c r="I15" s="35">
        <v>1841</v>
      </c>
      <c r="J15" s="40">
        <v>0</v>
      </c>
      <c r="K15" s="35">
        <v>0</v>
      </c>
      <c r="L15" s="40">
        <v>2270</v>
      </c>
      <c r="M15" s="35">
        <v>2170</v>
      </c>
      <c r="N15" s="40">
        <v>843</v>
      </c>
      <c r="O15" s="35">
        <v>876</v>
      </c>
      <c r="P15" s="40">
        <v>0</v>
      </c>
      <c r="Q15" s="35">
        <v>0</v>
      </c>
      <c r="R15" s="40">
        <f t="shared" si="0"/>
        <v>6278</v>
      </c>
      <c r="S15" s="35">
        <f t="shared" si="1"/>
        <v>6098</v>
      </c>
      <c r="T15" s="11">
        <v>583131</v>
      </c>
    </row>
    <row r="16" spans="1:20" ht="15.75" hidden="1">
      <c r="A16" s="39">
        <v>45825</v>
      </c>
      <c r="B16" s="22" t="s">
        <v>1500</v>
      </c>
      <c r="C16" s="40" t="s">
        <v>1493</v>
      </c>
      <c r="D16" s="35">
        <v>2731</v>
      </c>
      <c r="E16" s="35">
        <v>3262</v>
      </c>
      <c r="F16" s="35">
        <v>1429</v>
      </c>
      <c r="G16" s="35">
        <v>620</v>
      </c>
      <c r="H16" s="35">
        <v>0</v>
      </c>
      <c r="I16" s="35">
        <v>0</v>
      </c>
      <c r="J16" s="35">
        <v>0</v>
      </c>
      <c r="K16" s="35">
        <v>0</v>
      </c>
      <c r="L16" s="35">
        <v>1929</v>
      </c>
      <c r="M16" s="35">
        <v>1884</v>
      </c>
      <c r="N16" s="35">
        <v>901</v>
      </c>
      <c r="O16" s="35">
        <v>863</v>
      </c>
      <c r="P16" s="35">
        <v>0</v>
      </c>
      <c r="Q16" s="35">
        <v>0</v>
      </c>
      <c r="R16" s="40">
        <f t="shared" si="0"/>
        <v>6990</v>
      </c>
      <c r="S16" s="35">
        <f t="shared" si="1"/>
        <v>6629</v>
      </c>
      <c r="T16" s="11">
        <v>583134</v>
      </c>
    </row>
    <row r="17" spans="1:20" hidden="1">
      <c r="A17" s="39">
        <v>45826</v>
      </c>
      <c r="B17" s="35" t="s">
        <v>1458</v>
      </c>
      <c r="C17" s="40" t="s">
        <v>1494</v>
      </c>
      <c r="D17" s="35">
        <v>0</v>
      </c>
      <c r="E17" s="35">
        <v>0</v>
      </c>
      <c r="F17" s="35">
        <f>2090+1953</f>
        <v>4043</v>
      </c>
      <c r="G17" s="35">
        <f>2235+1801</f>
        <v>4036</v>
      </c>
      <c r="H17" s="35">
        <v>0</v>
      </c>
      <c r="I17" s="35">
        <v>0</v>
      </c>
      <c r="J17" s="35">
        <v>0</v>
      </c>
      <c r="K17" s="35">
        <v>0</v>
      </c>
      <c r="L17" s="35">
        <f>5821+4588</f>
        <v>10409</v>
      </c>
      <c r="M17" s="35">
        <f>5783+4772</f>
        <v>10555</v>
      </c>
      <c r="N17" s="35">
        <f>95+865</f>
        <v>960</v>
      </c>
      <c r="O17" s="35">
        <f>95+902</f>
        <v>997</v>
      </c>
      <c r="P17" s="35">
        <v>0</v>
      </c>
      <c r="Q17" s="35">
        <v>0</v>
      </c>
      <c r="R17" s="40">
        <f t="shared" si="0"/>
        <v>15412</v>
      </c>
      <c r="S17" s="35">
        <f t="shared" si="1"/>
        <v>15588</v>
      </c>
      <c r="T17" s="11">
        <v>517561</v>
      </c>
    </row>
    <row r="18" spans="1:20" ht="15.75" hidden="1">
      <c r="A18" s="39">
        <v>45826</v>
      </c>
      <c r="B18" s="56" t="s">
        <v>33</v>
      </c>
      <c r="C18" s="40" t="s">
        <v>1494</v>
      </c>
      <c r="D18" s="35">
        <v>1754</v>
      </c>
      <c r="E18" s="35">
        <v>1660</v>
      </c>
      <c r="F18" s="35">
        <v>370</v>
      </c>
      <c r="G18" s="35">
        <v>382</v>
      </c>
      <c r="H18" s="35">
        <v>2358</v>
      </c>
      <c r="I18" s="35">
        <v>2012</v>
      </c>
      <c r="J18" s="35">
        <v>0</v>
      </c>
      <c r="K18" s="35">
        <v>0</v>
      </c>
      <c r="L18" s="35">
        <v>2773</v>
      </c>
      <c r="M18" s="35">
        <v>2627</v>
      </c>
      <c r="N18" s="35">
        <v>651</v>
      </c>
      <c r="O18" s="35">
        <v>729</v>
      </c>
      <c r="P18" s="35">
        <v>0</v>
      </c>
      <c r="Q18" s="35">
        <v>0</v>
      </c>
      <c r="R18" s="40">
        <f t="shared" si="0"/>
        <v>7906</v>
      </c>
      <c r="S18" s="35">
        <f t="shared" si="1"/>
        <v>7410</v>
      </c>
      <c r="T18" s="11">
        <v>583131</v>
      </c>
    </row>
    <row r="19" spans="1:20" ht="15.75" hidden="1">
      <c r="A19" s="39">
        <v>45826</v>
      </c>
      <c r="B19" s="22" t="s">
        <v>1500</v>
      </c>
      <c r="C19" s="40" t="s">
        <v>1493</v>
      </c>
      <c r="D19" s="35">
        <f>2470-178</f>
        <v>2292</v>
      </c>
      <c r="E19" s="35">
        <v>2194</v>
      </c>
      <c r="F19" s="35">
        <v>1561</v>
      </c>
      <c r="G19" s="35">
        <v>1432</v>
      </c>
      <c r="H19" s="35">
        <v>0</v>
      </c>
      <c r="I19" s="35">
        <v>0</v>
      </c>
      <c r="J19" s="35">
        <v>0</v>
      </c>
      <c r="K19" s="35">
        <v>0</v>
      </c>
      <c r="L19" s="35">
        <v>2357</v>
      </c>
      <c r="M19" s="35">
        <v>2278</v>
      </c>
      <c r="N19" s="35">
        <v>1250</v>
      </c>
      <c r="O19" s="35">
        <v>1220</v>
      </c>
      <c r="P19" s="35">
        <v>0</v>
      </c>
      <c r="Q19" s="35">
        <v>0</v>
      </c>
      <c r="R19" s="40">
        <f t="shared" si="0"/>
        <v>7460</v>
      </c>
      <c r="S19" s="35">
        <f t="shared" si="1"/>
        <v>7124</v>
      </c>
      <c r="T19" s="11">
        <v>583134</v>
      </c>
    </row>
    <row r="20" spans="1:20" hidden="1">
      <c r="A20" s="39">
        <v>45827</v>
      </c>
      <c r="B20" s="35" t="s">
        <v>1458</v>
      </c>
      <c r="C20" s="40" t="s">
        <v>1494</v>
      </c>
      <c r="D20" s="35">
        <v>0</v>
      </c>
      <c r="E20" s="35">
        <v>0</v>
      </c>
      <c r="F20" s="35">
        <v>1936</v>
      </c>
      <c r="G20" s="35">
        <v>1867</v>
      </c>
      <c r="H20" s="35">
        <v>0</v>
      </c>
      <c r="I20" s="35">
        <v>0</v>
      </c>
      <c r="J20" s="35">
        <v>0</v>
      </c>
      <c r="K20" s="35">
        <v>0</v>
      </c>
      <c r="L20" s="35">
        <v>5331</v>
      </c>
      <c r="M20" s="35">
        <v>5282</v>
      </c>
      <c r="N20" s="35">
        <v>545</v>
      </c>
      <c r="O20" s="35">
        <v>535</v>
      </c>
      <c r="P20" s="35">
        <v>0</v>
      </c>
      <c r="Q20" s="35">
        <v>0</v>
      </c>
      <c r="R20" s="40">
        <f t="shared" si="0"/>
        <v>7812</v>
      </c>
      <c r="S20" s="35">
        <f t="shared" si="1"/>
        <v>7684</v>
      </c>
      <c r="T20" s="11">
        <v>517561</v>
      </c>
    </row>
    <row r="21" spans="1:20" ht="15.75" hidden="1">
      <c r="A21" s="39">
        <v>45827</v>
      </c>
      <c r="B21" s="53" t="s">
        <v>250</v>
      </c>
      <c r="C21" s="40" t="s">
        <v>1494</v>
      </c>
      <c r="D21" s="35">
        <v>0</v>
      </c>
      <c r="E21" s="35">
        <v>0</v>
      </c>
      <c r="F21" s="35">
        <v>0</v>
      </c>
      <c r="G21" s="35">
        <v>0</v>
      </c>
      <c r="H21" s="35">
        <v>556</v>
      </c>
      <c r="I21" s="35">
        <v>541</v>
      </c>
      <c r="J21" s="35">
        <v>0</v>
      </c>
      <c r="K21" s="35">
        <v>0</v>
      </c>
      <c r="L21" s="35">
        <v>800</v>
      </c>
      <c r="M21" s="35">
        <v>859</v>
      </c>
      <c r="N21" s="35">
        <v>416</v>
      </c>
      <c r="O21" s="35">
        <v>463</v>
      </c>
      <c r="P21" s="35">
        <v>427</v>
      </c>
      <c r="Q21" s="35">
        <f>284+40</f>
        <v>324</v>
      </c>
      <c r="R21" s="40">
        <f t="shared" si="0"/>
        <v>2199</v>
      </c>
      <c r="S21" s="35">
        <f t="shared" si="1"/>
        <v>2187</v>
      </c>
      <c r="T21" s="11">
        <v>572137</v>
      </c>
    </row>
    <row r="22" spans="1:20" ht="15.75" hidden="1">
      <c r="A22" s="39">
        <v>45827</v>
      </c>
      <c r="B22" s="56" t="s">
        <v>33</v>
      </c>
      <c r="C22" s="40" t="s">
        <v>1494</v>
      </c>
      <c r="D22" s="35">
        <f>454+0</f>
        <v>454</v>
      </c>
      <c r="E22" s="35">
        <f>457</f>
        <v>457</v>
      </c>
      <c r="F22" s="35">
        <f>131+508</f>
        <v>639</v>
      </c>
      <c r="G22" s="35">
        <f>288+480</f>
        <v>768</v>
      </c>
      <c r="H22" s="35">
        <f>3513+3112</f>
        <v>6625</v>
      </c>
      <c r="I22" s="35">
        <f>2439+2752</f>
        <v>5191</v>
      </c>
      <c r="J22" s="35">
        <v>0</v>
      </c>
      <c r="K22" s="35">
        <v>0</v>
      </c>
      <c r="L22" s="35">
        <f>2881+3001</f>
        <v>5882</v>
      </c>
      <c r="M22" s="35">
        <f>3476+3125</f>
        <v>6601</v>
      </c>
      <c r="N22" s="35">
        <f>1085+0</f>
        <v>1085</v>
      </c>
      <c r="O22" s="35">
        <f>549+46</f>
        <v>595</v>
      </c>
      <c r="P22" s="35">
        <v>0</v>
      </c>
      <c r="Q22" s="35">
        <v>0</v>
      </c>
      <c r="R22" s="40">
        <f t="shared" si="0"/>
        <v>14685</v>
      </c>
      <c r="S22" s="35">
        <f t="shared" si="1"/>
        <v>13612</v>
      </c>
      <c r="T22" s="11">
        <v>583131</v>
      </c>
    </row>
    <row r="23" spans="1:20" ht="15.75" hidden="1">
      <c r="A23" s="39">
        <v>45827</v>
      </c>
      <c r="B23" s="8" t="s">
        <v>109</v>
      </c>
      <c r="C23" s="40" t="s">
        <v>1493</v>
      </c>
      <c r="D23" s="35">
        <v>2834</v>
      </c>
      <c r="E23" s="35">
        <v>2605</v>
      </c>
      <c r="F23" s="35">
        <v>1525</v>
      </c>
      <c r="G23" s="35">
        <v>1424</v>
      </c>
      <c r="H23" s="35">
        <v>0</v>
      </c>
      <c r="I23" s="35">
        <v>0</v>
      </c>
      <c r="J23" s="35">
        <v>0</v>
      </c>
      <c r="K23" s="35">
        <v>0</v>
      </c>
      <c r="L23" s="35">
        <v>2774</v>
      </c>
      <c r="M23" s="35">
        <v>2713</v>
      </c>
      <c r="N23" s="35">
        <v>893</v>
      </c>
      <c r="O23" s="35">
        <v>905</v>
      </c>
      <c r="P23" s="35">
        <v>0</v>
      </c>
      <c r="Q23" s="35">
        <v>0</v>
      </c>
      <c r="R23" s="40">
        <f t="shared" si="0"/>
        <v>8026</v>
      </c>
      <c r="S23" s="35">
        <f t="shared" si="1"/>
        <v>7647</v>
      </c>
      <c r="T23" s="11">
        <v>582114</v>
      </c>
    </row>
    <row r="24" spans="1:20" ht="15.75" hidden="1">
      <c r="A24" s="39">
        <v>45827</v>
      </c>
      <c r="B24" s="22" t="s">
        <v>1500</v>
      </c>
      <c r="C24" s="40" t="s">
        <v>1493</v>
      </c>
      <c r="D24" s="35">
        <f>4144-774-343</f>
        <v>3027</v>
      </c>
      <c r="E24" s="35">
        <v>2905</v>
      </c>
      <c r="F24" s="35">
        <v>1648</v>
      </c>
      <c r="G24" s="35">
        <v>1599</v>
      </c>
      <c r="H24" s="35">
        <v>0</v>
      </c>
      <c r="I24" s="35">
        <v>0</v>
      </c>
      <c r="J24" s="35">
        <v>0</v>
      </c>
      <c r="K24" s="35">
        <v>0</v>
      </c>
      <c r="L24" s="35">
        <v>2296</v>
      </c>
      <c r="M24" s="35">
        <v>2148</v>
      </c>
      <c r="N24" s="35">
        <v>1081</v>
      </c>
      <c r="O24" s="35">
        <v>1145</v>
      </c>
      <c r="P24" s="35">
        <v>0</v>
      </c>
      <c r="Q24" s="35">
        <v>0</v>
      </c>
      <c r="R24" s="40">
        <f t="shared" si="0"/>
        <v>8052</v>
      </c>
      <c r="S24" s="35">
        <f t="shared" si="1"/>
        <v>7797</v>
      </c>
      <c r="T24" s="11">
        <v>583134</v>
      </c>
    </row>
    <row r="25" spans="1:20" hidden="1">
      <c r="A25" s="39">
        <v>45828</v>
      </c>
      <c r="B25" s="35" t="s">
        <v>1458</v>
      </c>
      <c r="C25" s="40" t="s">
        <v>1494</v>
      </c>
      <c r="D25" s="35">
        <v>0</v>
      </c>
      <c r="E25" s="35">
        <v>0</v>
      </c>
      <c r="F25" s="35">
        <v>2679</v>
      </c>
      <c r="G25" s="35">
        <v>2474</v>
      </c>
      <c r="H25" s="35">
        <v>0</v>
      </c>
      <c r="I25" s="35">
        <v>0</v>
      </c>
      <c r="J25" s="35">
        <v>0</v>
      </c>
      <c r="K25" s="35">
        <v>0</v>
      </c>
      <c r="L25" s="35">
        <v>5200</v>
      </c>
      <c r="M25" s="35">
        <v>5279</v>
      </c>
      <c r="N25" s="35">
        <v>0</v>
      </c>
      <c r="O25" s="35">
        <v>0</v>
      </c>
      <c r="P25" s="35">
        <v>0</v>
      </c>
      <c r="Q25" s="35">
        <v>0</v>
      </c>
      <c r="R25" s="40">
        <f t="shared" si="0"/>
        <v>7879</v>
      </c>
      <c r="S25" s="35">
        <f t="shared" si="1"/>
        <v>7753</v>
      </c>
      <c r="T25" s="11">
        <v>517561</v>
      </c>
    </row>
    <row r="26" spans="1:20" ht="15.75" hidden="1">
      <c r="A26" s="39">
        <v>45828</v>
      </c>
      <c r="B26" s="53" t="s">
        <v>1499</v>
      </c>
      <c r="C26" s="40" t="s">
        <v>1494</v>
      </c>
      <c r="D26" s="35">
        <v>0</v>
      </c>
      <c r="E26" s="35">
        <v>0</v>
      </c>
      <c r="F26" s="35">
        <v>0</v>
      </c>
      <c r="G26" s="35">
        <v>0</v>
      </c>
      <c r="H26" s="35">
        <v>968</v>
      </c>
      <c r="I26" s="35">
        <v>912</v>
      </c>
      <c r="J26" s="35">
        <v>0</v>
      </c>
      <c r="K26" s="35">
        <v>0</v>
      </c>
      <c r="L26" s="35">
        <v>2923</v>
      </c>
      <c r="M26" s="35">
        <v>2909</v>
      </c>
      <c r="N26" s="35">
        <v>52</v>
      </c>
      <c r="O26" s="35">
        <v>41</v>
      </c>
      <c r="P26" s="35">
        <v>0</v>
      </c>
      <c r="Q26" s="35">
        <v>0</v>
      </c>
      <c r="R26" s="40">
        <f t="shared" si="0"/>
        <v>3943</v>
      </c>
      <c r="S26" s="35">
        <f t="shared" si="1"/>
        <v>3862</v>
      </c>
      <c r="T26" s="11">
        <v>673595</v>
      </c>
    </row>
    <row r="27" spans="1:20" ht="15.75" hidden="1">
      <c r="A27" s="39">
        <v>45828</v>
      </c>
      <c r="B27" s="22" t="s">
        <v>1500</v>
      </c>
      <c r="C27" s="40" t="s">
        <v>1493</v>
      </c>
      <c r="D27" s="35">
        <v>2943</v>
      </c>
      <c r="E27" s="35">
        <f>869+1971</f>
        <v>2840</v>
      </c>
      <c r="F27" s="35">
        <v>1968</v>
      </c>
      <c r="G27" s="35">
        <f>447+1248</f>
        <v>1695</v>
      </c>
      <c r="H27" s="35">
        <v>0</v>
      </c>
      <c r="I27" s="35">
        <v>0</v>
      </c>
      <c r="J27" s="35">
        <v>0</v>
      </c>
      <c r="K27" s="35">
        <v>0</v>
      </c>
      <c r="L27" s="35">
        <v>3453</v>
      </c>
      <c r="M27" s="35">
        <f>874+2485</f>
        <v>3359</v>
      </c>
      <c r="N27" s="35">
        <v>1246</v>
      </c>
      <c r="O27" s="35">
        <f>446+1087</f>
        <v>1533</v>
      </c>
      <c r="P27" s="35">
        <f>6035-307</f>
        <v>5728</v>
      </c>
      <c r="Q27" s="35">
        <f>4531+1288</f>
        <v>5819</v>
      </c>
      <c r="R27" s="40">
        <f t="shared" si="0"/>
        <v>15338</v>
      </c>
      <c r="S27" s="35">
        <f t="shared" si="1"/>
        <v>15246</v>
      </c>
      <c r="T27" s="11">
        <v>583134</v>
      </c>
    </row>
    <row r="28" spans="1:20" ht="15.75" hidden="1">
      <c r="A28" s="39">
        <v>45828</v>
      </c>
      <c r="B28" s="56" t="s">
        <v>33</v>
      </c>
      <c r="C28" s="40" t="s">
        <v>1494</v>
      </c>
      <c r="D28" s="35">
        <v>0</v>
      </c>
      <c r="E28" s="35">
        <v>0</v>
      </c>
      <c r="F28" s="35">
        <v>155</v>
      </c>
      <c r="G28" s="35">
        <v>146</v>
      </c>
      <c r="H28" s="35">
        <v>2463</v>
      </c>
      <c r="I28" s="35">
        <v>2256</v>
      </c>
      <c r="J28" s="35">
        <v>0</v>
      </c>
      <c r="K28" s="35">
        <v>0</v>
      </c>
      <c r="L28" s="35">
        <v>3485</v>
      </c>
      <c r="M28" s="35">
        <v>3490</v>
      </c>
      <c r="N28" s="35">
        <v>1063</v>
      </c>
      <c r="O28" s="35">
        <v>981</v>
      </c>
      <c r="P28" s="35">
        <v>0</v>
      </c>
      <c r="Q28" s="35">
        <v>0</v>
      </c>
      <c r="R28" s="40">
        <f t="shared" si="0"/>
        <v>7166</v>
      </c>
      <c r="S28" s="35">
        <f t="shared" si="1"/>
        <v>6873</v>
      </c>
      <c r="T28" s="11">
        <v>583131</v>
      </c>
    </row>
    <row r="29" spans="1:20" ht="15.75" hidden="1">
      <c r="A29" s="39">
        <v>45828</v>
      </c>
      <c r="B29" s="56" t="s">
        <v>33</v>
      </c>
      <c r="C29" s="40" t="s">
        <v>1493</v>
      </c>
      <c r="D29" s="35">
        <v>2348.4</v>
      </c>
      <c r="E29" s="35">
        <v>2174</v>
      </c>
      <c r="F29" s="35">
        <v>1202</v>
      </c>
      <c r="G29" s="35">
        <v>1212</v>
      </c>
      <c r="H29" s="35">
        <v>0</v>
      </c>
      <c r="I29" s="35">
        <v>0</v>
      </c>
      <c r="J29" s="35">
        <v>0</v>
      </c>
      <c r="K29" s="35">
        <v>0</v>
      </c>
      <c r="L29" s="35">
        <v>1716</v>
      </c>
      <c r="M29" s="35">
        <v>1678</v>
      </c>
      <c r="N29" s="35">
        <v>405</v>
      </c>
      <c r="O29" s="35">
        <v>394</v>
      </c>
      <c r="P29" s="35">
        <v>0</v>
      </c>
      <c r="Q29" s="35">
        <v>0</v>
      </c>
      <c r="R29" s="40">
        <f t="shared" si="0"/>
        <v>5671.4</v>
      </c>
      <c r="S29" s="35">
        <f t="shared" si="1"/>
        <v>5458</v>
      </c>
      <c r="T29" s="11">
        <v>583131</v>
      </c>
    </row>
    <row r="30" spans="1:20" hidden="1">
      <c r="A30" s="39">
        <v>45828</v>
      </c>
      <c r="B30" s="35" t="s">
        <v>1504</v>
      </c>
      <c r="C30" s="40" t="s">
        <v>1495</v>
      </c>
      <c r="D30" s="35">
        <f>3722-521</f>
        <v>3201</v>
      </c>
      <c r="E30" s="35">
        <v>3020</v>
      </c>
      <c r="F30" s="35">
        <v>1263</v>
      </c>
      <c r="G30" s="35">
        <v>1206</v>
      </c>
      <c r="H30" s="35">
        <v>0</v>
      </c>
      <c r="I30" s="35">
        <v>0</v>
      </c>
      <c r="J30" s="35">
        <v>0</v>
      </c>
      <c r="K30" s="35">
        <v>0</v>
      </c>
      <c r="L30" s="35">
        <v>2700</v>
      </c>
      <c r="M30" s="35">
        <v>2548</v>
      </c>
      <c r="N30" s="35">
        <v>546</v>
      </c>
      <c r="O30" s="35">
        <v>541</v>
      </c>
      <c r="P30" s="35">
        <v>0</v>
      </c>
      <c r="Q30" s="35">
        <v>0</v>
      </c>
      <c r="R30" s="40">
        <f t="shared" si="0"/>
        <v>7710</v>
      </c>
      <c r="S30" s="35">
        <f t="shared" si="1"/>
        <v>7315</v>
      </c>
      <c r="T30" s="11">
        <v>583277</v>
      </c>
    </row>
    <row r="31" spans="1:20" ht="15.75" hidden="1">
      <c r="A31" s="39">
        <v>45829</v>
      </c>
      <c r="B31" s="53" t="s">
        <v>1499</v>
      </c>
      <c r="C31" s="40" t="s">
        <v>1494</v>
      </c>
      <c r="D31" s="35">
        <v>0</v>
      </c>
      <c r="E31" s="35">
        <v>0</v>
      </c>
      <c r="F31" s="35">
        <v>0</v>
      </c>
      <c r="G31" s="35">
        <v>0</v>
      </c>
      <c r="H31" s="35">
        <v>969</v>
      </c>
      <c r="I31" s="35">
        <v>935</v>
      </c>
      <c r="J31" s="35">
        <v>0</v>
      </c>
      <c r="K31" s="35">
        <v>0</v>
      </c>
      <c r="L31" s="35">
        <v>3190</v>
      </c>
      <c r="M31" s="35">
        <v>3176</v>
      </c>
      <c r="N31" s="35">
        <v>54</v>
      </c>
      <c r="O31" s="35">
        <v>53</v>
      </c>
      <c r="P31" s="35">
        <v>0</v>
      </c>
      <c r="Q31" s="35">
        <v>0</v>
      </c>
      <c r="R31" s="40">
        <f t="shared" si="0"/>
        <v>4213</v>
      </c>
      <c r="S31" s="35">
        <f t="shared" si="1"/>
        <v>4164</v>
      </c>
      <c r="T31" s="11">
        <v>673595</v>
      </c>
    </row>
    <row r="32" spans="1:20" hidden="1">
      <c r="A32" s="39">
        <v>45829</v>
      </c>
      <c r="B32" s="35" t="s">
        <v>1458</v>
      </c>
      <c r="C32" s="40" t="s">
        <v>1494</v>
      </c>
      <c r="D32" s="35">
        <v>0</v>
      </c>
      <c r="E32" s="35">
        <v>0</v>
      </c>
      <c r="F32" s="35">
        <v>2983</v>
      </c>
      <c r="G32" s="35">
        <v>2973</v>
      </c>
      <c r="H32" s="35">
        <v>0</v>
      </c>
      <c r="I32" s="35">
        <v>0</v>
      </c>
      <c r="J32" s="35">
        <v>0</v>
      </c>
      <c r="K32" s="35">
        <v>0</v>
      </c>
      <c r="L32" s="35">
        <v>4379</v>
      </c>
      <c r="M32" s="35">
        <v>4263</v>
      </c>
      <c r="N32" s="35">
        <v>796</v>
      </c>
      <c r="O32" s="35">
        <v>800</v>
      </c>
      <c r="P32" s="35">
        <v>0</v>
      </c>
      <c r="Q32" s="35">
        <v>0</v>
      </c>
      <c r="R32" s="40">
        <f t="shared" si="0"/>
        <v>8158</v>
      </c>
      <c r="S32" s="35">
        <f t="shared" si="1"/>
        <v>8036</v>
      </c>
      <c r="T32" s="11">
        <v>517561</v>
      </c>
    </row>
    <row r="33" spans="1:20" ht="15.75" hidden="1">
      <c r="A33" s="39">
        <v>45829</v>
      </c>
      <c r="B33" s="22" t="s">
        <v>1500</v>
      </c>
      <c r="C33" s="40" t="s">
        <v>1493</v>
      </c>
      <c r="D33" s="35">
        <f>3658-672</f>
        <v>2986</v>
      </c>
      <c r="E33" s="35">
        <f>960+2000</f>
        <v>2960</v>
      </c>
      <c r="F33" s="35">
        <v>1726</v>
      </c>
      <c r="G33" s="35">
        <f>735+846</f>
        <v>1581</v>
      </c>
      <c r="H33" s="35">
        <v>0</v>
      </c>
      <c r="I33" s="35">
        <v>0</v>
      </c>
      <c r="J33" s="35">
        <v>0</v>
      </c>
      <c r="K33" s="35">
        <v>0</v>
      </c>
      <c r="L33" s="35">
        <v>3117</v>
      </c>
      <c r="M33" s="35">
        <f>1574+1427</f>
        <v>3001</v>
      </c>
      <c r="N33" s="35">
        <v>1692</v>
      </c>
      <c r="O33" s="35">
        <f>974+707</f>
        <v>1681</v>
      </c>
      <c r="P33" s="35">
        <v>4330</v>
      </c>
      <c r="Q33" s="35">
        <f>2323+1933</f>
        <v>4256</v>
      </c>
      <c r="R33" s="40">
        <f t="shared" si="0"/>
        <v>13851</v>
      </c>
      <c r="S33" s="35">
        <f t="shared" si="1"/>
        <v>13479</v>
      </c>
      <c r="T33" s="11">
        <v>583134</v>
      </c>
    </row>
    <row r="34" spans="1:20" ht="15.75" hidden="1">
      <c r="A34" s="39">
        <v>45829</v>
      </c>
      <c r="B34" s="8" t="s">
        <v>109</v>
      </c>
      <c r="C34" s="40" t="s">
        <v>1493</v>
      </c>
      <c r="D34" s="35">
        <f>5021-2288</f>
        <v>2733</v>
      </c>
      <c r="E34" s="35">
        <v>2568</v>
      </c>
      <c r="F34" s="35">
        <v>1335</v>
      </c>
      <c r="G34" s="35">
        <v>1171</v>
      </c>
      <c r="H34" s="35">
        <v>0</v>
      </c>
      <c r="I34" s="35">
        <v>0</v>
      </c>
      <c r="J34" s="35">
        <v>0</v>
      </c>
      <c r="K34" s="35">
        <v>0</v>
      </c>
      <c r="L34" s="35">
        <v>2999</v>
      </c>
      <c r="M34" s="35">
        <v>2878</v>
      </c>
      <c r="N34" s="35">
        <v>388</v>
      </c>
      <c r="O34" s="35">
        <v>379</v>
      </c>
      <c r="P34" s="35">
        <v>0</v>
      </c>
      <c r="Q34" s="35">
        <v>0</v>
      </c>
      <c r="R34" s="40">
        <f t="shared" si="0"/>
        <v>7455</v>
      </c>
      <c r="S34" s="35">
        <f t="shared" si="1"/>
        <v>6996</v>
      </c>
      <c r="T34" s="11">
        <v>582114</v>
      </c>
    </row>
    <row r="35" spans="1:20" ht="15.75" hidden="1">
      <c r="A35" s="39">
        <v>45829</v>
      </c>
      <c r="B35" s="56" t="s">
        <v>33</v>
      </c>
      <c r="C35" s="40" t="s">
        <v>1493</v>
      </c>
      <c r="D35" s="35">
        <v>2180.9</v>
      </c>
      <c r="E35" s="35">
        <v>1753</v>
      </c>
      <c r="F35" s="35">
        <v>880</v>
      </c>
      <c r="G35" s="35">
        <v>1106</v>
      </c>
      <c r="H35" s="35">
        <v>0</v>
      </c>
      <c r="I35" s="35">
        <v>0</v>
      </c>
      <c r="J35" s="35">
        <v>0</v>
      </c>
      <c r="K35" s="35">
        <v>0</v>
      </c>
      <c r="L35" s="35">
        <v>1565</v>
      </c>
      <c r="M35" s="35">
        <v>1413</v>
      </c>
      <c r="N35" s="35">
        <v>887</v>
      </c>
      <c r="O35" s="35">
        <v>853</v>
      </c>
      <c r="P35" s="35">
        <v>0</v>
      </c>
      <c r="Q35" s="35">
        <v>0</v>
      </c>
      <c r="R35" s="40">
        <f t="shared" si="0"/>
        <v>5512.9</v>
      </c>
      <c r="S35" s="35">
        <f t="shared" si="1"/>
        <v>5125</v>
      </c>
      <c r="T35" s="11">
        <v>583131</v>
      </c>
    </row>
    <row r="36" spans="1:20" hidden="1">
      <c r="A36" s="39">
        <v>45829</v>
      </c>
      <c r="B36" s="35" t="s">
        <v>1504</v>
      </c>
      <c r="C36" s="40" t="s">
        <v>1495</v>
      </c>
      <c r="D36" s="35">
        <v>1568</v>
      </c>
      <c r="E36" s="35">
        <f>1830-160</f>
        <v>1670</v>
      </c>
      <c r="F36" s="35">
        <v>465</v>
      </c>
      <c r="G36" s="35">
        <v>348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f>687-492-195</f>
        <v>0</v>
      </c>
      <c r="O36" s="35">
        <v>0</v>
      </c>
      <c r="P36" s="35">
        <v>0</v>
      </c>
      <c r="Q36" s="35">
        <v>0</v>
      </c>
      <c r="R36" s="40">
        <f t="shared" si="0"/>
        <v>2033</v>
      </c>
      <c r="S36" s="35">
        <f t="shared" si="1"/>
        <v>2018</v>
      </c>
      <c r="T36" s="11">
        <v>583277</v>
      </c>
    </row>
    <row r="37" spans="1:20" ht="15.75" hidden="1">
      <c r="A37" s="39">
        <v>45829</v>
      </c>
      <c r="B37" s="54" t="s">
        <v>109</v>
      </c>
      <c r="C37" s="40" t="s">
        <v>1494</v>
      </c>
      <c r="D37" s="40">
        <v>734</v>
      </c>
      <c r="E37" s="35">
        <v>857</v>
      </c>
      <c r="F37" s="40">
        <v>1743</v>
      </c>
      <c r="G37" s="35">
        <f>1339+160</f>
        <v>1499</v>
      </c>
      <c r="H37" s="40">
        <v>0</v>
      </c>
      <c r="I37" s="35">
        <v>0</v>
      </c>
      <c r="J37" s="40">
        <v>0</v>
      </c>
      <c r="K37" s="35">
        <v>0</v>
      </c>
      <c r="L37" s="40">
        <v>2082</v>
      </c>
      <c r="M37" s="35">
        <v>1972</v>
      </c>
      <c r="N37" s="40">
        <v>649</v>
      </c>
      <c r="O37" s="35">
        <v>719</v>
      </c>
      <c r="P37" s="40">
        <v>0</v>
      </c>
      <c r="Q37" s="35">
        <v>0</v>
      </c>
      <c r="R37" s="40">
        <f t="shared" si="0"/>
        <v>5208</v>
      </c>
      <c r="S37" s="35">
        <f t="shared" si="1"/>
        <v>5047</v>
      </c>
      <c r="T37" s="11">
        <v>582114</v>
      </c>
    </row>
    <row r="38" spans="1:20" ht="15.75" hidden="1">
      <c r="A38" s="39">
        <v>45829</v>
      </c>
      <c r="B38" s="56" t="s">
        <v>33</v>
      </c>
      <c r="C38" s="40" t="s">
        <v>1494</v>
      </c>
      <c r="D38" s="35">
        <v>0</v>
      </c>
      <c r="E38" s="35">
        <v>0</v>
      </c>
      <c r="F38" s="35">
        <v>0</v>
      </c>
      <c r="G38" s="35">
        <v>0</v>
      </c>
      <c r="H38" s="35">
        <v>3452</v>
      </c>
      <c r="I38" s="35">
        <v>3192</v>
      </c>
      <c r="J38" s="35">
        <v>0</v>
      </c>
      <c r="K38" s="35">
        <v>0</v>
      </c>
      <c r="L38" s="35">
        <v>4354</v>
      </c>
      <c r="M38" s="35">
        <v>4019</v>
      </c>
      <c r="N38" s="35">
        <v>0</v>
      </c>
      <c r="O38" s="35">
        <v>0</v>
      </c>
      <c r="P38" s="35">
        <v>0</v>
      </c>
      <c r="Q38" s="35">
        <v>0</v>
      </c>
      <c r="R38" s="40">
        <f t="shared" si="0"/>
        <v>7806</v>
      </c>
      <c r="S38" s="35">
        <f t="shared" si="1"/>
        <v>7211</v>
      </c>
      <c r="T38" s="11">
        <v>583131</v>
      </c>
    </row>
    <row r="39" spans="1:20" hidden="1">
      <c r="A39" s="39">
        <v>45830</v>
      </c>
      <c r="B39" s="35" t="s">
        <v>1458</v>
      </c>
      <c r="C39" s="40" t="s">
        <v>1494</v>
      </c>
      <c r="D39" s="35">
        <v>0</v>
      </c>
      <c r="E39" s="35">
        <v>0</v>
      </c>
      <c r="F39" s="35">
        <v>2140</v>
      </c>
      <c r="G39" s="35">
        <v>2092</v>
      </c>
      <c r="H39" s="35">
        <v>0</v>
      </c>
      <c r="I39" s="35">
        <v>0</v>
      </c>
      <c r="J39" s="35">
        <v>0</v>
      </c>
      <c r="K39" s="35">
        <v>0</v>
      </c>
      <c r="L39" s="35">
        <v>5142</v>
      </c>
      <c r="M39" s="35">
        <v>5704</v>
      </c>
      <c r="N39" s="35">
        <v>383</v>
      </c>
      <c r="O39" s="35">
        <v>406</v>
      </c>
      <c r="P39" s="35">
        <v>0</v>
      </c>
      <c r="Q39" s="35">
        <v>0</v>
      </c>
      <c r="R39" s="40">
        <f t="shared" si="0"/>
        <v>7665</v>
      </c>
      <c r="S39" s="35">
        <f t="shared" si="1"/>
        <v>8202</v>
      </c>
      <c r="T39" s="11">
        <v>517561</v>
      </c>
    </row>
    <row r="40" spans="1:20" ht="15.75" hidden="1">
      <c r="A40" s="39">
        <v>45830</v>
      </c>
      <c r="B40" s="53" t="s">
        <v>1499</v>
      </c>
      <c r="C40" s="40" t="s">
        <v>1494</v>
      </c>
      <c r="D40" s="35">
        <v>0</v>
      </c>
      <c r="E40" s="35">
        <v>0</v>
      </c>
      <c r="F40" s="35">
        <v>0</v>
      </c>
      <c r="G40" s="35">
        <v>0</v>
      </c>
      <c r="H40" s="35">
        <v>1815</v>
      </c>
      <c r="I40" s="35">
        <v>1005</v>
      </c>
      <c r="J40" s="35">
        <v>0</v>
      </c>
      <c r="K40" s="35">
        <v>0</v>
      </c>
      <c r="L40" s="35">
        <v>2740</v>
      </c>
      <c r="M40" s="35">
        <v>3532</v>
      </c>
      <c r="N40" s="35">
        <v>23</v>
      </c>
      <c r="O40" s="35">
        <v>22</v>
      </c>
      <c r="P40" s="35">
        <v>0</v>
      </c>
      <c r="Q40" s="35">
        <v>0</v>
      </c>
      <c r="R40" s="40">
        <f t="shared" si="0"/>
        <v>4578</v>
      </c>
      <c r="S40" s="35">
        <f t="shared" si="1"/>
        <v>4559</v>
      </c>
      <c r="T40" s="11">
        <v>673595</v>
      </c>
    </row>
    <row r="41" spans="1:20" ht="15.75" hidden="1">
      <c r="A41" s="39">
        <v>45830</v>
      </c>
      <c r="B41" s="22" t="s">
        <v>1500</v>
      </c>
      <c r="C41" s="40" t="s">
        <v>1493</v>
      </c>
      <c r="D41" s="35">
        <v>4228</v>
      </c>
      <c r="E41" s="35">
        <f>1928+2266</f>
        <v>4194</v>
      </c>
      <c r="F41" s="35">
        <v>2477</v>
      </c>
      <c r="G41" s="35">
        <f>1276+987</f>
        <v>2263</v>
      </c>
      <c r="H41" s="35">
        <v>0</v>
      </c>
      <c r="I41" s="35">
        <v>0</v>
      </c>
      <c r="J41" s="35">
        <v>0</v>
      </c>
      <c r="K41" s="35">
        <v>0</v>
      </c>
      <c r="L41" s="35">
        <v>4156</v>
      </c>
      <c r="M41" s="35">
        <f>2150+1884</f>
        <v>4034</v>
      </c>
      <c r="N41" s="35">
        <v>2315</v>
      </c>
      <c r="O41" s="35">
        <f>1708+928</f>
        <v>2636</v>
      </c>
      <c r="P41" s="35">
        <v>0</v>
      </c>
      <c r="Q41" s="35">
        <v>0</v>
      </c>
      <c r="R41" s="40">
        <f t="shared" si="0"/>
        <v>13176</v>
      </c>
      <c r="S41" s="35">
        <f t="shared" si="1"/>
        <v>13127</v>
      </c>
      <c r="T41" s="11">
        <v>583134</v>
      </c>
    </row>
    <row r="42" spans="1:20" ht="15.75" hidden="1">
      <c r="A42" s="39">
        <v>45830</v>
      </c>
      <c r="B42" s="56" t="s">
        <v>33</v>
      </c>
      <c r="C42" s="40" t="s">
        <v>1494</v>
      </c>
      <c r="D42" s="35">
        <v>0</v>
      </c>
      <c r="E42" s="35">
        <v>0</v>
      </c>
      <c r="F42" s="35">
        <v>0</v>
      </c>
      <c r="G42" s="35">
        <v>0</v>
      </c>
      <c r="H42" s="35">
        <v>3205</v>
      </c>
      <c r="I42" s="35">
        <v>3255</v>
      </c>
      <c r="J42" s="35">
        <v>0</v>
      </c>
      <c r="K42" s="35">
        <v>0</v>
      </c>
      <c r="L42" s="35">
        <v>4040</v>
      </c>
      <c r="M42" s="35">
        <v>3843</v>
      </c>
      <c r="N42" s="35">
        <v>0</v>
      </c>
      <c r="O42" s="35">
        <v>0</v>
      </c>
      <c r="P42" s="35">
        <v>0</v>
      </c>
      <c r="Q42" s="35">
        <v>0</v>
      </c>
      <c r="R42" s="40">
        <f t="shared" si="0"/>
        <v>7245</v>
      </c>
      <c r="S42" s="35">
        <f t="shared" si="1"/>
        <v>7098</v>
      </c>
      <c r="T42" s="11">
        <v>583131</v>
      </c>
    </row>
    <row r="43" spans="1:20" ht="15.75" hidden="1">
      <c r="A43" s="39">
        <v>45830</v>
      </c>
      <c r="B43" s="56" t="s">
        <v>33</v>
      </c>
      <c r="C43" s="40" t="s">
        <v>1493</v>
      </c>
      <c r="D43" s="35">
        <f>3573.1-742</f>
        <v>2831.1</v>
      </c>
      <c r="E43" s="35">
        <v>2621</v>
      </c>
      <c r="F43" s="35">
        <v>1114</v>
      </c>
      <c r="G43" s="35">
        <v>989</v>
      </c>
      <c r="H43" s="35">
        <v>0</v>
      </c>
      <c r="I43" s="35">
        <v>0</v>
      </c>
      <c r="J43" s="35">
        <v>0</v>
      </c>
      <c r="K43" s="35">
        <v>0</v>
      </c>
      <c r="L43" s="35">
        <v>1697</v>
      </c>
      <c r="M43" s="35">
        <v>1696</v>
      </c>
      <c r="N43" s="35">
        <v>608</v>
      </c>
      <c r="O43" s="35">
        <v>536</v>
      </c>
      <c r="P43" s="35">
        <v>0</v>
      </c>
      <c r="Q43" s="35">
        <v>0</v>
      </c>
      <c r="R43" s="40">
        <f t="shared" si="0"/>
        <v>6250.1</v>
      </c>
      <c r="S43" s="35">
        <f t="shared" si="1"/>
        <v>5842</v>
      </c>
      <c r="T43" s="11">
        <v>583131</v>
      </c>
    </row>
    <row r="44" spans="1:20" ht="15.75" hidden="1">
      <c r="A44" s="39">
        <v>45830</v>
      </c>
      <c r="B44" s="8" t="s">
        <v>109</v>
      </c>
      <c r="C44" s="40" t="s">
        <v>1493</v>
      </c>
      <c r="D44" s="35">
        <v>2345</v>
      </c>
      <c r="E44" s="35">
        <v>2386</v>
      </c>
      <c r="F44" s="35">
        <v>1087</v>
      </c>
      <c r="G44" s="35">
        <v>713</v>
      </c>
      <c r="H44" s="35">
        <v>0</v>
      </c>
      <c r="I44" s="35">
        <v>0</v>
      </c>
      <c r="J44" s="35">
        <v>0</v>
      </c>
      <c r="K44" s="35">
        <v>0</v>
      </c>
      <c r="L44" s="35">
        <v>2609</v>
      </c>
      <c r="M44" s="35">
        <v>2471</v>
      </c>
      <c r="N44" s="35">
        <v>1239</v>
      </c>
      <c r="O44" s="35">
        <v>1141</v>
      </c>
      <c r="P44" s="35">
        <v>0</v>
      </c>
      <c r="Q44" s="35">
        <v>0</v>
      </c>
      <c r="R44" s="40">
        <f t="shared" si="0"/>
        <v>7280</v>
      </c>
      <c r="S44" s="35">
        <f t="shared" si="1"/>
        <v>6711</v>
      </c>
      <c r="T44" s="11">
        <v>582114</v>
      </c>
    </row>
    <row r="45" spans="1:20" hidden="1">
      <c r="A45" s="39">
        <v>45830</v>
      </c>
      <c r="B45" s="35" t="s">
        <v>1504</v>
      </c>
      <c r="C45" s="40" t="s">
        <v>1495</v>
      </c>
      <c r="D45" s="35">
        <f>4490-1642</f>
        <v>2848</v>
      </c>
      <c r="E45" s="35">
        <v>2797</v>
      </c>
      <c r="F45" s="35">
        <v>1188</v>
      </c>
      <c r="G45" s="35">
        <v>1062</v>
      </c>
      <c r="H45" s="35">
        <v>0</v>
      </c>
      <c r="I45" s="35">
        <v>0</v>
      </c>
      <c r="J45" s="35">
        <v>0</v>
      </c>
      <c r="K45" s="35">
        <v>0</v>
      </c>
      <c r="L45" s="35">
        <v>2417</v>
      </c>
      <c r="M45" s="35">
        <v>2367</v>
      </c>
      <c r="N45" s="35">
        <v>442</v>
      </c>
      <c r="O45" s="35">
        <v>459</v>
      </c>
      <c r="P45" s="35">
        <v>0</v>
      </c>
      <c r="Q45" s="35">
        <v>0</v>
      </c>
      <c r="R45" s="40">
        <f t="shared" si="0"/>
        <v>6895</v>
      </c>
      <c r="S45" s="35">
        <f t="shared" si="1"/>
        <v>6685</v>
      </c>
      <c r="T45" s="11">
        <v>583277</v>
      </c>
    </row>
    <row r="46" spans="1:20" hidden="1">
      <c r="A46" s="39">
        <v>45831</v>
      </c>
      <c r="B46" s="35" t="s">
        <v>1458</v>
      </c>
      <c r="C46" s="40" t="s">
        <v>1494</v>
      </c>
      <c r="D46" s="35">
        <v>0</v>
      </c>
      <c r="E46" s="35">
        <v>0</v>
      </c>
      <c r="F46" s="35">
        <v>2304</v>
      </c>
      <c r="G46" s="35">
        <v>2185</v>
      </c>
      <c r="H46" s="35">
        <v>0</v>
      </c>
      <c r="I46" s="35">
        <v>0</v>
      </c>
      <c r="J46" s="35">
        <v>0</v>
      </c>
      <c r="K46" s="35">
        <v>0</v>
      </c>
      <c r="L46" s="35">
        <v>5538</v>
      </c>
      <c r="M46" s="35">
        <v>5602</v>
      </c>
      <c r="N46" s="35">
        <v>220</v>
      </c>
      <c r="O46" s="35">
        <v>209</v>
      </c>
      <c r="P46" s="35">
        <v>0</v>
      </c>
      <c r="Q46" s="35">
        <v>0</v>
      </c>
      <c r="R46" s="40">
        <f t="shared" si="0"/>
        <v>8062</v>
      </c>
      <c r="S46" s="35">
        <f t="shared" si="1"/>
        <v>7996</v>
      </c>
      <c r="T46" s="11">
        <v>517561</v>
      </c>
    </row>
    <row r="47" spans="1:20" ht="15.75" hidden="1">
      <c r="A47" s="39">
        <v>45831</v>
      </c>
      <c r="B47" s="53" t="s">
        <v>1499</v>
      </c>
      <c r="C47" s="40" t="s">
        <v>1494</v>
      </c>
      <c r="D47" s="35">
        <v>0</v>
      </c>
      <c r="E47" s="35">
        <v>0</v>
      </c>
      <c r="F47" s="35">
        <v>0</v>
      </c>
      <c r="G47" s="35">
        <v>0</v>
      </c>
      <c r="H47" s="35">
        <v>836</v>
      </c>
      <c r="I47" s="35">
        <v>819</v>
      </c>
      <c r="J47" s="35">
        <v>0</v>
      </c>
      <c r="K47" s="35">
        <v>0</v>
      </c>
      <c r="L47" s="35">
        <v>3104</v>
      </c>
      <c r="M47" s="35">
        <v>3003</v>
      </c>
      <c r="N47" s="35">
        <v>0</v>
      </c>
      <c r="O47" s="35">
        <v>0</v>
      </c>
      <c r="P47" s="35">
        <v>0</v>
      </c>
      <c r="Q47" s="35">
        <v>0</v>
      </c>
      <c r="R47" s="40">
        <f t="shared" si="0"/>
        <v>3940</v>
      </c>
      <c r="S47" s="35">
        <f t="shared" si="1"/>
        <v>3822</v>
      </c>
      <c r="T47" s="11">
        <v>673595</v>
      </c>
    </row>
    <row r="48" spans="1:20" ht="15.75" hidden="1">
      <c r="A48" s="39">
        <v>45831</v>
      </c>
      <c r="B48" s="22" t="s">
        <v>1500</v>
      </c>
      <c r="C48" s="40" t="s">
        <v>1493</v>
      </c>
      <c r="D48" s="35">
        <f>4429-808</f>
        <v>3621</v>
      </c>
      <c r="E48" s="35">
        <f>1465+2222</f>
        <v>3687</v>
      </c>
      <c r="F48" s="35">
        <v>2150</v>
      </c>
      <c r="G48" s="35">
        <f>1205+689</f>
        <v>1894</v>
      </c>
      <c r="H48" s="35">
        <v>0</v>
      </c>
      <c r="I48" s="35">
        <v>0</v>
      </c>
      <c r="J48" s="35">
        <v>0</v>
      </c>
      <c r="K48" s="35">
        <v>0</v>
      </c>
      <c r="L48" s="35">
        <v>3385</v>
      </c>
      <c r="M48" s="35">
        <f>1730+2035</f>
        <v>3765</v>
      </c>
      <c r="N48" s="35">
        <v>1794</v>
      </c>
      <c r="O48" s="35">
        <v>1233</v>
      </c>
      <c r="P48" s="35">
        <f>3383-2706+1331</f>
        <v>2008</v>
      </c>
      <c r="Q48" s="35">
        <v>1947</v>
      </c>
      <c r="R48" s="40">
        <f t="shared" si="0"/>
        <v>12958</v>
      </c>
      <c r="S48" s="35">
        <f t="shared" si="1"/>
        <v>12526</v>
      </c>
      <c r="T48" s="11">
        <v>583134</v>
      </c>
    </row>
    <row r="49" spans="1:20" ht="15.75" hidden="1">
      <c r="A49" s="39">
        <v>45831</v>
      </c>
      <c r="B49" s="56" t="s">
        <v>33</v>
      </c>
      <c r="C49" s="40" t="s">
        <v>1494</v>
      </c>
      <c r="D49" s="35">
        <v>0</v>
      </c>
      <c r="E49" s="35">
        <v>0</v>
      </c>
      <c r="F49" s="35">
        <v>0</v>
      </c>
      <c r="G49" s="35">
        <v>0</v>
      </c>
      <c r="H49" s="35">
        <v>3564</v>
      </c>
      <c r="I49" s="35">
        <v>3694</v>
      </c>
      <c r="J49" s="35">
        <v>0</v>
      </c>
      <c r="K49" s="35">
        <v>0</v>
      </c>
      <c r="L49" s="35">
        <v>4258</v>
      </c>
      <c r="M49" s="35">
        <v>3974</v>
      </c>
      <c r="N49" s="35">
        <v>0</v>
      </c>
      <c r="O49" s="35">
        <v>0</v>
      </c>
      <c r="P49" s="35">
        <v>0</v>
      </c>
      <c r="Q49" s="35">
        <v>0</v>
      </c>
      <c r="R49" s="40">
        <f t="shared" si="0"/>
        <v>7822</v>
      </c>
      <c r="S49" s="35">
        <f t="shared" si="1"/>
        <v>7668</v>
      </c>
      <c r="T49" s="11">
        <v>583131</v>
      </c>
    </row>
    <row r="50" spans="1:20" ht="15.75" hidden="1">
      <c r="A50" s="39">
        <v>45831</v>
      </c>
      <c r="B50" s="56" t="s">
        <v>33</v>
      </c>
      <c r="C50" s="40" t="s">
        <v>1493</v>
      </c>
      <c r="D50" s="35">
        <v>3311.2000000000003</v>
      </c>
      <c r="E50" s="35">
        <f>2882+259</f>
        <v>3141</v>
      </c>
      <c r="F50" s="35">
        <v>1518</v>
      </c>
      <c r="G50" s="35">
        <f>1149+172</f>
        <v>1321</v>
      </c>
      <c r="H50" s="35">
        <v>0</v>
      </c>
      <c r="I50" s="35">
        <v>0</v>
      </c>
      <c r="J50" s="35">
        <v>0</v>
      </c>
      <c r="K50" s="35">
        <v>0</v>
      </c>
      <c r="L50" s="35">
        <v>1863</v>
      </c>
      <c r="M50" s="35">
        <f>1438+369</f>
        <v>1807</v>
      </c>
      <c r="N50" s="35">
        <v>491</v>
      </c>
      <c r="O50" s="35">
        <f>360+255</f>
        <v>615</v>
      </c>
      <c r="P50" s="35">
        <v>0</v>
      </c>
      <c r="Q50" s="35">
        <v>0</v>
      </c>
      <c r="R50" s="40">
        <f t="shared" si="0"/>
        <v>7183.2000000000007</v>
      </c>
      <c r="S50" s="35">
        <f t="shared" si="1"/>
        <v>6884</v>
      </c>
      <c r="T50" s="11">
        <v>583131</v>
      </c>
    </row>
    <row r="51" spans="1:20" ht="15.75" hidden="1">
      <c r="A51" s="39">
        <v>45831</v>
      </c>
      <c r="B51" s="8" t="s">
        <v>109</v>
      </c>
      <c r="C51" s="40" t="s">
        <v>1493</v>
      </c>
      <c r="D51" s="35">
        <v>2943</v>
      </c>
      <c r="E51" s="35">
        <v>2770</v>
      </c>
      <c r="F51" s="35">
        <v>1198</v>
      </c>
      <c r="G51" s="35">
        <v>1169</v>
      </c>
      <c r="H51" s="35">
        <v>0</v>
      </c>
      <c r="I51" s="35">
        <v>0</v>
      </c>
      <c r="J51" s="35">
        <v>0</v>
      </c>
      <c r="K51" s="35">
        <v>0</v>
      </c>
      <c r="L51" s="35">
        <v>2757</v>
      </c>
      <c r="M51" s="35">
        <v>2424</v>
      </c>
      <c r="N51" s="35">
        <v>290</v>
      </c>
      <c r="O51" s="35">
        <v>477</v>
      </c>
      <c r="P51" s="35">
        <v>0</v>
      </c>
      <c r="Q51" s="35">
        <v>0</v>
      </c>
      <c r="R51" s="40">
        <f t="shared" si="0"/>
        <v>7188</v>
      </c>
      <c r="S51" s="35">
        <f t="shared" si="1"/>
        <v>6840</v>
      </c>
      <c r="T51" s="11">
        <v>582114</v>
      </c>
    </row>
    <row r="52" spans="1:20" hidden="1">
      <c r="A52" s="39">
        <v>45831</v>
      </c>
      <c r="B52" s="35" t="s">
        <v>1504</v>
      </c>
      <c r="C52" s="40" t="s">
        <v>1495</v>
      </c>
      <c r="D52" s="35">
        <f>4607-1600</f>
        <v>3007</v>
      </c>
      <c r="E52" s="35">
        <v>2813</v>
      </c>
      <c r="F52" s="35">
        <v>1108</v>
      </c>
      <c r="G52" s="35">
        <v>1107</v>
      </c>
      <c r="H52" s="35">
        <v>0</v>
      </c>
      <c r="I52" s="35">
        <v>0</v>
      </c>
      <c r="J52" s="35">
        <v>0</v>
      </c>
      <c r="K52" s="35">
        <v>0</v>
      </c>
      <c r="L52" s="35">
        <v>2623</v>
      </c>
      <c r="M52" s="35">
        <v>2487</v>
      </c>
      <c r="N52" s="35">
        <v>664</v>
      </c>
      <c r="O52" s="35">
        <v>719</v>
      </c>
      <c r="P52" s="35">
        <v>0</v>
      </c>
      <c r="Q52" s="35">
        <v>0</v>
      </c>
      <c r="R52" s="40">
        <f t="shared" si="0"/>
        <v>7402</v>
      </c>
      <c r="S52" s="35">
        <f t="shared" si="1"/>
        <v>7126</v>
      </c>
      <c r="T52" s="11">
        <v>583277</v>
      </c>
    </row>
    <row r="53" spans="1:20" ht="15.75" hidden="1">
      <c r="A53" s="39">
        <v>45832</v>
      </c>
      <c r="B53" s="57" t="s">
        <v>250</v>
      </c>
      <c r="C53" s="40" t="s">
        <v>1494</v>
      </c>
      <c r="D53" s="35">
        <v>0</v>
      </c>
      <c r="E53" s="35">
        <v>0</v>
      </c>
      <c r="F53" s="35">
        <v>0</v>
      </c>
      <c r="G53" s="35">
        <v>0</v>
      </c>
      <c r="H53" s="35">
        <v>977</v>
      </c>
      <c r="I53" s="35">
        <v>939</v>
      </c>
      <c r="J53" s="35">
        <v>0</v>
      </c>
      <c r="K53" s="35">
        <v>0</v>
      </c>
      <c r="L53" s="35">
        <v>1091</v>
      </c>
      <c r="M53" s="35">
        <v>1082</v>
      </c>
      <c r="N53" s="35">
        <v>516</v>
      </c>
      <c r="O53" s="35">
        <v>497</v>
      </c>
      <c r="P53" s="35">
        <v>2546</v>
      </c>
      <c r="Q53" s="35">
        <f>2422+51</f>
        <v>2473</v>
      </c>
      <c r="R53" s="40">
        <f t="shared" si="0"/>
        <v>5130</v>
      </c>
      <c r="S53" s="35">
        <f t="shared" si="1"/>
        <v>4991</v>
      </c>
      <c r="T53" s="11">
        <v>572137</v>
      </c>
    </row>
    <row r="54" spans="1:20" hidden="1">
      <c r="A54" s="39">
        <v>45832</v>
      </c>
      <c r="B54" s="35" t="s">
        <v>1458</v>
      </c>
      <c r="C54" s="40" t="s">
        <v>1494</v>
      </c>
      <c r="D54" s="35">
        <v>0</v>
      </c>
      <c r="E54" s="35">
        <v>0</v>
      </c>
      <c r="F54" s="35">
        <v>3077</v>
      </c>
      <c r="G54" s="35">
        <v>2912</v>
      </c>
      <c r="H54" s="35">
        <v>0</v>
      </c>
      <c r="I54" s="35">
        <v>0</v>
      </c>
      <c r="J54" s="35">
        <v>0</v>
      </c>
      <c r="K54" s="35">
        <v>0</v>
      </c>
      <c r="L54" s="35">
        <v>4720</v>
      </c>
      <c r="M54" s="35">
        <v>4749</v>
      </c>
      <c r="N54" s="35">
        <v>195</v>
      </c>
      <c r="O54" s="35">
        <v>0</v>
      </c>
      <c r="P54" s="35">
        <v>0</v>
      </c>
      <c r="Q54" s="35">
        <v>0</v>
      </c>
      <c r="R54" s="40">
        <f t="shared" si="0"/>
        <v>7992</v>
      </c>
      <c r="S54" s="35">
        <f t="shared" si="1"/>
        <v>7661</v>
      </c>
      <c r="T54" s="11">
        <v>517561</v>
      </c>
    </row>
    <row r="55" spans="1:20" ht="15.75" hidden="1">
      <c r="A55" s="39">
        <v>45832</v>
      </c>
      <c r="B55" s="22" t="s">
        <v>1500</v>
      </c>
      <c r="C55" s="40" t="s">
        <v>1493</v>
      </c>
      <c r="D55" s="35">
        <v>4181</v>
      </c>
      <c r="E55" s="35">
        <f>2160+1546+140</f>
        <v>3846</v>
      </c>
      <c r="F55" s="35">
        <v>2737</v>
      </c>
      <c r="G55" s="35">
        <f>1018+1286+563</f>
        <v>2867</v>
      </c>
      <c r="H55" s="35">
        <v>0</v>
      </c>
      <c r="I55" s="35">
        <v>0</v>
      </c>
      <c r="J55" s="35">
        <v>0</v>
      </c>
      <c r="K55" s="35">
        <v>0</v>
      </c>
      <c r="L55" s="35">
        <v>4731</v>
      </c>
      <c r="M55" s="35">
        <f>2262+1779+603</f>
        <v>4644</v>
      </c>
      <c r="N55" s="35">
        <v>2570</v>
      </c>
      <c r="O55" s="35">
        <f>1344+800+500</f>
        <v>2644</v>
      </c>
      <c r="P55" s="35">
        <v>6672</v>
      </c>
      <c r="Q55" s="35">
        <f>1962+4384</f>
        <v>6346</v>
      </c>
      <c r="R55" s="40">
        <f t="shared" si="0"/>
        <v>20891</v>
      </c>
      <c r="S55" s="35">
        <f t="shared" si="1"/>
        <v>20347</v>
      </c>
      <c r="T55" s="11">
        <v>583134</v>
      </c>
    </row>
    <row r="56" spans="1:20" ht="15.75" hidden="1">
      <c r="A56" s="39">
        <v>45832</v>
      </c>
      <c r="B56" s="56" t="s">
        <v>33</v>
      </c>
      <c r="C56" s="40" t="s">
        <v>1494</v>
      </c>
      <c r="D56" s="40">
        <v>0</v>
      </c>
      <c r="E56" s="35">
        <v>0</v>
      </c>
      <c r="F56" s="40">
        <v>0</v>
      </c>
      <c r="G56" s="35">
        <v>0</v>
      </c>
      <c r="H56" s="40">
        <v>3895</v>
      </c>
      <c r="I56" s="35">
        <v>3684</v>
      </c>
      <c r="J56" s="40">
        <v>0</v>
      </c>
      <c r="K56" s="35">
        <v>0</v>
      </c>
      <c r="L56" s="40">
        <v>3645</v>
      </c>
      <c r="M56" s="35">
        <v>3675</v>
      </c>
      <c r="N56" s="40">
        <v>0</v>
      </c>
      <c r="O56" s="35">
        <v>0</v>
      </c>
      <c r="P56" s="40">
        <v>0</v>
      </c>
      <c r="Q56" s="35">
        <v>0</v>
      </c>
      <c r="R56" s="40">
        <f t="shared" si="0"/>
        <v>7540</v>
      </c>
      <c r="S56" s="35">
        <f t="shared" si="1"/>
        <v>7359</v>
      </c>
      <c r="T56" s="11">
        <v>583131</v>
      </c>
    </row>
    <row r="57" spans="1:20" ht="15.75" hidden="1">
      <c r="A57" s="39">
        <v>45832</v>
      </c>
      <c r="B57" s="8" t="s">
        <v>109</v>
      </c>
      <c r="C57" s="40" t="s">
        <v>1493</v>
      </c>
      <c r="D57" s="35">
        <v>2346</v>
      </c>
      <c r="E57" s="35">
        <v>2107</v>
      </c>
      <c r="F57" s="35">
        <v>1268</v>
      </c>
      <c r="G57" s="35">
        <v>1180</v>
      </c>
      <c r="H57" s="35">
        <v>0</v>
      </c>
      <c r="I57" s="35">
        <v>0</v>
      </c>
      <c r="J57" s="35">
        <v>0</v>
      </c>
      <c r="K57" s="35">
        <v>0</v>
      </c>
      <c r="L57" s="35">
        <v>2774</v>
      </c>
      <c r="M57" s="35">
        <v>2526</v>
      </c>
      <c r="N57" s="35">
        <v>1347</v>
      </c>
      <c r="O57" s="35">
        <v>1361</v>
      </c>
      <c r="P57" s="35">
        <v>0</v>
      </c>
      <c r="Q57" s="35">
        <v>0</v>
      </c>
      <c r="R57" s="40">
        <f t="shared" si="0"/>
        <v>7735</v>
      </c>
      <c r="S57" s="35">
        <f t="shared" si="1"/>
        <v>7174</v>
      </c>
      <c r="T57" s="11">
        <v>582114</v>
      </c>
    </row>
    <row r="58" spans="1:20" hidden="1">
      <c r="A58" s="39">
        <v>45832</v>
      </c>
      <c r="B58" s="35" t="s">
        <v>1504</v>
      </c>
      <c r="C58" s="40" t="s">
        <v>1495</v>
      </c>
      <c r="D58" s="35">
        <f>4606-1558</f>
        <v>3048</v>
      </c>
      <c r="E58" s="35">
        <v>2886</v>
      </c>
      <c r="F58" s="35">
        <v>1152</v>
      </c>
      <c r="G58" s="35">
        <v>1051</v>
      </c>
      <c r="H58" s="35">
        <v>0</v>
      </c>
      <c r="I58" s="35">
        <v>0</v>
      </c>
      <c r="J58" s="35">
        <v>0</v>
      </c>
      <c r="K58" s="35">
        <v>0</v>
      </c>
      <c r="L58" s="35">
        <v>2794</v>
      </c>
      <c r="M58" s="35">
        <v>2666</v>
      </c>
      <c r="N58" s="35">
        <v>542</v>
      </c>
      <c r="O58" s="35">
        <v>577</v>
      </c>
      <c r="P58" s="35">
        <v>0</v>
      </c>
      <c r="Q58" s="35">
        <v>0</v>
      </c>
      <c r="R58" s="40">
        <f t="shared" si="0"/>
        <v>7536</v>
      </c>
      <c r="S58" s="35">
        <f t="shared" si="1"/>
        <v>7180</v>
      </c>
      <c r="T58" s="11">
        <v>583277</v>
      </c>
    </row>
    <row r="59" spans="1:20" ht="15.75" hidden="1">
      <c r="A59" s="39">
        <v>45832</v>
      </c>
      <c r="B59" s="56" t="s">
        <v>33</v>
      </c>
      <c r="C59" s="40" t="s">
        <v>1493</v>
      </c>
      <c r="D59" s="35">
        <f>3088.5-312</f>
        <v>2776.5</v>
      </c>
      <c r="E59" s="35">
        <v>2464</v>
      </c>
      <c r="F59" s="35">
        <v>1052</v>
      </c>
      <c r="G59" s="35">
        <v>1014</v>
      </c>
      <c r="H59" s="35">
        <v>0</v>
      </c>
      <c r="I59" s="35">
        <v>0</v>
      </c>
      <c r="J59" s="35">
        <v>0</v>
      </c>
      <c r="K59" s="35">
        <v>0</v>
      </c>
      <c r="L59" s="35">
        <v>1892</v>
      </c>
      <c r="M59" s="35">
        <v>1952</v>
      </c>
      <c r="N59" s="35">
        <v>409</v>
      </c>
      <c r="O59" s="35">
        <v>447</v>
      </c>
      <c r="P59" s="35">
        <v>0</v>
      </c>
      <c r="Q59" s="35">
        <v>0</v>
      </c>
      <c r="R59" s="40">
        <f t="shared" si="0"/>
        <v>6129.5</v>
      </c>
      <c r="S59" s="35">
        <f t="shared" si="1"/>
        <v>5877</v>
      </c>
      <c r="T59" s="11">
        <v>583131</v>
      </c>
    </row>
    <row r="60" spans="1:20" hidden="1">
      <c r="A60" s="39">
        <v>45833</v>
      </c>
      <c r="B60" s="35" t="s">
        <v>1458</v>
      </c>
      <c r="C60" s="40" t="s">
        <v>1494</v>
      </c>
      <c r="D60" s="35">
        <v>0</v>
      </c>
      <c r="E60" s="35">
        <v>0</v>
      </c>
      <c r="F60" s="35">
        <v>3472</v>
      </c>
      <c r="G60" s="35">
        <v>3335</v>
      </c>
      <c r="H60" s="35">
        <v>0</v>
      </c>
      <c r="I60" s="35">
        <v>0</v>
      </c>
      <c r="J60" s="35">
        <v>0</v>
      </c>
      <c r="K60" s="35">
        <v>0</v>
      </c>
      <c r="L60" s="35">
        <v>4266</v>
      </c>
      <c r="M60" s="35">
        <v>4112</v>
      </c>
      <c r="N60" s="35">
        <v>374</v>
      </c>
      <c r="O60" s="35">
        <v>380</v>
      </c>
      <c r="P60" s="35">
        <v>0</v>
      </c>
      <c r="Q60" s="35">
        <v>0</v>
      </c>
      <c r="R60" s="40">
        <f t="shared" si="0"/>
        <v>8112</v>
      </c>
      <c r="S60" s="35">
        <f t="shared" si="1"/>
        <v>7827</v>
      </c>
      <c r="T60" s="11">
        <v>517561</v>
      </c>
    </row>
    <row r="61" spans="1:20" ht="15.75" hidden="1">
      <c r="A61" s="39">
        <v>45833</v>
      </c>
      <c r="B61" s="53" t="s">
        <v>1502</v>
      </c>
      <c r="C61" s="40" t="s">
        <v>1494</v>
      </c>
      <c r="D61" s="35">
        <v>0</v>
      </c>
      <c r="E61" s="35">
        <v>0</v>
      </c>
      <c r="F61" s="35">
        <v>0</v>
      </c>
      <c r="G61" s="35">
        <v>0</v>
      </c>
      <c r="H61" s="35">
        <v>2335</v>
      </c>
      <c r="I61" s="35">
        <v>2317</v>
      </c>
      <c r="J61" s="35">
        <v>0</v>
      </c>
      <c r="K61" s="35">
        <v>0</v>
      </c>
      <c r="L61" s="35">
        <v>2601</v>
      </c>
      <c r="M61" s="35">
        <v>2537</v>
      </c>
      <c r="N61" s="35">
        <v>745</v>
      </c>
      <c r="O61" s="35">
        <v>752</v>
      </c>
      <c r="P61" s="35">
        <v>0</v>
      </c>
      <c r="Q61" s="35">
        <v>0</v>
      </c>
      <c r="R61" s="40">
        <f t="shared" si="0"/>
        <v>5681</v>
      </c>
      <c r="S61" s="35">
        <f t="shared" si="1"/>
        <v>5606</v>
      </c>
      <c r="T61" s="11">
        <v>572218</v>
      </c>
    </row>
    <row r="62" spans="1:20" ht="15.75" hidden="1">
      <c r="A62" s="39">
        <v>45833</v>
      </c>
      <c r="B62" s="22" t="s">
        <v>1500</v>
      </c>
      <c r="C62" s="40" t="s">
        <v>1493</v>
      </c>
      <c r="D62" s="35">
        <v>5002</v>
      </c>
      <c r="E62" s="35">
        <f>1889+1897+869</f>
        <v>4655</v>
      </c>
      <c r="F62" s="35">
        <v>2421</v>
      </c>
      <c r="G62" s="35">
        <f>673+915+416</f>
        <v>2004</v>
      </c>
      <c r="H62" s="35">
        <v>0</v>
      </c>
      <c r="I62" s="35">
        <v>0</v>
      </c>
      <c r="J62" s="35">
        <v>0</v>
      </c>
      <c r="K62" s="35">
        <v>0</v>
      </c>
      <c r="L62" s="35">
        <v>4248</v>
      </c>
      <c r="M62" s="35">
        <f>1379+1916+814</f>
        <v>4109</v>
      </c>
      <c r="N62" s="35">
        <v>1636</v>
      </c>
      <c r="O62" s="35">
        <f>486+874+236</f>
        <v>1596</v>
      </c>
      <c r="P62" s="35">
        <v>5853</v>
      </c>
      <c r="Q62" s="35">
        <f>1193+4536</f>
        <v>5729</v>
      </c>
      <c r="R62" s="40">
        <f t="shared" si="0"/>
        <v>19160</v>
      </c>
      <c r="S62" s="35">
        <f t="shared" si="1"/>
        <v>18093</v>
      </c>
      <c r="T62" s="11">
        <v>583134</v>
      </c>
    </row>
    <row r="63" spans="1:20" ht="15.75" hidden="1">
      <c r="A63" s="39">
        <v>45833</v>
      </c>
      <c r="B63" s="56" t="s">
        <v>33</v>
      </c>
      <c r="C63" s="40" t="s">
        <v>1494</v>
      </c>
      <c r="D63" s="35">
        <v>0</v>
      </c>
      <c r="E63" s="35">
        <v>0</v>
      </c>
      <c r="F63" s="35">
        <v>2693</v>
      </c>
      <c r="G63" s="35">
        <v>2709</v>
      </c>
      <c r="H63" s="35">
        <v>0</v>
      </c>
      <c r="I63" s="35">
        <v>0</v>
      </c>
      <c r="J63" s="35">
        <v>0</v>
      </c>
      <c r="K63" s="35">
        <v>0</v>
      </c>
      <c r="L63" s="35">
        <v>2898</v>
      </c>
      <c r="M63" s="35">
        <v>2945</v>
      </c>
      <c r="N63" s="35">
        <v>2547</v>
      </c>
      <c r="O63" s="35">
        <v>1765</v>
      </c>
      <c r="P63" s="35">
        <v>0</v>
      </c>
      <c r="Q63" s="35">
        <v>0</v>
      </c>
      <c r="R63" s="40">
        <f t="shared" si="0"/>
        <v>8138</v>
      </c>
      <c r="S63" s="35">
        <f t="shared" si="1"/>
        <v>7419</v>
      </c>
      <c r="T63" s="11">
        <v>583131</v>
      </c>
    </row>
    <row r="64" spans="1:20" ht="15.75" hidden="1">
      <c r="A64" s="39">
        <v>45833</v>
      </c>
      <c r="B64" s="8" t="s">
        <v>109</v>
      </c>
      <c r="C64" s="40" t="s">
        <v>1493</v>
      </c>
      <c r="D64" s="35">
        <f>6845-1629</f>
        <v>5216</v>
      </c>
      <c r="E64" s="35">
        <f>2770+2181</f>
        <v>4951</v>
      </c>
      <c r="F64" s="35">
        <v>2922</v>
      </c>
      <c r="G64" s="35">
        <f>1547+1205</f>
        <v>2752</v>
      </c>
      <c r="H64" s="35">
        <v>0</v>
      </c>
      <c r="I64" s="35">
        <v>0</v>
      </c>
      <c r="J64" s="35">
        <v>0</v>
      </c>
      <c r="K64" s="35">
        <v>0</v>
      </c>
      <c r="L64" s="35">
        <v>5854</v>
      </c>
      <c r="M64" s="35">
        <f>2731+2967</f>
        <v>5698</v>
      </c>
      <c r="N64" s="35">
        <v>825</v>
      </c>
      <c r="O64" s="35">
        <f>467+340</f>
        <v>807</v>
      </c>
      <c r="P64" s="35">
        <v>0</v>
      </c>
      <c r="Q64" s="35">
        <v>0</v>
      </c>
      <c r="R64" s="40">
        <f t="shared" si="0"/>
        <v>14817</v>
      </c>
      <c r="S64" s="35">
        <f t="shared" si="1"/>
        <v>14208</v>
      </c>
      <c r="T64" s="11">
        <v>582114</v>
      </c>
    </row>
    <row r="65" spans="1:20" ht="15.75" hidden="1">
      <c r="A65" s="39">
        <v>45833</v>
      </c>
      <c r="B65" s="56" t="s">
        <v>33</v>
      </c>
      <c r="C65" s="40" t="s">
        <v>1493</v>
      </c>
      <c r="D65" s="35">
        <f>3752.1-911</f>
        <v>2841.1</v>
      </c>
      <c r="E65" s="35">
        <v>2515</v>
      </c>
      <c r="F65" s="35">
        <v>1057</v>
      </c>
      <c r="G65" s="35">
        <v>957</v>
      </c>
      <c r="H65" s="35">
        <v>0</v>
      </c>
      <c r="I65" s="35">
        <v>0</v>
      </c>
      <c r="J65" s="35">
        <v>0</v>
      </c>
      <c r="K65" s="35">
        <v>0</v>
      </c>
      <c r="L65" s="35">
        <v>2665</v>
      </c>
      <c r="M65" s="35">
        <v>3138</v>
      </c>
      <c r="N65" s="35">
        <v>806</v>
      </c>
      <c r="O65" s="35">
        <v>673</v>
      </c>
      <c r="P65" s="35">
        <v>0</v>
      </c>
      <c r="Q65" s="35">
        <v>0</v>
      </c>
      <c r="R65" s="40">
        <f t="shared" si="0"/>
        <v>7369.1</v>
      </c>
      <c r="S65" s="35">
        <f t="shared" si="1"/>
        <v>7283</v>
      </c>
      <c r="T65" s="11">
        <v>583131</v>
      </c>
    </row>
    <row r="66" spans="1:20" hidden="1">
      <c r="A66" s="39">
        <v>45834</v>
      </c>
      <c r="B66" s="35" t="s">
        <v>1458</v>
      </c>
      <c r="C66" s="40" t="s">
        <v>1494</v>
      </c>
      <c r="D66" s="35">
        <v>0</v>
      </c>
      <c r="E66" s="35">
        <v>0</v>
      </c>
      <c r="F66" s="35">
        <v>3405</v>
      </c>
      <c r="G66" s="35">
        <v>3315</v>
      </c>
      <c r="H66" s="35">
        <v>0</v>
      </c>
      <c r="I66" s="35">
        <v>0</v>
      </c>
      <c r="J66" s="35">
        <v>0</v>
      </c>
      <c r="K66" s="35">
        <v>0</v>
      </c>
      <c r="L66" s="35">
        <v>4381</v>
      </c>
      <c r="M66" s="35">
        <v>4248</v>
      </c>
      <c r="N66" s="35">
        <v>209</v>
      </c>
      <c r="O66" s="35">
        <v>203</v>
      </c>
      <c r="P66" s="35">
        <v>0</v>
      </c>
      <c r="Q66" s="35">
        <v>0</v>
      </c>
      <c r="R66" s="40">
        <f t="shared" ref="R66:R129" si="2">SUM(D66,F66,H66,J66,L66,N66,P66)</f>
        <v>7995</v>
      </c>
      <c r="S66" s="35">
        <f t="shared" ref="S66:S129" si="3">SUM(E66,G66,I66,K66,M66,O66,Q66)</f>
        <v>7766</v>
      </c>
      <c r="T66" s="11">
        <v>517561</v>
      </c>
    </row>
    <row r="67" spans="1:20" ht="15.75" hidden="1">
      <c r="A67" s="39">
        <v>45834</v>
      </c>
      <c r="B67" s="56" t="s">
        <v>33</v>
      </c>
      <c r="C67" s="40" t="s">
        <v>1494</v>
      </c>
      <c r="D67" s="35">
        <v>0</v>
      </c>
      <c r="E67" s="35">
        <v>0</v>
      </c>
      <c r="F67" s="35">
        <v>3896</v>
      </c>
      <c r="G67" s="35">
        <v>3869</v>
      </c>
      <c r="H67" s="35">
        <v>0</v>
      </c>
      <c r="I67" s="35">
        <v>0</v>
      </c>
      <c r="J67" s="35">
        <v>0</v>
      </c>
      <c r="K67" s="35">
        <v>0</v>
      </c>
      <c r="L67" s="35">
        <v>2500</v>
      </c>
      <c r="M67" s="35">
        <v>2426</v>
      </c>
      <c r="N67" s="35">
        <v>985</v>
      </c>
      <c r="O67" s="35">
        <v>972</v>
      </c>
      <c r="P67" s="35">
        <v>0</v>
      </c>
      <c r="Q67" s="35">
        <v>0</v>
      </c>
      <c r="R67" s="40">
        <f t="shared" si="2"/>
        <v>7381</v>
      </c>
      <c r="S67" s="35">
        <f t="shared" si="3"/>
        <v>7267</v>
      </c>
      <c r="T67" s="11">
        <v>583131</v>
      </c>
    </row>
    <row r="68" spans="1:20" ht="15.75" hidden="1">
      <c r="A68" s="39">
        <v>45834</v>
      </c>
      <c r="B68" s="22" t="s">
        <v>1500</v>
      </c>
      <c r="C68" s="40" t="s">
        <v>1493</v>
      </c>
      <c r="D68" s="35">
        <v>4039</v>
      </c>
      <c r="E68" s="35">
        <f>2356+1654</f>
        <v>4010</v>
      </c>
      <c r="F68" s="35">
        <v>2061</v>
      </c>
      <c r="G68" s="35">
        <f>1091+571</f>
        <v>1662</v>
      </c>
      <c r="H68" s="35">
        <v>0</v>
      </c>
      <c r="I68" s="35">
        <v>0</v>
      </c>
      <c r="J68" s="35">
        <v>0</v>
      </c>
      <c r="K68" s="35">
        <v>0</v>
      </c>
      <c r="L68" s="35">
        <v>4644</v>
      </c>
      <c r="M68" s="35">
        <f>2026+2435</f>
        <v>4461</v>
      </c>
      <c r="N68" s="35">
        <v>3003</v>
      </c>
      <c r="O68" s="35">
        <f>1771+1222</f>
        <v>2993</v>
      </c>
      <c r="P68" s="35">
        <v>0</v>
      </c>
      <c r="Q68" s="35">
        <v>0</v>
      </c>
      <c r="R68" s="40">
        <f t="shared" si="2"/>
        <v>13747</v>
      </c>
      <c r="S68" s="35">
        <f t="shared" si="3"/>
        <v>13126</v>
      </c>
      <c r="T68" s="11">
        <v>583134</v>
      </c>
    </row>
    <row r="69" spans="1:20" ht="15.75" hidden="1">
      <c r="A69" s="39">
        <v>45834</v>
      </c>
      <c r="B69" s="56" t="s">
        <v>33</v>
      </c>
      <c r="C69" s="40" t="s">
        <v>1493</v>
      </c>
      <c r="D69" s="35">
        <v>3659.6</v>
      </c>
      <c r="E69" s="35">
        <v>3902</v>
      </c>
      <c r="F69" s="35">
        <v>1478</v>
      </c>
      <c r="G69" s="35">
        <v>792</v>
      </c>
      <c r="H69" s="35">
        <v>0</v>
      </c>
      <c r="I69" s="35">
        <v>0</v>
      </c>
      <c r="J69" s="35">
        <v>0</v>
      </c>
      <c r="K69" s="35">
        <v>0</v>
      </c>
      <c r="L69" s="35">
        <v>1923</v>
      </c>
      <c r="M69" s="35">
        <v>1909</v>
      </c>
      <c r="N69" s="35">
        <v>536</v>
      </c>
      <c r="O69" s="35">
        <v>532</v>
      </c>
      <c r="P69" s="35">
        <v>0</v>
      </c>
      <c r="Q69" s="35">
        <v>0</v>
      </c>
      <c r="R69" s="40">
        <f t="shared" si="2"/>
        <v>7596.6</v>
      </c>
      <c r="S69" s="35">
        <f t="shared" si="3"/>
        <v>7135</v>
      </c>
      <c r="T69" s="11">
        <v>583131</v>
      </c>
    </row>
    <row r="70" spans="1:20" ht="15.75" hidden="1">
      <c r="A70" s="39">
        <v>45834</v>
      </c>
      <c r="B70" s="8" t="s">
        <v>109</v>
      </c>
      <c r="C70" s="40" t="s">
        <v>1493</v>
      </c>
      <c r="D70" s="35">
        <v>2974</v>
      </c>
      <c r="E70" s="35">
        <v>2171</v>
      </c>
      <c r="F70" s="35">
        <v>1343</v>
      </c>
      <c r="G70" s="35">
        <v>1362</v>
      </c>
      <c r="H70" s="35">
        <v>0</v>
      </c>
      <c r="I70" s="35">
        <v>0</v>
      </c>
      <c r="J70" s="35">
        <v>0</v>
      </c>
      <c r="K70" s="35">
        <v>0</v>
      </c>
      <c r="L70" s="35">
        <v>2624</v>
      </c>
      <c r="M70" s="35">
        <v>2849</v>
      </c>
      <c r="N70" s="35">
        <v>589</v>
      </c>
      <c r="O70" s="35">
        <v>436</v>
      </c>
      <c r="P70" s="35">
        <v>0</v>
      </c>
      <c r="Q70" s="35">
        <v>0</v>
      </c>
      <c r="R70" s="40">
        <f t="shared" si="2"/>
        <v>7530</v>
      </c>
      <c r="S70" s="35">
        <f t="shared" si="3"/>
        <v>6818</v>
      </c>
      <c r="T70" s="11">
        <v>582114</v>
      </c>
    </row>
    <row r="71" spans="1:20" hidden="1">
      <c r="A71" s="39">
        <v>45834</v>
      </c>
      <c r="B71" s="35" t="s">
        <v>1504</v>
      </c>
      <c r="C71" s="40" t="s">
        <v>1495</v>
      </c>
      <c r="D71" s="35">
        <f>4450-2070</f>
        <v>2380</v>
      </c>
      <c r="E71" s="35">
        <v>2267</v>
      </c>
      <c r="F71" s="35">
        <v>859</v>
      </c>
      <c r="G71" s="35">
        <v>794</v>
      </c>
      <c r="H71" s="35">
        <v>0</v>
      </c>
      <c r="I71" s="35">
        <v>0</v>
      </c>
      <c r="J71" s="35">
        <v>0</v>
      </c>
      <c r="K71" s="35">
        <v>0</v>
      </c>
      <c r="L71" s="35">
        <v>2865</v>
      </c>
      <c r="M71" s="35">
        <v>2844</v>
      </c>
      <c r="N71" s="35">
        <v>895</v>
      </c>
      <c r="O71" s="35">
        <v>880</v>
      </c>
      <c r="P71" s="35">
        <v>0</v>
      </c>
      <c r="Q71" s="35">
        <v>0</v>
      </c>
      <c r="R71" s="40">
        <f t="shared" si="2"/>
        <v>6999</v>
      </c>
      <c r="S71" s="35">
        <f t="shared" si="3"/>
        <v>6785</v>
      </c>
      <c r="T71" s="11">
        <v>583277</v>
      </c>
    </row>
    <row r="72" spans="1:20" hidden="1">
      <c r="A72" s="39">
        <v>45835</v>
      </c>
      <c r="B72" s="35" t="s">
        <v>1458</v>
      </c>
      <c r="C72" s="40" t="s">
        <v>1494</v>
      </c>
      <c r="D72" s="35">
        <v>0</v>
      </c>
      <c r="E72" s="35">
        <v>0</v>
      </c>
      <c r="F72" s="35">
        <v>3204</v>
      </c>
      <c r="G72" s="35">
        <v>2994</v>
      </c>
      <c r="H72" s="35">
        <v>0</v>
      </c>
      <c r="I72" s="35">
        <v>0</v>
      </c>
      <c r="J72" s="35">
        <v>0</v>
      </c>
      <c r="K72" s="35">
        <v>0</v>
      </c>
      <c r="L72" s="35">
        <v>4707</v>
      </c>
      <c r="M72" s="35">
        <v>4591</v>
      </c>
      <c r="N72" s="35">
        <v>343</v>
      </c>
      <c r="O72" s="35">
        <v>321</v>
      </c>
      <c r="P72" s="35">
        <v>0</v>
      </c>
      <c r="Q72" s="35">
        <v>0</v>
      </c>
      <c r="R72" s="40">
        <f t="shared" si="2"/>
        <v>8254</v>
      </c>
      <c r="S72" s="35">
        <f t="shared" si="3"/>
        <v>7906</v>
      </c>
      <c r="T72" s="11">
        <v>517561</v>
      </c>
    </row>
    <row r="73" spans="1:20" ht="15.75" hidden="1">
      <c r="A73" s="39">
        <v>45835</v>
      </c>
      <c r="B73" s="53" t="s">
        <v>1502</v>
      </c>
      <c r="C73" s="40" t="s">
        <v>1494</v>
      </c>
      <c r="D73" s="40">
        <v>0</v>
      </c>
      <c r="E73" s="35">
        <v>0</v>
      </c>
      <c r="F73" s="40">
        <v>0</v>
      </c>
      <c r="G73" s="35">
        <v>0</v>
      </c>
      <c r="H73" s="40">
        <v>2252</v>
      </c>
      <c r="I73" s="35">
        <v>2250</v>
      </c>
      <c r="J73" s="40">
        <v>0</v>
      </c>
      <c r="K73" s="35">
        <v>0</v>
      </c>
      <c r="L73" s="40">
        <v>3238</v>
      </c>
      <c r="M73" s="35">
        <v>3218</v>
      </c>
      <c r="N73" s="40">
        <v>941</v>
      </c>
      <c r="O73" s="35">
        <v>915</v>
      </c>
      <c r="P73" s="40">
        <v>0</v>
      </c>
      <c r="Q73" s="35">
        <v>0</v>
      </c>
      <c r="R73" s="40">
        <f t="shared" si="2"/>
        <v>6431</v>
      </c>
      <c r="S73" s="35">
        <f t="shared" si="3"/>
        <v>6383</v>
      </c>
      <c r="T73" s="11">
        <v>572218</v>
      </c>
    </row>
    <row r="74" spans="1:20" ht="15.75" hidden="1">
      <c r="A74" s="39">
        <v>45835</v>
      </c>
      <c r="B74" s="56" t="s">
        <v>33</v>
      </c>
      <c r="C74" s="40" t="s">
        <v>1494</v>
      </c>
      <c r="D74" s="40">
        <v>0</v>
      </c>
      <c r="E74" s="35">
        <v>0</v>
      </c>
      <c r="F74" s="40">
        <f>2020+4115</f>
        <v>6135</v>
      </c>
      <c r="G74" s="35">
        <f>3903+2115</f>
        <v>6018</v>
      </c>
      <c r="H74" s="40">
        <v>0</v>
      </c>
      <c r="I74" s="35">
        <v>0</v>
      </c>
      <c r="J74" s="40">
        <v>0</v>
      </c>
      <c r="K74" s="35">
        <v>0</v>
      </c>
      <c r="L74" s="40">
        <f>4322+2348</f>
        <v>6670</v>
      </c>
      <c r="M74" s="35">
        <f>2579+3774</f>
        <v>6353</v>
      </c>
      <c r="N74" s="40">
        <f>1009+924</f>
        <v>1933</v>
      </c>
      <c r="O74" s="35">
        <f>858+1024</f>
        <v>1882</v>
      </c>
      <c r="P74" s="40">
        <v>0</v>
      </c>
      <c r="Q74" s="35">
        <v>0</v>
      </c>
      <c r="R74" s="40">
        <f t="shared" si="2"/>
        <v>14738</v>
      </c>
      <c r="S74" s="35">
        <f t="shared" si="3"/>
        <v>14253</v>
      </c>
      <c r="T74" s="11">
        <v>583131</v>
      </c>
    </row>
    <row r="75" spans="1:20" ht="15.75" hidden="1">
      <c r="A75" s="39">
        <v>45835</v>
      </c>
      <c r="B75" s="22" t="s">
        <v>1500</v>
      </c>
      <c r="C75" s="40" t="s">
        <v>1493</v>
      </c>
      <c r="D75" s="35">
        <f>4510-909</f>
        <v>3601</v>
      </c>
      <c r="E75" s="35">
        <f>1195+1880</f>
        <v>3075</v>
      </c>
      <c r="F75" s="35">
        <v>1527</v>
      </c>
      <c r="G75" s="35">
        <f>539+1330</f>
        <v>1869</v>
      </c>
      <c r="H75" s="35">
        <v>0</v>
      </c>
      <c r="I75" s="35">
        <v>0</v>
      </c>
      <c r="J75" s="35">
        <v>0</v>
      </c>
      <c r="K75" s="35">
        <v>0</v>
      </c>
      <c r="L75" s="35">
        <v>2772</v>
      </c>
      <c r="M75" s="35">
        <f>1080+1581</f>
        <v>2661</v>
      </c>
      <c r="N75" s="35">
        <v>1316</v>
      </c>
      <c r="O75" s="35">
        <f>480+563</f>
        <v>1043</v>
      </c>
      <c r="P75" s="35">
        <v>4517</v>
      </c>
      <c r="Q75" s="35">
        <f>2546+1787</f>
        <v>4333</v>
      </c>
      <c r="R75" s="40">
        <f t="shared" si="2"/>
        <v>13733</v>
      </c>
      <c r="S75" s="35">
        <f t="shared" si="3"/>
        <v>12981</v>
      </c>
      <c r="T75" s="11">
        <v>583134</v>
      </c>
    </row>
    <row r="76" spans="1:20" ht="15.75" hidden="1">
      <c r="A76" s="39">
        <v>45835</v>
      </c>
      <c r="B76" s="56" t="s">
        <v>33</v>
      </c>
      <c r="C76" s="40" t="s">
        <v>1493</v>
      </c>
      <c r="D76" s="35">
        <v>3230.7</v>
      </c>
      <c r="E76" s="35">
        <v>3235</v>
      </c>
      <c r="F76" s="35">
        <v>1275</v>
      </c>
      <c r="G76" s="35">
        <v>927</v>
      </c>
      <c r="H76" s="35">
        <v>0</v>
      </c>
      <c r="I76" s="35">
        <v>0</v>
      </c>
      <c r="J76" s="35">
        <v>0</v>
      </c>
      <c r="K76" s="35">
        <v>0</v>
      </c>
      <c r="L76" s="35">
        <v>2698</v>
      </c>
      <c r="M76" s="35">
        <v>2655</v>
      </c>
      <c r="N76" s="35">
        <v>998</v>
      </c>
      <c r="O76" s="35">
        <v>809</v>
      </c>
      <c r="P76" s="35">
        <v>0</v>
      </c>
      <c r="Q76" s="35">
        <v>0</v>
      </c>
      <c r="R76" s="40">
        <f t="shared" si="2"/>
        <v>8201.7000000000007</v>
      </c>
      <c r="S76" s="35">
        <f t="shared" si="3"/>
        <v>7626</v>
      </c>
      <c r="T76" s="11">
        <v>583131</v>
      </c>
    </row>
    <row r="77" spans="1:20" ht="15.75" hidden="1">
      <c r="A77" s="39">
        <v>45835</v>
      </c>
      <c r="B77" s="8" t="s">
        <v>109</v>
      </c>
      <c r="C77" s="40" t="s">
        <v>1493</v>
      </c>
      <c r="D77" s="35">
        <v>2643</v>
      </c>
      <c r="E77" s="35">
        <v>2555</v>
      </c>
      <c r="F77" s="35">
        <v>1057</v>
      </c>
      <c r="G77" s="35">
        <v>1041</v>
      </c>
      <c r="H77" s="35">
        <v>0</v>
      </c>
      <c r="I77" s="35">
        <v>0</v>
      </c>
      <c r="J77" s="35">
        <v>0</v>
      </c>
      <c r="K77" s="35">
        <v>0</v>
      </c>
      <c r="L77" s="35">
        <v>2239</v>
      </c>
      <c r="M77" s="35">
        <v>2188</v>
      </c>
      <c r="N77" s="35">
        <v>796</v>
      </c>
      <c r="O77" s="35">
        <v>820</v>
      </c>
      <c r="P77" s="35">
        <v>0</v>
      </c>
      <c r="Q77" s="35">
        <v>0</v>
      </c>
      <c r="R77" s="40">
        <f t="shared" si="2"/>
        <v>6735</v>
      </c>
      <c r="S77" s="35">
        <f t="shared" si="3"/>
        <v>6604</v>
      </c>
      <c r="T77" s="11">
        <v>582114</v>
      </c>
    </row>
    <row r="78" spans="1:20" hidden="1">
      <c r="A78" s="39">
        <v>45836</v>
      </c>
      <c r="B78" s="35" t="s">
        <v>1458</v>
      </c>
      <c r="C78" s="40" t="s">
        <v>1494</v>
      </c>
      <c r="D78" s="35">
        <v>0</v>
      </c>
      <c r="E78" s="35">
        <v>0</v>
      </c>
      <c r="F78" s="35">
        <v>3631</v>
      </c>
      <c r="G78" s="35">
        <v>3436</v>
      </c>
      <c r="H78" s="35">
        <v>0</v>
      </c>
      <c r="I78" s="35">
        <v>0</v>
      </c>
      <c r="J78" s="35">
        <v>0</v>
      </c>
      <c r="K78" s="35">
        <v>0</v>
      </c>
      <c r="L78" s="35">
        <v>3792</v>
      </c>
      <c r="M78" s="35">
        <v>3723</v>
      </c>
      <c r="N78" s="35">
        <v>374</v>
      </c>
      <c r="O78" s="35">
        <v>296</v>
      </c>
      <c r="P78" s="35">
        <v>0</v>
      </c>
      <c r="Q78" s="35">
        <v>0</v>
      </c>
      <c r="R78" s="40">
        <f t="shared" si="2"/>
        <v>7797</v>
      </c>
      <c r="S78" s="35">
        <f t="shared" si="3"/>
        <v>7455</v>
      </c>
      <c r="T78" s="11">
        <v>517561</v>
      </c>
    </row>
    <row r="79" spans="1:20" ht="15.75" hidden="1">
      <c r="A79" s="39">
        <v>45836</v>
      </c>
      <c r="B79" s="53" t="s">
        <v>1502</v>
      </c>
      <c r="C79" s="40" t="s">
        <v>1494</v>
      </c>
      <c r="D79" s="35">
        <v>0</v>
      </c>
      <c r="E79" s="35">
        <v>0</v>
      </c>
      <c r="F79" s="35">
        <v>0</v>
      </c>
      <c r="G79" s="35">
        <v>0</v>
      </c>
      <c r="H79" s="35">
        <v>1599</v>
      </c>
      <c r="I79" s="35">
        <v>1688</v>
      </c>
      <c r="J79" s="35">
        <v>0</v>
      </c>
      <c r="K79" s="35">
        <v>0</v>
      </c>
      <c r="L79" s="35">
        <v>2613</v>
      </c>
      <c r="M79" s="35">
        <v>2448</v>
      </c>
      <c r="N79" s="35">
        <v>1040</v>
      </c>
      <c r="O79" s="35">
        <v>988</v>
      </c>
      <c r="P79" s="35">
        <v>0</v>
      </c>
      <c r="Q79" s="35">
        <v>0</v>
      </c>
      <c r="R79" s="40">
        <f t="shared" si="2"/>
        <v>5252</v>
      </c>
      <c r="S79" s="35">
        <f t="shared" si="3"/>
        <v>5124</v>
      </c>
      <c r="T79" s="11">
        <v>572218</v>
      </c>
    </row>
    <row r="80" spans="1:20" ht="15.75" hidden="1">
      <c r="A80" s="39">
        <v>45836</v>
      </c>
      <c r="B80" s="56" t="s">
        <v>33</v>
      </c>
      <c r="C80" s="40" t="s">
        <v>1494</v>
      </c>
      <c r="D80" s="35">
        <v>0</v>
      </c>
      <c r="E80" s="35">
        <v>0</v>
      </c>
      <c r="F80" s="35">
        <f>3796+4254</f>
        <v>8050</v>
      </c>
      <c r="G80" s="35">
        <f>3709+4076</f>
        <v>7785</v>
      </c>
      <c r="H80" s="35">
        <v>0</v>
      </c>
      <c r="I80" s="35">
        <v>0</v>
      </c>
      <c r="J80" s="35">
        <v>0</v>
      </c>
      <c r="K80" s="35">
        <v>0</v>
      </c>
      <c r="L80" s="35">
        <f>2775+1418</f>
        <v>4193</v>
      </c>
      <c r="M80" s="35">
        <f>2753+1373</f>
        <v>4126</v>
      </c>
      <c r="N80" s="35">
        <f>1355+1389</f>
        <v>2744</v>
      </c>
      <c r="O80" s="35">
        <f>1332+1403</f>
        <v>2735</v>
      </c>
      <c r="P80" s="35">
        <v>0</v>
      </c>
      <c r="Q80" s="35">
        <v>0</v>
      </c>
      <c r="R80" s="40">
        <f t="shared" si="2"/>
        <v>14987</v>
      </c>
      <c r="S80" s="35">
        <f t="shared" si="3"/>
        <v>14646</v>
      </c>
      <c r="T80" s="11">
        <v>583131</v>
      </c>
    </row>
    <row r="81" spans="1:20" ht="15.75" hidden="1">
      <c r="A81" s="39">
        <v>45836</v>
      </c>
      <c r="B81" s="22" t="s">
        <v>1500</v>
      </c>
      <c r="C81" s="40" t="s">
        <v>1493</v>
      </c>
      <c r="D81" s="35">
        <v>4551</v>
      </c>
      <c r="E81" s="35">
        <f>1537+2114+173</f>
        <v>3824</v>
      </c>
      <c r="F81" s="35">
        <v>2188</v>
      </c>
      <c r="G81" s="35">
        <f>1284+812+272</f>
        <v>2368</v>
      </c>
      <c r="H81" s="35">
        <v>0</v>
      </c>
      <c r="I81" s="35">
        <v>0</v>
      </c>
      <c r="J81" s="35">
        <v>0</v>
      </c>
      <c r="K81" s="35">
        <v>0</v>
      </c>
      <c r="L81" s="35">
        <v>3682</v>
      </c>
      <c r="M81" s="35">
        <f>1500+2112</f>
        <v>3612</v>
      </c>
      <c r="N81" s="35">
        <v>2319</v>
      </c>
      <c r="O81" s="35">
        <v>2319</v>
      </c>
      <c r="P81" s="35">
        <v>1839</v>
      </c>
      <c r="Q81" s="35">
        <v>1612</v>
      </c>
      <c r="R81" s="40">
        <f t="shared" si="2"/>
        <v>14579</v>
      </c>
      <c r="S81" s="35">
        <f t="shared" si="3"/>
        <v>13735</v>
      </c>
      <c r="T81" s="11">
        <v>583134</v>
      </c>
    </row>
    <row r="82" spans="1:20" ht="15.75" hidden="1">
      <c r="A82" s="39">
        <v>45836</v>
      </c>
      <c r="B82" s="8" t="s">
        <v>109</v>
      </c>
      <c r="C82" s="40" t="s">
        <v>1493</v>
      </c>
      <c r="D82" s="35">
        <v>2531</v>
      </c>
      <c r="E82" s="35">
        <v>2461</v>
      </c>
      <c r="F82" s="35">
        <v>1394</v>
      </c>
      <c r="G82" s="35">
        <v>1266</v>
      </c>
      <c r="H82" s="35">
        <v>0</v>
      </c>
      <c r="I82" s="35">
        <v>0</v>
      </c>
      <c r="J82" s="35">
        <v>0</v>
      </c>
      <c r="K82" s="35">
        <v>0</v>
      </c>
      <c r="L82" s="35">
        <v>2401</v>
      </c>
      <c r="M82" s="35">
        <v>2257</v>
      </c>
      <c r="N82" s="35">
        <v>1271</v>
      </c>
      <c r="O82" s="35">
        <v>1149</v>
      </c>
      <c r="P82" s="35">
        <v>0</v>
      </c>
      <c r="Q82" s="35">
        <v>0</v>
      </c>
      <c r="R82" s="40">
        <f t="shared" si="2"/>
        <v>7597</v>
      </c>
      <c r="S82" s="35">
        <f t="shared" si="3"/>
        <v>7133</v>
      </c>
      <c r="T82" s="11">
        <v>582114</v>
      </c>
    </row>
    <row r="83" spans="1:20" ht="15.75" hidden="1">
      <c r="A83" s="39">
        <v>45836</v>
      </c>
      <c r="B83" s="56" t="s">
        <v>33</v>
      </c>
      <c r="C83" s="40" t="s">
        <v>1493</v>
      </c>
      <c r="D83" s="35">
        <v>3164</v>
      </c>
      <c r="E83" s="35">
        <v>3130</v>
      </c>
      <c r="F83" s="35">
        <v>925</v>
      </c>
      <c r="G83" s="35">
        <v>1237</v>
      </c>
      <c r="H83" s="35">
        <v>0</v>
      </c>
      <c r="I83" s="35">
        <v>0</v>
      </c>
      <c r="J83" s="35">
        <v>0</v>
      </c>
      <c r="K83" s="35">
        <v>0</v>
      </c>
      <c r="L83" s="35">
        <v>2017</v>
      </c>
      <c r="M83" s="35">
        <v>1399</v>
      </c>
      <c r="N83" s="35">
        <v>542</v>
      </c>
      <c r="O83" s="35">
        <v>705</v>
      </c>
      <c r="P83" s="35">
        <v>0</v>
      </c>
      <c r="Q83" s="35">
        <v>0</v>
      </c>
      <c r="R83" s="40">
        <f t="shared" si="2"/>
        <v>6648</v>
      </c>
      <c r="S83" s="35">
        <f t="shared" si="3"/>
        <v>6471</v>
      </c>
      <c r="T83" s="11">
        <v>583131</v>
      </c>
    </row>
    <row r="84" spans="1:20" hidden="1">
      <c r="A84" s="39">
        <v>45837</v>
      </c>
      <c r="B84" s="35" t="s">
        <v>1458</v>
      </c>
      <c r="C84" s="40" t="s">
        <v>1494</v>
      </c>
      <c r="D84" s="35">
        <v>0</v>
      </c>
      <c r="E84" s="35">
        <v>0</v>
      </c>
      <c r="F84" s="35">
        <v>2513</v>
      </c>
      <c r="G84" s="35">
        <v>2402</v>
      </c>
      <c r="H84" s="35">
        <v>0</v>
      </c>
      <c r="I84" s="35">
        <v>0</v>
      </c>
      <c r="J84" s="35">
        <v>0</v>
      </c>
      <c r="K84" s="35">
        <v>0</v>
      </c>
      <c r="L84" s="35">
        <v>5384</v>
      </c>
      <c r="M84" s="35">
        <v>5268</v>
      </c>
      <c r="N84" s="35">
        <v>166</v>
      </c>
      <c r="O84" s="35">
        <v>162</v>
      </c>
      <c r="P84" s="35">
        <v>0</v>
      </c>
      <c r="Q84" s="35">
        <v>0</v>
      </c>
      <c r="R84" s="40">
        <f t="shared" si="2"/>
        <v>8063</v>
      </c>
      <c r="S84" s="35">
        <f t="shared" si="3"/>
        <v>7832</v>
      </c>
      <c r="T84" s="11">
        <v>517561</v>
      </c>
    </row>
    <row r="85" spans="1:20" ht="15.75" hidden="1">
      <c r="A85" s="39">
        <v>45837</v>
      </c>
      <c r="B85" s="53" t="s">
        <v>1502</v>
      </c>
      <c r="C85" s="40" t="s">
        <v>1494</v>
      </c>
      <c r="D85" s="35">
        <v>0</v>
      </c>
      <c r="E85" s="35">
        <v>0</v>
      </c>
      <c r="F85" s="35">
        <v>0</v>
      </c>
      <c r="G85" s="35">
        <v>0</v>
      </c>
      <c r="H85" s="35">
        <v>1406</v>
      </c>
      <c r="I85" s="35">
        <v>1406</v>
      </c>
      <c r="J85" s="35">
        <v>0</v>
      </c>
      <c r="K85" s="35">
        <v>0</v>
      </c>
      <c r="L85" s="35">
        <v>2617</v>
      </c>
      <c r="M85" s="35">
        <v>2597</v>
      </c>
      <c r="N85" s="35">
        <v>965</v>
      </c>
      <c r="O85" s="35">
        <v>957</v>
      </c>
      <c r="P85" s="35">
        <v>0</v>
      </c>
      <c r="Q85" s="35">
        <v>0</v>
      </c>
      <c r="R85" s="40">
        <f t="shared" si="2"/>
        <v>4988</v>
      </c>
      <c r="S85" s="35">
        <f t="shared" si="3"/>
        <v>4960</v>
      </c>
      <c r="T85" s="11">
        <v>572218</v>
      </c>
    </row>
    <row r="86" spans="1:20" ht="15.75" hidden="1">
      <c r="A86" s="39">
        <v>45837</v>
      </c>
      <c r="B86" s="56" t="s">
        <v>33</v>
      </c>
      <c r="C86" s="40" t="s">
        <v>1494</v>
      </c>
      <c r="D86" s="35">
        <v>0</v>
      </c>
      <c r="E86" s="35">
        <v>0</v>
      </c>
      <c r="F86" s="35">
        <v>3019</v>
      </c>
      <c r="G86" s="35">
        <v>2788</v>
      </c>
      <c r="H86" s="35">
        <v>0</v>
      </c>
      <c r="I86" s="35">
        <v>0</v>
      </c>
      <c r="J86" s="35">
        <v>0</v>
      </c>
      <c r="K86" s="35">
        <v>0</v>
      </c>
      <c r="L86" s="35">
        <v>3323</v>
      </c>
      <c r="M86" s="35">
        <v>3263</v>
      </c>
      <c r="N86" s="35">
        <v>1130</v>
      </c>
      <c r="O86" s="35">
        <v>1097</v>
      </c>
      <c r="P86" s="35">
        <v>0</v>
      </c>
      <c r="Q86" s="35">
        <v>0</v>
      </c>
      <c r="R86" s="40">
        <f t="shared" si="2"/>
        <v>7472</v>
      </c>
      <c r="S86" s="35">
        <f t="shared" si="3"/>
        <v>7148</v>
      </c>
      <c r="T86" s="11">
        <v>583131</v>
      </c>
    </row>
    <row r="87" spans="1:20" ht="15.75" hidden="1">
      <c r="A87" s="39">
        <v>45837</v>
      </c>
      <c r="B87" s="22" t="s">
        <v>1500</v>
      </c>
      <c r="C87" s="40" t="s">
        <v>1493</v>
      </c>
      <c r="D87" s="35">
        <f>5019-1446</f>
        <v>3573</v>
      </c>
      <c r="E87" s="35">
        <f>1720+1776</f>
        <v>3496</v>
      </c>
      <c r="F87" s="35">
        <v>1288</v>
      </c>
      <c r="G87" s="35">
        <f>615+525</f>
        <v>1140</v>
      </c>
      <c r="H87" s="35">
        <v>0</v>
      </c>
      <c r="I87" s="35">
        <v>0</v>
      </c>
      <c r="J87" s="35">
        <v>0</v>
      </c>
      <c r="K87" s="35">
        <v>0</v>
      </c>
      <c r="L87" s="35">
        <v>2808</v>
      </c>
      <c r="M87" s="35">
        <f>1107+1708</f>
        <v>2815</v>
      </c>
      <c r="N87" s="35">
        <v>2211</v>
      </c>
      <c r="O87" s="35">
        <f>1230+1533-552</f>
        <v>2211</v>
      </c>
      <c r="P87" s="35">
        <v>2886</v>
      </c>
      <c r="Q87" s="35">
        <f>2196+552</f>
        <v>2748</v>
      </c>
      <c r="R87" s="40">
        <f t="shared" si="2"/>
        <v>12766</v>
      </c>
      <c r="S87" s="35">
        <f t="shared" si="3"/>
        <v>12410</v>
      </c>
      <c r="T87" s="11">
        <v>583134</v>
      </c>
    </row>
    <row r="88" spans="1:20" ht="15.75" hidden="1">
      <c r="A88" s="39">
        <v>45837</v>
      </c>
      <c r="B88" s="56" t="s">
        <v>33</v>
      </c>
      <c r="C88" s="40" t="s">
        <v>1493</v>
      </c>
      <c r="D88" s="35">
        <v>3953.5</v>
      </c>
      <c r="E88" s="35">
        <f>2877+760</f>
        <v>3637</v>
      </c>
      <c r="F88" s="35">
        <v>1178</v>
      </c>
      <c r="G88" s="35">
        <f>703+185</f>
        <v>888</v>
      </c>
      <c r="H88" s="35">
        <v>0</v>
      </c>
      <c r="I88" s="35">
        <v>0</v>
      </c>
      <c r="J88" s="35">
        <v>0</v>
      </c>
      <c r="K88" s="35">
        <v>0</v>
      </c>
      <c r="L88" s="35">
        <v>2273</v>
      </c>
      <c r="M88" s="35">
        <f>2039+307</f>
        <v>2346</v>
      </c>
      <c r="N88" s="35">
        <v>945</v>
      </c>
      <c r="O88" s="35">
        <f>799+94</f>
        <v>893</v>
      </c>
      <c r="P88" s="35">
        <v>0</v>
      </c>
      <c r="Q88" s="35">
        <v>0</v>
      </c>
      <c r="R88" s="40">
        <f t="shared" si="2"/>
        <v>8349.5</v>
      </c>
      <c r="S88" s="35">
        <f t="shared" si="3"/>
        <v>7764</v>
      </c>
      <c r="T88" s="11">
        <v>583131</v>
      </c>
    </row>
    <row r="89" spans="1:20" hidden="1">
      <c r="A89" s="39">
        <v>45837</v>
      </c>
      <c r="B89" s="35" t="s">
        <v>406</v>
      </c>
      <c r="C89" s="40" t="s">
        <v>1494</v>
      </c>
      <c r="D89" s="35">
        <v>0</v>
      </c>
      <c r="E89" s="35">
        <v>0</v>
      </c>
      <c r="F89" s="35">
        <v>0</v>
      </c>
      <c r="G89" s="35">
        <v>0</v>
      </c>
      <c r="H89" s="35">
        <v>461</v>
      </c>
      <c r="I89" s="35">
        <v>454</v>
      </c>
      <c r="J89" s="35">
        <v>0</v>
      </c>
      <c r="K89" s="35">
        <v>0</v>
      </c>
      <c r="L89" s="35">
        <v>2986</v>
      </c>
      <c r="M89" s="35">
        <v>2918</v>
      </c>
      <c r="N89" s="35">
        <v>1359</v>
      </c>
      <c r="O89" s="35">
        <v>1381</v>
      </c>
      <c r="P89" s="35">
        <v>0</v>
      </c>
      <c r="Q89" s="35">
        <v>0</v>
      </c>
      <c r="R89" s="40">
        <f t="shared" si="2"/>
        <v>4806</v>
      </c>
      <c r="S89" s="35">
        <f t="shared" si="3"/>
        <v>4753</v>
      </c>
      <c r="T89" s="11">
        <v>517561</v>
      </c>
    </row>
    <row r="90" spans="1:20" ht="15.75" hidden="1">
      <c r="A90" s="39">
        <v>45837</v>
      </c>
      <c r="B90" s="8" t="s">
        <v>109</v>
      </c>
      <c r="C90" s="40" t="s">
        <v>1493</v>
      </c>
      <c r="D90" s="35">
        <f>6306-2750</f>
        <v>3556</v>
      </c>
      <c r="E90" s="35">
        <f>2856+410</f>
        <v>3266</v>
      </c>
      <c r="F90" s="35">
        <v>1691</v>
      </c>
      <c r="G90" s="35">
        <f>1349+327</f>
        <v>1676</v>
      </c>
      <c r="H90" s="35">
        <v>0</v>
      </c>
      <c r="I90" s="35">
        <v>0</v>
      </c>
      <c r="J90" s="35">
        <v>0</v>
      </c>
      <c r="K90" s="35">
        <v>0</v>
      </c>
      <c r="L90" s="35">
        <v>3460</v>
      </c>
      <c r="M90" s="35">
        <f>2495+695</f>
        <v>3190</v>
      </c>
      <c r="N90" s="35">
        <f>1714-758</f>
        <v>956</v>
      </c>
      <c r="O90" s="35">
        <f>571+80+406</f>
        <v>1057</v>
      </c>
      <c r="P90" s="35">
        <v>0</v>
      </c>
      <c r="Q90" s="35">
        <v>0</v>
      </c>
      <c r="R90" s="40">
        <f t="shared" si="2"/>
        <v>9663</v>
      </c>
      <c r="S90" s="35">
        <f t="shared" si="3"/>
        <v>9189</v>
      </c>
      <c r="T90" s="11">
        <v>582114</v>
      </c>
    </row>
    <row r="91" spans="1:20" hidden="1">
      <c r="A91" s="39">
        <v>45837</v>
      </c>
      <c r="B91" s="35" t="s">
        <v>1504</v>
      </c>
      <c r="C91" s="40" t="s">
        <v>1495</v>
      </c>
      <c r="D91" s="35">
        <v>4422</v>
      </c>
      <c r="E91" s="35">
        <f>2610+1550</f>
        <v>4160</v>
      </c>
      <c r="F91" s="35">
        <v>1614</v>
      </c>
      <c r="G91" s="35">
        <f>1045+675</f>
        <v>1720</v>
      </c>
      <c r="H91" s="35">
        <v>0</v>
      </c>
      <c r="I91" s="35">
        <v>0</v>
      </c>
      <c r="J91" s="35">
        <v>0</v>
      </c>
      <c r="K91" s="35">
        <v>0</v>
      </c>
      <c r="L91" s="35">
        <v>4108</v>
      </c>
      <c r="M91" s="35">
        <f>2302+1459</f>
        <v>3761</v>
      </c>
      <c r="N91" s="35">
        <v>965</v>
      </c>
      <c r="O91" s="35">
        <f>537+479</f>
        <v>1016</v>
      </c>
      <c r="P91" s="35">
        <v>0</v>
      </c>
      <c r="Q91" s="35">
        <v>0</v>
      </c>
      <c r="R91" s="40">
        <f t="shared" si="2"/>
        <v>11109</v>
      </c>
      <c r="S91" s="35">
        <f t="shared" si="3"/>
        <v>10657</v>
      </c>
      <c r="T91" s="11">
        <v>583277</v>
      </c>
    </row>
    <row r="92" spans="1:20" ht="15.75" hidden="1">
      <c r="A92" s="39">
        <v>45838</v>
      </c>
      <c r="B92" s="22" t="s">
        <v>1500</v>
      </c>
      <c r="C92" s="40" t="s">
        <v>1493</v>
      </c>
      <c r="D92" s="35">
        <f>4746-1235</f>
        <v>3511</v>
      </c>
      <c r="E92" s="35">
        <f>2500+918</f>
        <v>3418</v>
      </c>
      <c r="F92" s="35">
        <v>1335</v>
      </c>
      <c r="G92" s="35">
        <f>731+448</f>
        <v>1179</v>
      </c>
      <c r="H92" s="35">
        <v>0</v>
      </c>
      <c r="I92" s="35">
        <v>0</v>
      </c>
      <c r="J92" s="35">
        <v>0</v>
      </c>
      <c r="K92" s="35">
        <v>0</v>
      </c>
      <c r="L92" s="35">
        <v>2908</v>
      </c>
      <c r="M92" s="35">
        <f>1759+1071</f>
        <v>2830</v>
      </c>
      <c r="N92" s="35">
        <v>1079</v>
      </c>
      <c r="O92" s="35">
        <f>1087+200</f>
        <v>1287</v>
      </c>
      <c r="P92" s="40">
        <f>872-251</f>
        <v>621</v>
      </c>
      <c r="Q92" s="35">
        <f>530+78</f>
        <v>608</v>
      </c>
      <c r="R92" s="40">
        <f t="shared" si="2"/>
        <v>9454</v>
      </c>
      <c r="S92" s="35">
        <f t="shared" si="3"/>
        <v>9322</v>
      </c>
      <c r="T92" s="11">
        <v>583134</v>
      </c>
    </row>
    <row r="93" spans="1:20" ht="15.75" hidden="1">
      <c r="A93" s="39">
        <v>45838</v>
      </c>
      <c r="B93" s="8" t="s">
        <v>109</v>
      </c>
      <c r="C93" s="40" t="s">
        <v>1493</v>
      </c>
      <c r="D93" s="35">
        <f>7323-2599</f>
        <v>4724</v>
      </c>
      <c r="E93" s="35">
        <f>2654+1751</f>
        <v>4405</v>
      </c>
      <c r="F93" s="35">
        <f>3539-1192</f>
        <v>2347</v>
      </c>
      <c r="G93" s="35">
        <f>1305+930</f>
        <v>2235</v>
      </c>
      <c r="H93" s="35">
        <v>0</v>
      </c>
      <c r="I93" s="35">
        <v>0</v>
      </c>
      <c r="J93" s="35">
        <v>0</v>
      </c>
      <c r="K93" s="35">
        <v>0</v>
      </c>
      <c r="L93" s="35">
        <f>7342-2217-1333</f>
        <v>3792</v>
      </c>
      <c r="M93" s="35">
        <f>2670+1016</f>
        <v>3686</v>
      </c>
      <c r="N93" s="35">
        <f>2175-473-494-400</f>
        <v>808</v>
      </c>
      <c r="O93" s="35">
        <f>692+304</f>
        <v>996</v>
      </c>
      <c r="P93" s="35">
        <v>0</v>
      </c>
      <c r="Q93" s="35">
        <v>0</v>
      </c>
      <c r="R93" s="40">
        <f t="shared" si="2"/>
        <v>11671</v>
      </c>
      <c r="S93" s="35">
        <f t="shared" si="3"/>
        <v>11322</v>
      </c>
      <c r="T93" s="11">
        <v>582114</v>
      </c>
    </row>
    <row r="94" spans="1:20" hidden="1">
      <c r="A94" s="39">
        <v>45838</v>
      </c>
      <c r="B94" s="35" t="s">
        <v>1504</v>
      </c>
      <c r="C94" s="40" t="s">
        <v>1495</v>
      </c>
      <c r="D94" s="35">
        <f>4529-497</f>
        <v>4032</v>
      </c>
      <c r="E94" s="35">
        <f>2475+1380</f>
        <v>3855</v>
      </c>
      <c r="F94" s="35">
        <v>1389</v>
      </c>
      <c r="G94" s="35">
        <f>813+337</f>
        <v>1150</v>
      </c>
      <c r="H94" s="35">
        <v>0</v>
      </c>
      <c r="I94" s="35">
        <v>0</v>
      </c>
      <c r="J94" s="35">
        <v>0</v>
      </c>
      <c r="K94" s="35">
        <v>0</v>
      </c>
      <c r="L94" s="35">
        <v>3857</v>
      </c>
      <c r="M94" s="35">
        <f>2657+1034</f>
        <v>3691</v>
      </c>
      <c r="N94" s="35">
        <v>873</v>
      </c>
      <c r="O94" s="35">
        <f>566+323</f>
        <v>889</v>
      </c>
      <c r="P94" s="35">
        <v>0</v>
      </c>
      <c r="Q94" s="35">
        <v>0</v>
      </c>
      <c r="R94" s="40">
        <f t="shared" si="2"/>
        <v>10151</v>
      </c>
      <c r="S94" s="35">
        <f t="shared" si="3"/>
        <v>9585</v>
      </c>
      <c r="T94" s="11">
        <v>583277</v>
      </c>
    </row>
    <row r="95" spans="1:20" ht="15.75" hidden="1">
      <c r="A95" s="39">
        <v>45838</v>
      </c>
      <c r="B95" s="56" t="s">
        <v>33</v>
      </c>
      <c r="C95" s="40" t="s">
        <v>1493</v>
      </c>
      <c r="D95" s="35">
        <v>4543.5</v>
      </c>
      <c r="E95" s="35">
        <f>3090+1038</f>
        <v>4128</v>
      </c>
      <c r="F95" s="35">
        <v>1073</v>
      </c>
      <c r="G95" s="35">
        <f>715+295</f>
        <v>1010</v>
      </c>
      <c r="H95" s="35">
        <v>0</v>
      </c>
      <c r="I95" s="35">
        <v>0</v>
      </c>
      <c r="J95" s="35">
        <v>0</v>
      </c>
      <c r="K95" s="35">
        <v>0</v>
      </c>
      <c r="L95" s="35">
        <v>2945</v>
      </c>
      <c r="M95" s="35">
        <f>1814+1078</f>
        <v>2892</v>
      </c>
      <c r="N95" s="35">
        <v>2174</v>
      </c>
      <c r="O95" s="35">
        <f>1556+488</f>
        <v>2044</v>
      </c>
      <c r="P95" s="35">
        <v>0</v>
      </c>
      <c r="Q95" s="35">
        <v>0</v>
      </c>
      <c r="R95" s="40">
        <f t="shared" si="2"/>
        <v>10735.5</v>
      </c>
      <c r="S95" s="35">
        <f t="shared" si="3"/>
        <v>10074</v>
      </c>
      <c r="T95" s="11">
        <v>583131</v>
      </c>
    </row>
    <row r="96" spans="1:20" ht="15.75" hidden="1">
      <c r="A96" s="39">
        <v>45839</v>
      </c>
      <c r="B96" s="22" t="s">
        <v>1500</v>
      </c>
      <c r="C96" s="40" t="s">
        <v>1493</v>
      </c>
      <c r="D96" s="35">
        <f>5221-2689</f>
        <v>2532</v>
      </c>
      <c r="E96" s="35">
        <f>1375+945</f>
        <v>2320</v>
      </c>
      <c r="F96" s="35">
        <v>1301</v>
      </c>
      <c r="G96" s="35">
        <f>548+512</f>
        <v>1060</v>
      </c>
      <c r="H96" s="35">
        <v>0</v>
      </c>
      <c r="I96" s="35">
        <v>0</v>
      </c>
      <c r="J96" s="35">
        <v>0</v>
      </c>
      <c r="K96" s="35">
        <v>0</v>
      </c>
      <c r="L96" s="35">
        <v>2757</v>
      </c>
      <c r="M96" s="35">
        <f>1086+1517</f>
        <v>2603</v>
      </c>
      <c r="N96" s="35">
        <v>1204</v>
      </c>
      <c r="O96" s="35">
        <f>656+754</f>
        <v>1410</v>
      </c>
      <c r="P96" s="35">
        <v>2935</v>
      </c>
      <c r="Q96" s="35">
        <v>2709</v>
      </c>
      <c r="R96" s="40">
        <f t="shared" si="2"/>
        <v>10729</v>
      </c>
      <c r="S96" s="35">
        <f t="shared" si="3"/>
        <v>10102</v>
      </c>
      <c r="T96" s="11">
        <v>583134</v>
      </c>
    </row>
    <row r="97" spans="1:20" ht="15.75" hidden="1">
      <c r="A97" s="39">
        <v>45839</v>
      </c>
      <c r="B97" s="8" t="s">
        <v>109</v>
      </c>
      <c r="C97" s="40" t="s">
        <v>1493</v>
      </c>
      <c r="D97" s="35">
        <f>6606-2498</f>
        <v>4108</v>
      </c>
      <c r="E97" s="35">
        <f>2398+1628</f>
        <v>4026</v>
      </c>
      <c r="F97" s="35">
        <v>2252</v>
      </c>
      <c r="G97" s="35">
        <f>1191+826</f>
        <v>2017</v>
      </c>
      <c r="H97" s="35">
        <v>0</v>
      </c>
      <c r="I97" s="35">
        <v>0</v>
      </c>
      <c r="J97" s="35">
        <v>0</v>
      </c>
      <c r="K97" s="35">
        <v>0</v>
      </c>
      <c r="L97" s="35">
        <v>6202</v>
      </c>
      <c r="M97" s="35">
        <f>2965+2951</f>
        <v>5916</v>
      </c>
      <c r="N97" s="35">
        <v>2219</v>
      </c>
      <c r="O97" s="35">
        <f>731+1377</f>
        <v>2108</v>
      </c>
      <c r="P97" s="35">
        <v>0</v>
      </c>
      <c r="Q97" s="35">
        <v>0</v>
      </c>
      <c r="R97" s="40">
        <f t="shared" si="2"/>
        <v>14781</v>
      </c>
      <c r="S97" s="35">
        <f t="shared" si="3"/>
        <v>14067</v>
      </c>
      <c r="T97" s="11">
        <v>582114</v>
      </c>
    </row>
    <row r="98" spans="1:20" hidden="1">
      <c r="A98" s="39">
        <v>45839</v>
      </c>
      <c r="B98" s="35" t="s">
        <v>1504</v>
      </c>
      <c r="C98" s="40" t="s">
        <v>1495</v>
      </c>
      <c r="D98" s="35">
        <f>4444-2250</f>
        <v>2194</v>
      </c>
      <c r="E98" s="35">
        <v>1931</v>
      </c>
      <c r="F98" s="35">
        <v>674</v>
      </c>
      <c r="G98" s="35">
        <v>727</v>
      </c>
      <c r="H98" s="35">
        <v>0</v>
      </c>
      <c r="I98" s="35">
        <v>0</v>
      </c>
      <c r="J98" s="35">
        <v>0</v>
      </c>
      <c r="K98" s="35">
        <v>0</v>
      </c>
      <c r="L98" s="35">
        <v>2890</v>
      </c>
      <c r="M98" s="35">
        <v>2163</v>
      </c>
      <c r="N98" s="35">
        <v>632</v>
      </c>
      <c r="O98" s="35">
        <v>1150</v>
      </c>
      <c r="P98" s="35">
        <v>0</v>
      </c>
      <c r="Q98" s="35">
        <v>0</v>
      </c>
      <c r="R98" s="40">
        <f t="shared" si="2"/>
        <v>6390</v>
      </c>
      <c r="S98" s="35">
        <f t="shared" si="3"/>
        <v>5971</v>
      </c>
      <c r="T98" s="11">
        <v>583277</v>
      </c>
    </row>
    <row r="99" spans="1:20" ht="15.75" hidden="1">
      <c r="A99" s="39">
        <v>45839</v>
      </c>
      <c r="B99" s="56" t="s">
        <v>33</v>
      </c>
      <c r="C99" s="40" t="s">
        <v>1493</v>
      </c>
      <c r="D99" s="35">
        <f>4637-215</f>
        <v>4422</v>
      </c>
      <c r="E99" s="35">
        <f>2626+716</f>
        <v>3342</v>
      </c>
      <c r="F99" s="35">
        <v>1130</v>
      </c>
      <c r="G99" s="35">
        <f>1330+177</f>
        <v>1507</v>
      </c>
      <c r="H99" s="35">
        <v>0</v>
      </c>
      <c r="I99" s="35">
        <v>0</v>
      </c>
      <c r="J99" s="35">
        <v>0</v>
      </c>
      <c r="K99" s="35">
        <v>0</v>
      </c>
      <c r="L99" s="35">
        <v>2448</v>
      </c>
      <c r="M99" s="35">
        <f>1892+657</f>
        <v>2549</v>
      </c>
      <c r="N99" s="35">
        <v>1342</v>
      </c>
      <c r="O99" s="35">
        <f>328+1172</f>
        <v>1500</v>
      </c>
      <c r="P99" s="35">
        <v>0</v>
      </c>
      <c r="Q99" s="35">
        <v>0</v>
      </c>
      <c r="R99" s="40">
        <f t="shared" si="2"/>
        <v>9342</v>
      </c>
      <c r="S99" s="35">
        <f t="shared" si="3"/>
        <v>8898</v>
      </c>
      <c r="T99" s="11">
        <v>583131</v>
      </c>
    </row>
    <row r="100" spans="1:20" ht="15.75" hidden="1">
      <c r="A100" s="39">
        <v>45840</v>
      </c>
      <c r="B100" s="22" t="s">
        <v>1500</v>
      </c>
      <c r="C100" s="40" t="s">
        <v>1493</v>
      </c>
      <c r="D100" s="35">
        <f>2347+1884-501</f>
        <v>3730</v>
      </c>
      <c r="E100" s="35">
        <f>2142+1581</f>
        <v>3723</v>
      </c>
      <c r="F100" s="35">
        <f>994+1172-724</f>
        <v>1442</v>
      </c>
      <c r="G100" s="35">
        <f>1017+1277</f>
        <v>2294</v>
      </c>
      <c r="H100" s="35">
        <v>0</v>
      </c>
      <c r="I100" s="35">
        <v>0</v>
      </c>
      <c r="J100" s="35">
        <v>0</v>
      </c>
      <c r="K100" s="35">
        <v>0</v>
      </c>
      <c r="L100" s="35">
        <f>2248+2091+359</f>
        <v>4698</v>
      </c>
      <c r="M100" s="35">
        <f>2151+1431</f>
        <v>3582</v>
      </c>
      <c r="N100" s="35">
        <f>856+938+27</f>
        <v>1821</v>
      </c>
      <c r="O100" s="35">
        <f>803+795</f>
        <v>1598</v>
      </c>
      <c r="P100" s="35">
        <v>2408</v>
      </c>
      <c r="Q100" s="35">
        <f>2441</f>
        <v>2441</v>
      </c>
      <c r="R100" s="40">
        <f t="shared" si="2"/>
        <v>14099</v>
      </c>
      <c r="S100" s="35">
        <f t="shared" si="3"/>
        <v>13638</v>
      </c>
      <c r="T100" s="11">
        <v>583134</v>
      </c>
    </row>
    <row r="101" spans="1:20" ht="15.75" hidden="1">
      <c r="A101" s="39">
        <v>45840</v>
      </c>
      <c r="B101" s="8" t="s">
        <v>109</v>
      </c>
      <c r="C101" s="40" t="s">
        <v>1493</v>
      </c>
      <c r="D101" s="35">
        <v>2443</v>
      </c>
      <c r="E101" s="35">
        <v>2355</v>
      </c>
      <c r="F101" s="35">
        <v>1401</v>
      </c>
      <c r="G101" s="35">
        <v>1277</v>
      </c>
      <c r="H101" s="35">
        <v>0</v>
      </c>
      <c r="I101" s="35">
        <v>0</v>
      </c>
      <c r="J101" s="35">
        <v>0</v>
      </c>
      <c r="K101" s="35">
        <v>0</v>
      </c>
      <c r="L101" s="35">
        <v>2833</v>
      </c>
      <c r="M101" s="35">
        <v>2773</v>
      </c>
      <c r="N101" s="35">
        <v>697</v>
      </c>
      <c r="O101" s="35">
        <v>740</v>
      </c>
      <c r="P101" s="35">
        <v>0</v>
      </c>
      <c r="Q101" s="35">
        <v>0</v>
      </c>
      <c r="R101" s="40">
        <f t="shared" si="2"/>
        <v>7374</v>
      </c>
      <c r="S101" s="35">
        <f t="shared" si="3"/>
        <v>7145</v>
      </c>
      <c r="T101" s="11">
        <v>582114</v>
      </c>
    </row>
    <row r="102" spans="1:20" ht="15.75" hidden="1">
      <c r="A102" s="39">
        <v>45841</v>
      </c>
      <c r="B102" s="22" t="s">
        <v>1500</v>
      </c>
      <c r="C102" s="40" t="s">
        <v>1493</v>
      </c>
      <c r="D102" s="35">
        <v>4944</v>
      </c>
      <c r="E102" s="35">
        <f>2922+2095+350</f>
        <v>5367</v>
      </c>
      <c r="F102" s="35">
        <v>2644</v>
      </c>
      <c r="G102" s="35">
        <f>752+731+351</f>
        <v>1834</v>
      </c>
      <c r="H102" s="35">
        <v>0</v>
      </c>
      <c r="I102" s="35">
        <v>0</v>
      </c>
      <c r="J102" s="35">
        <v>0</v>
      </c>
      <c r="K102" s="35">
        <v>0</v>
      </c>
      <c r="L102" s="35">
        <v>4961</v>
      </c>
      <c r="M102" s="35">
        <f>2154+2241+587</f>
        <v>4982</v>
      </c>
      <c r="N102" s="35">
        <v>2518</v>
      </c>
      <c r="O102" s="35">
        <f>1105+732+483</f>
        <v>2320</v>
      </c>
      <c r="P102" s="35">
        <v>961</v>
      </c>
      <c r="Q102" s="35">
        <f>410+585</f>
        <v>995</v>
      </c>
      <c r="R102" s="40">
        <f t="shared" si="2"/>
        <v>16028</v>
      </c>
      <c r="S102" s="35">
        <f t="shared" si="3"/>
        <v>15498</v>
      </c>
      <c r="T102" s="11">
        <v>583134</v>
      </c>
    </row>
    <row r="103" spans="1:20" ht="15.75" hidden="1">
      <c r="A103" s="39">
        <v>45841</v>
      </c>
      <c r="B103" s="8" t="s">
        <v>109</v>
      </c>
      <c r="C103" s="40" t="s">
        <v>1493</v>
      </c>
      <c r="D103" s="35">
        <f>6728-2333</f>
        <v>4395</v>
      </c>
      <c r="E103" s="35">
        <f>2406+1824</f>
        <v>4230</v>
      </c>
      <c r="F103" s="35">
        <v>2462</v>
      </c>
      <c r="G103" s="35">
        <f>1207+1164</f>
        <v>2371</v>
      </c>
      <c r="H103" s="35">
        <v>0</v>
      </c>
      <c r="I103" s="35">
        <v>0</v>
      </c>
      <c r="J103" s="35">
        <v>0</v>
      </c>
      <c r="K103" s="35">
        <v>0</v>
      </c>
      <c r="L103" s="35">
        <v>6203</v>
      </c>
      <c r="M103" s="35">
        <f>3159+2950</f>
        <v>6109</v>
      </c>
      <c r="N103" s="35">
        <v>2022</v>
      </c>
      <c r="O103" s="35">
        <f>618+1375</f>
        <v>1993</v>
      </c>
      <c r="P103" s="35">
        <v>0</v>
      </c>
      <c r="Q103" s="35">
        <v>0</v>
      </c>
      <c r="R103" s="40">
        <f t="shared" si="2"/>
        <v>15082</v>
      </c>
      <c r="S103" s="35">
        <f t="shared" si="3"/>
        <v>14703</v>
      </c>
      <c r="T103" s="11">
        <v>582114</v>
      </c>
    </row>
    <row r="104" spans="1:20" hidden="1">
      <c r="A104" s="39">
        <v>45841</v>
      </c>
      <c r="B104" s="35" t="s">
        <v>1504</v>
      </c>
      <c r="C104" s="40" t="s">
        <v>1495</v>
      </c>
      <c r="D104" s="35">
        <f>5087-2474</f>
        <v>2613</v>
      </c>
      <c r="E104" s="35">
        <v>2453</v>
      </c>
      <c r="F104" s="35">
        <v>969</v>
      </c>
      <c r="G104" s="35">
        <v>845</v>
      </c>
      <c r="H104" s="35">
        <v>0</v>
      </c>
      <c r="I104" s="35">
        <v>0</v>
      </c>
      <c r="J104" s="35">
        <v>0</v>
      </c>
      <c r="K104" s="35">
        <v>0</v>
      </c>
      <c r="L104" s="35">
        <v>2855</v>
      </c>
      <c r="M104" s="35">
        <v>2778</v>
      </c>
      <c r="N104" s="35">
        <v>963</v>
      </c>
      <c r="O104" s="35">
        <v>965</v>
      </c>
      <c r="P104" s="35">
        <v>0</v>
      </c>
      <c r="Q104" s="35">
        <v>0</v>
      </c>
      <c r="R104" s="40">
        <f t="shared" si="2"/>
        <v>7400</v>
      </c>
      <c r="S104" s="35">
        <f t="shared" si="3"/>
        <v>7041</v>
      </c>
      <c r="T104" s="11">
        <v>583277</v>
      </c>
    </row>
    <row r="105" spans="1:20" ht="15.75" hidden="1">
      <c r="A105" s="39">
        <v>45841</v>
      </c>
      <c r="B105" s="56" t="s">
        <v>33</v>
      </c>
      <c r="C105" s="40" t="s">
        <v>1493</v>
      </c>
      <c r="D105" s="35">
        <v>1070</v>
      </c>
      <c r="E105" s="35">
        <v>1062</v>
      </c>
      <c r="F105" s="35">
        <v>892</v>
      </c>
      <c r="G105" s="35">
        <v>675</v>
      </c>
      <c r="H105" s="35">
        <v>0</v>
      </c>
      <c r="I105" s="35">
        <v>0</v>
      </c>
      <c r="J105" s="35">
        <v>0</v>
      </c>
      <c r="K105" s="35">
        <v>0</v>
      </c>
      <c r="L105" s="35">
        <v>1550</v>
      </c>
      <c r="M105" s="35">
        <v>1562</v>
      </c>
      <c r="N105" s="35">
        <v>730</v>
      </c>
      <c r="O105" s="35">
        <v>700</v>
      </c>
      <c r="P105" s="35">
        <v>0</v>
      </c>
      <c r="Q105" s="35">
        <v>0</v>
      </c>
      <c r="R105" s="40">
        <f t="shared" si="2"/>
        <v>4242</v>
      </c>
      <c r="S105" s="35">
        <f t="shared" si="3"/>
        <v>3999</v>
      </c>
      <c r="T105" s="11">
        <v>583131</v>
      </c>
    </row>
    <row r="106" spans="1:20" ht="15.75" hidden="1">
      <c r="A106" s="39">
        <v>45842</v>
      </c>
      <c r="B106" s="56" t="s">
        <v>33</v>
      </c>
      <c r="C106" s="40" t="s">
        <v>1494</v>
      </c>
      <c r="D106" s="35">
        <v>0</v>
      </c>
      <c r="E106" s="35">
        <v>0</v>
      </c>
      <c r="F106" s="35">
        <f>1916+887</f>
        <v>2803</v>
      </c>
      <c r="G106" s="35">
        <f>1897+731</f>
        <v>2628</v>
      </c>
      <c r="H106" s="35">
        <f>84+1232</f>
        <v>1316</v>
      </c>
      <c r="I106" s="35">
        <f>77+1220</f>
        <v>1297</v>
      </c>
      <c r="J106" s="35">
        <v>0</v>
      </c>
      <c r="K106" s="35">
        <v>0</v>
      </c>
      <c r="L106" s="35">
        <f>3127+2392</f>
        <v>5519</v>
      </c>
      <c r="M106" s="35">
        <f>2970+2359</f>
        <v>5329</v>
      </c>
      <c r="N106" s="35">
        <f>2210+1461</f>
        <v>3671</v>
      </c>
      <c r="O106" s="35">
        <f>2294+1571</f>
        <v>3865</v>
      </c>
      <c r="P106" s="35">
        <v>0</v>
      </c>
      <c r="Q106" s="35">
        <v>0</v>
      </c>
      <c r="R106" s="40">
        <f t="shared" si="2"/>
        <v>13309</v>
      </c>
      <c r="S106" s="35">
        <f t="shared" si="3"/>
        <v>13119</v>
      </c>
      <c r="T106" s="11">
        <v>583131</v>
      </c>
    </row>
    <row r="107" spans="1:20" ht="15.75" hidden="1">
      <c r="A107" s="39">
        <v>45842</v>
      </c>
      <c r="B107" s="22" t="s">
        <v>1500</v>
      </c>
      <c r="C107" s="40" t="s">
        <v>1493</v>
      </c>
      <c r="D107" s="35">
        <f>6255-1694</f>
        <v>4561</v>
      </c>
      <c r="E107" s="35">
        <f>2772+1702</f>
        <v>4474</v>
      </c>
      <c r="F107" s="35">
        <v>2236</v>
      </c>
      <c r="G107" s="35">
        <f>938+1095</f>
        <v>2033</v>
      </c>
      <c r="H107" s="35">
        <v>0</v>
      </c>
      <c r="I107" s="35">
        <v>0</v>
      </c>
      <c r="J107" s="35">
        <v>0</v>
      </c>
      <c r="K107" s="35">
        <v>0</v>
      </c>
      <c r="L107" s="35">
        <v>4674</v>
      </c>
      <c r="M107" s="35">
        <f>2765+2074</f>
        <v>4839</v>
      </c>
      <c r="N107" s="35">
        <v>2572</v>
      </c>
      <c r="O107" s="35">
        <f>992+1509</f>
        <v>2501</v>
      </c>
      <c r="P107" s="35">
        <v>0</v>
      </c>
      <c r="Q107" s="35">
        <v>0</v>
      </c>
      <c r="R107" s="40">
        <f t="shared" si="2"/>
        <v>14043</v>
      </c>
      <c r="S107" s="35">
        <f t="shared" si="3"/>
        <v>13847</v>
      </c>
      <c r="T107" s="11">
        <v>583134</v>
      </c>
    </row>
    <row r="108" spans="1:20" ht="15.75" hidden="1">
      <c r="A108" s="39">
        <v>45842</v>
      </c>
      <c r="B108" s="8" t="s">
        <v>109</v>
      </c>
      <c r="C108" s="40" t="s">
        <v>1493</v>
      </c>
      <c r="D108" s="35">
        <v>2622</v>
      </c>
      <c r="E108" s="35">
        <v>2481</v>
      </c>
      <c r="F108" s="35">
        <v>1209</v>
      </c>
      <c r="G108" s="35">
        <v>1105</v>
      </c>
      <c r="H108" s="35">
        <v>0</v>
      </c>
      <c r="I108" s="35">
        <v>0</v>
      </c>
      <c r="J108" s="35">
        <v>0</v>
      </c>
      <c r="K108" s="35">
        <v>0</v>
      </c>
      <c r="L108" s="35">
        <v>2920</v>
      </c>
      <c r="M108" s="35">
        <v>3026</v>
      </c>
      <c r="N108" s="35">
        <v>752</v>
      </c>
      <c r="O108" s="35">
        <v>589</v>
      </c>
      <c r="P108" s="35">
        <v>0</v>
      </c>
      <c r="Q108" s="35">
        <v>0</v>
      </c>
      <c r="R108" s="40">
        <f t="shared" si="2"/>
        <v>7503</v>
      </c>
      <c r="S108" s="35">
        <f t="shared" si="3"/>
        <v>7201</v>
      </c>
      <c r="T108" s="11">
        <v>582114</v>
      </c>
    </row>
    <row r="109" spans="1:20" hidden="1">
      <c r="A109" s="39">
        <v>45842</v>
      </c>
      <c r="B109" s="35" t="s">
        <v>1504</v>
      </c>
      <c r="C109" s="40" t="s">
        <v>1495</v>
      </c>
      <c r="D109" s="35">
        <v>2549</v>
      </c>
      <c r="E109" s="35">
        <v>2395</v>
      </c>
      <c r="F109" s="35">
        <v>840</v>
      </c>
      <c r="G109" s="35">
        <v>803</v>
      </c>
      <c r="H109" s="35">
        <v>0</v>
      </c>
      <c r="I109" s="35">
        <v>0</v>
      </c>
      <c r="J109" s="35">
        <v>0</v>
      </c>
      <c r="K109" s="35">
        <v>0</v>
      </c>
      <c r="L109" s="35">
        <v>2346</v>
      </c>
      <c r="M109" s="35">
        <v>2276</v>
      </c>
      <c r="N109" s="35">
        <v>613</v>
      </c>
      <c r="O109" s="35">
        <v>592</v>
      </c>
      <c r="P109" s="35">
        <v>0</v>
      </c>
      <c r="Q109" s="35">
        <v>0</v>
      </c>
      <c r="R109" s="40">
        <f t="shared" si="2"/>
        <v>6348</v>
      </c>
      <c r="S109" s="35">
        <f t="shared" si="3"/>
        <v>6066</v>
      </c>
      <c r="T109" s="11">
        <v>583277</v>
      </c>
    </row>
    <row r="110" spans="1:20" ht="15.75" hidden="1">
      <c r="A110" s="39">
        <v>45842</v>
      </c>
      <c r="B110" s="56" t="s">
        <v>33</v>
      </c>
      <c r="C110" s="40" t="s">
        <v>1493</v>
      </c>
      <c r="D110" s="35">
        <v>5998.9</v>
      </c>
      <c r="E110" s="35">
        <f>2310+2656</f>
        <v>4966</v>
      </c>
      <c r="F110" s="35">
        <v>2153</v>
      </c>
      <c r="G110" s="35">
        <f>861+1284</f>
        <v>2145</v>
      </c>
      <c r="H110" s="35">
        <v>0</v>
      </c>
      <c r="I110" s="35">
        <v>0</v>
      </c>
      <c r="J110" s="35">
        <v>0</v>
      </c>
      <c r="K110" s="35">
        <v>0</v>
      </c>
      <c r="L110" s="35">
        <v>5100</v>
      </c>
      <c r="M110" s="35">
        <f>2123+2749</f>
        <v>4872</v>
      </c>
      <c r="N110" s="35">
        <v>1378</v>
      </c>
      <c r="O110" s="35">
        <f>714+692</f>
        <v>1406</v>
      </c>
      <c r="P110" s="35">
        <v>0</v>
      </c>
      <c r="Q110" s="35">
        <v>0</v>
      </c>
      <c r="R110" s="40">
        <f t="shared" si="2"/>
        <v>14629.9</v>
      </c>
      <c r="S110" s="35">
        <f t="shared" si="3"/>
        <v>13389</v>
      </c>
      <c r="T110" s="11">
        <v>583131</v>
      </c>
    </row>
    <row r="111" spans="1:20" ht="15.75" hidden="1">
      <c r="A111" s="39">
        <v>45843</v>
      </c>
      <c r="B111" s="22" t="s">
        <v>1500</v>
      </c>
      <c r="C111" s="40" t="s">
        <v>1493</v>
      </c>
      <c r="D111" s="40">
        <f>5204-1929-425</f>
        <v>2850</v>
      </c>
      <c r="E111" s="35">
        <f>1705+1188</f>
        <v>2893</v>
      </c>
      <c r="F111" s="35">
        <v>2050</v>
      </c>
      <c r="G111" s="35">
        <f>1206+528</f>
        <v>1734</v>
      </c>
      <c r="H111" s="35">
        <v>0</v>
      </c>
      <c r="I111" s="35">
        <v>0</v>
      </c>
      <c r="J111" s="35">
        <v>0</v>
      </c>
      <c r="K111" s="35">
        <v>0</v>
      </c>
      <c r="L111" s="35">
        <v>3450</v>
      </c>
      <c r="M111" s="35">
        <f>2384+1157</f>
        <v>3541</v>
      </c>
      <c r="N111" s="35">
        <v>2096</v>
      </c>
      <c r="O111" s="35">
        <f>1762+312</f>
        <v>2074</v>
      </c>
      <c r="P111" s="35">
        <v>0</v>
      </c>
      <c r="Q111" s="35">
        <v>0</v>
      </c>
      <c r="R111" s="40">
        <f t="shared" si="2"/>
        <v>10446</v>
      </c>
      <c r="S111" s="35">
        <f t="shared" si="3"/>
        <v>10242</v>
      </c>
      <c r="T111" s="11">
        <v>583134</v>
      </c>
    </row>
    <row r="112" spans="1:20" ht="15.75" hidden="1">
      <c r="A112" s="39">
        <v>45843</v>
      </c>
      <c r="B112" s="56" t="s">
        <v>33</v>
      </c>
      <c r="C112" s="40" t="s">
        <v>1494</v>
      </c>
      <c r="D112" s="35">
        <v>0</v>
      </c>
      <c r="E112" s="35">
        <v>0</v>
      </c>
      <c r="F112" s="35">
        <v>2590</v>
      </c>
      <c r="G112" s="35">
        <v>2561</v>
      </c>
      <c r="H112" s="35">
        <v>0</v>
      </c>
      <c r="I112" s="35">
        <v>0</v>
      </c>
      <c r="J112" s="35">
        <v>0</v>
      </c>
      <c r="K112" s="35">
        <v>0</v>
      </c>
      <c r="L112" s="35">
        <v>3754</v>
      </c>
      <c r="M112" s="35">
        <v>3674</v>
      </c>
      <c r="N112" s="35">
        <v>998</v>
      </c>
      <c r="O112" s="35">
        <v>1033</v>
      </c>
      <c r="P112" s="35">
        <v>0</v>
      </c>
      <c r="Q112" s="35">
        <v>0</v>
      </c>
      <c r="R112" s="40">
        <f t="shared" si="2"/>
        <v>7342</v>
      </c>
      <c r="S112" s="35">
        <f t="shared" si="3"/>
        <v>7268</v>
      </c>
      <c r="T112" s="11">
        <v>583131</v>
      </c>
    </row>
    <row r="113" spans="1:20" ht="15.75" hidden="1">
      <c r="A113" s="39">
        <v>45843</v>
      </c>
      <c r="B113" s="56" t="s">
        <v>33</v>
      </c>
      <c r="C113" s="40" t="s">
        <v>1493</v>
      </c>
      <c r="D113" s="35">
        <v>3964.5</v>
      </c>
      <c r="E113" s="35">
        <f>2258+1177</f>
        <v>3435</v>
      </c>
      <c r="F113" s="35">
        <v>2271</v>
      </c>
      <c r="G113" s="35">
        <f>1455+854</f>
        <v>2309</v>
      </c>
      <c r="H113" s="35">
        <v>0</v>
      </c>
      <c r="I113" s="35">
        <v>0</v>
      </c>
      <c r="J113" s="35">
        <v>0</v>
      </c>
      <c r="K113" s="35">
        <v>0</v>
      </c>
      <c r="L113" s="35">
        <v>3625</v>
      </c>
      <c r="M113" s="35">
        <f>2324+1288</f>
        <v>3612</v>
      </c>
      <c r="N113" s="35">
        <v>1475</v>
      </c>
      <c r="O113" s="35">
        <f>904+661</f>
        <v>1565</v>
      </c>
      <c r="P113" s="35">
        <v>0</v>
      </c>
      <c r="Q113" s="35">
        <v>0</v>
      </c>
      <c r="R113" s="40">
        <f t="shared" si="2"/>
        <v>11335.5</v>
      </c>
      <c r="S113" s="35">
        <f t="shared" si="3"/>
        <v>10921</v>
      </c>
      <c r="T113" s="11">
        <v>583131</v>
      </c>
    </row>
    <row r="114" spans="1:20" hidden="1">
      <c r="A114" s="39">
        <v>45843</v>
      </c>
      <c r="B114" s="35" t="s">
        <v>1504</v>
      </c>
      <c r="C114" s="40" t="s">
        <v>1495</v>
      </c>
      <c r="D114" s="35">
        <f>4627-1929</f>
        <v>2698</v>
      </c>
      <c r="E114" s="35">
        <v>2536</v>
      </c>
      <c r="F114" s="35">
        <v>831</v>
      </c>
      <c r="G114" s="35">
        <v>718</v>
      </c>
      <c r="H114" s="35">
        <v>0</v>
      </c>
      <c r="I114" s="35">
        <v>0</v>
      </c>
      <c r="J114" s="35">
        <v>0</v>
      </c>
      <c r="K114" s="35">
        <v>0</v>
      </c>
      <c r="L114" s="35">
        <v>2295</v>
      </c>
      <c r="M114" s="35">
        <v>2218</v>
      </c>
      <c r="N114" s="35">
        <v>740</v>
      </c>
      <c r="O114" s="35">
        <v>725</v>
      </c>
      <c r="P114" s="35">
        <v>0</v>
      </c>
      <c r="Q114" s="35">
        <v>0</v>
      </c>
      <c r="R114" s="40">
        <f t="shared" si="2"/>
        <v>6564</v>
      </c>
      <c r="S114" s="35">
        <f t="shared" si="3"/>
        <v>6197</v>
      </c>
      <c r="T114" s="11">
        <v>583277</v>
      </c>
    </row>
    <row r="115" spans="1:20" ht="15.75" hidden="1">
      <c r="A115" s="39">
        <v>45843</v>
      </c>
      <c r="B115" s="8" t="s">
        <v>109</v>
      </c>
      <c r="C115" s="40" t="s">
        <v>1493</v>
      </c>
      <c r="D115" s="35">
        <v>2198</v>
      </c>
      <c r="E115" s="35">
        <v>2124</v>
      </c>
      <c r="F115" s="35">
        <v>1343</v>
      </c>
      <c r="G115" s="35">
        <v>1269</v>
      </c>
      <c r="H115" s="35">
        <v>0</v>
      </c>
      <c r="I115" s="35">
        <v>0</v>
      </c>
      <c r="J115" s="35">
        <v>0</v>
      </c>
      <c r="K115" s="35">
        <v>0</v>
      </c>
      <c r="L115" s="35">
        <v>3077</v>
      </c>
      <c r="M115" s="35">
        <v>3037</v>
      </c>
      <c r="N115" s="35">
        <v>822</v>
      </c>
      <c r="O115" s="35">
        <v>789</v>
      </c>
      <c r="P115" s="35">
        <v>0</v>
      </c>
      <c r="Q115" s="35">
        <v>0</v>
      </c>
      <c r="R115" s="40">
        <f t="shared" si="2"/>
        <v>7440</v>
      </c>
      <c r="S115" s="35">
        <f t="shared" si="3"/>
        <v>7219</v>
      </c>
      <c r="T115" s="11">
        <v>582114</v>
      </c>
    </row>
    <row r="116" spans="1:20" ht="15.75" hidden="1">
      <c r="A116" s="39">
        <v>45844</v>
      </c>
      <c r="B116" s="8" t="s">
        <v>109</v>
      </c>
      <c r="C116" s="40" t="s">
        <v>1493</v>
      </c>
      <c r="D116" s="35">
        <f>5362-568</f>
        <v>4794</v>
      </c>
      <c r="E116" s="35">
        <f>2060+2426</f>
        <v>4486</v>
      </c>
      <c r="F116" s="35">
        <v>2360</v>
      </c>
      <c r="G116" s="35">
        <f>1220+1066</f>
        <v>2286</v>
      </c>
      <c r="H116" s="35">
        <v>0</v>
      </c>
      <c r="I116" s="35">
        <v>0</v>
      </c>
      <c r="J116" s="35">
        <v>0</v>
      </c>
      <c r="K116" s="35">
        <v>0</v>
      </c>
      <c r="L116" s="35">
        <v>5991</v>
      </c>
      <c r="M116" s="35">
        <f>2716+2740</f>
        <v>5456</v>
      </c>
      <c r="N116" s="35">
        <v>2443</v>
      </c>
      <c r="O116" s="35">
        <f>1226+1558</f>
        <v>2784</v>
      </c>
      <c r="P116" s="35">
        <v>0</v>
      </c>
      <c r="Q116" s="35">
        <v>0</v>
      </c>
      <c r="R116" s="40">
        <f t="shared" si="2"/>
        <v>15588</v>
      </c>
      <c r="S116" s="35">
        <f t="shared" si="3"/>
        <v>15012</v>
      </c>
      <c r="T116" s="11">
        <v>582114</v>
      </c>
    </row>
    <row r="117" spans="1:20" ht="15.75" hidden="1">
      <c r="A117" s="39">
        <v>45844</v>
      </c>
      <c r="B117" s="56" t="s">
        <v>33</v>
      </c>
      <c r="C117" s="40" t="s">
        <v>1494</v>
      </c>
      <c r="D117" s="35">
        <v>0</v>
      </c>
      <c r="E117" s="35">
        <v>0</v>
      </c>
      <c r="F117" s="35">
        <v>3191</v>
      </c>
      <c r="G117" s="35">
        <v>2608</v>
      </c>
      <c r="H117" s="35">
        <v>0</v>
      </c>
      <c r="I117" s="35">
        <v>0</v>
      </c>
      <c r="J117" s="35">
        <v>0</v>
      </c>
      <c r="K117" s="35">
        <v>0</v>
      </c>
      <c r="L117" s="35">
        <v>3946</v>
      </c>
      <c r="M117" s="35">
        <v>4313</v>
      </c>
      <c r="N117" s="35">
        <v>303</v>
      </c>
      <c r="O117" s="35">
        <v>334</v>
      </c>
      <c r="P117" s="35">
        <v>0</v>
      </c>
      <c r="Q117" s="35">
        <v>0</v>
      </c>
      <c r="R117" s="40">
        <f t="shared" si="2"/>
        <v>7440</v>
      </c>
      <c r="S117" s="35">
        <f t="shared" si="3"/>
        <v>7255</v>
      </c>
      <c r="T117" s="11">
        <v>583131</v>
      </c>
    </row>
    <row r="118" spans="1:20" ht="15.75" hidden="1">
      <c r="A118" s="39">
        <v>45844</v>
      </c>
      <c r="B118" s="22" t="s">
        <v>1500</v>
      </c>
      <c r="C118" s="40" t="s">
        <v>1493</v>
      </c>
      <c r="D118" s="35">
        <f>5565-818</f>
        <v>4747</v>
      </c>
      <c r="E118" s="35">
        <f>2201+2372</f>
        <v>4573</v>
      </c>
      <c r="F118" s="35">
        <v>2099</v>
      </c>
      <c r="G118" s="35">
        <f>1175+877</f>
        <v>2052</v>
      </c>
      <c r="H118" s="35">
        <v>0</v>
      </c>
      <c r="I118" s="35">
        <v>0</v>
      </c>
      <c r="J118" s="35">
        <v>0</v>
      </c>
      <c r="K118" s="35">
        <v>0</v>
      </c>
      <c r="L118" s="35">
        <v>4413</v>
      </c>
      <c r="M118" s="35">
        <f>1746+2442</f>
        <v>4188</v>
      </c>
      <c r="N118" s="35">
        <v>2385</v>
      </c>
      <c r="O118" s="35">
        <f>809+1529</f>
        <v>2338</v>
      </c>
      <c r="P118" s="35">
        <v>0</v>
      </c>
      <c r="Q118" s="35">
        <v>0</v>
      </c>
      <c r="R118" s="40">
        <f t="shared" si="2"/>
        <v>13644</v>
      </c>
      <c r="S118" s="35">
        <f t="shared" si="3"/>
        <v>13151</v>
      </c>
      <c r="T118" s="11">
        <v>583134</v>
      </c>
    </row>
    <row r="119" spans="1:20" ht="15.75" hidden="1">
      <c r="A119" s="39">
        <v>45844</v>
      </c>
      <c r="B119" s="56" t="s">
        <v>33</v>
      </c>
      <c r="C119" s="40" t="s">
        <v>1493</v>
      </c>
      <c r="D119" s="35">
        <f>4175.5-1038</f>
        <v>3137.5</v>
      </c>
      <c r="E119" s="35">
        <v>2816</v>
      </c>
      <c r="F119" s="35">
        <v>1121</v>
      </c>
      <c r="G119" s="35">
        <v>1059</v>
      </c>
      <c r="H119" s="35">
        <v>0</v>
      </c>
      <c r="I119" s="35">
        <v>0</v>
      </c>
      <c r="J119" s="35">
        <v>0</v>
      </c>
      <c r="K119" s="35">
        <v>0</v>
      </c>
      <c r="L119" s="35">
        <v>2049</v>
      </c>
      <c r="M119" s="35">
        <v>2077</v>
      </c>
      <c r="N119" s="35">
        <v>677</v>
      </c>
      <c r="O119" s="35">
        <v>703</v>
      </c>
      <c r="P119" s="35">
        <v>0</v>
      </c>
      <c r="Q119" s="35">
        <v>0</v>
      </c>
      <c r="R119" s="40">
        <f t="shared" si="2"/>
        <v>6984.5</v>
      </c>
      <c r="S119" s="35">
        <f t="shared" si="3"/>
        <v>6655</v>
      </c>
      <c r="T119" s="11">
        <v>583131</v>
      </c>
    </row>
    <row r="120" spans="1:20" ht="15.75" hidden="1">
      <c r="A120" s="39">
        <v>45845</v>
      </c>
      <c r="B120" s="56" t="s">
        <v>33</v>
      </c>
      <c r="C120" s="40" t="s">
        <v>1494</v>
      </c>
      <c r="D120" s="35">
        <v>0</v>
      </c>
      <c r="E120" s="35">
        <v>0</v>
      </c>
      <c r="F120" s="35">
        <v>3150</v>
      </c>
      <c r="G120" s="35">
        <v>3147</v>
      </c>
      <c r="H120" s="35">
        <v>0</v>
      </c>
      <c r="I120" s="35">
        <v>0</v>
      </c>
      <c r="J120" s="35">
        <v>0</v>
      </c>
      <c r="K120" s="35">
        <v>0</v>
      </c>
      <c r="L120" s="35">
        <v>4397</v>
      </c>
      <c r="M120" s="35">
        <v>4259</v>
      </c>
      <c r="N120" s="35">
        <v>602</v>
      </c>
      <c r="O120" s="35">
        <v>583</v>
      </c>
      <c r="P120" s="35">
        <v>0</v>
      </c>
      <c r="Q120" s="35">
        <v>0</v>
      </c>
      <c r="R120" s="40">
        <f t="shared" si="2"/>
        <v>8149</v>
      </c>
      <c r="S120" s="35">
        <f t="shared" si="3"/>
        <v>7989</v>
      </c>
      <c r="T120" s="11">
        <v>583131</v>
      </c>
    </row>
    <row r="121" spans="1:20" ht="15.75" hidden="1">
      <c r="A121" s="39">
        <v>45845</v>
      </c>
      <c r="B121" s="56" t="s">
        <v>33</v>
      </c>
      <c r="C121" s="40" t="s">
        <v>1493</v>
      </c>
      <c r="D121" s="35">
        <f>4286-2029</f>
        <v>2257</v>
      </c>
      <c r="E121" s="35">
        <v>2214</v>
      </c>
      <c r="F121" s="35">
        <v>121.8</v>
      </c>
      <c r="G121" s="35">
        <v>1111</v>
      </c>
      <c r="H121" s="35">
        <v>0</v>
      </c>
      <c r="I121" s="35">
        <v>0</v>
      </c>
      <c r="J121" s="35">
        <v>0</v>
      </c>
      <c r="K121" s="35">
        <v>0</v>
      </c>
      <c r="L121" s="35">
        <v>2417</v>
      </c>
      <c r="M121" s="35">
        <v>2333</v>
      </c>
      <c r="N121" s="35">
        <v>879</v>
      </c>
      <c r="O121" s="35">
        <v>817</v>
      </c>
      <c r="P121" s="35">
        <v>0</v>
      </c>
      <c r="Q121" s="35">
        <v>0</v>
      </c>
      <c r="R121" s="40">
        <f t="shared" si="2"/>
        <v>5674.8</v>
      </c>
      <c r="S121" s="35">
        <f t="shared" si="3"/>
        <v>6475</v>
      </c>
      <c r="T121" s="11">
        <v>583131</v>
      </c>
    </row>
    <row r="122" spans="1:20" ht="15.75" hidden="1">
      <c r="A122" s="39">
        <v>45845</v>
      </c>
      <c r="B122" s="8" t="s">
        <v>109</v>
      </c>
      <c r="C122" s="40" t="s">
        <v>1493</v>
      </c>
      <c r="D122" s="35">
        <f>3579-876</f>
        <v>2703</v>
      </c>
      <c r="E122" s="35">
        <v>2441</v>
      </c>
      <c r="F122" s="35">
        <f>1655-488</f>
        <v>1167</v>
      </c>
      <c r="G122" s="35">
        <v>1143</v>
      </c>
      <c r="H122" s="35">
        <v>0</v>
      </c>
      <c r="I122" s="35">
        <v>0</v>
      </c>
      <c r="J122" s="35">
        <v>0</v>
      </c>
      <c r="K122" s="35">
        <v>0</v>
      </c>
      <c r="L122" s="35">
        <f>3754-1264</f>
        <v>2490</v>
      </c>
      <c r="M122" s="35">
        <v>2517</v>
      </c>
      <c r="N122" s="35">
        <f>1093-392</f>
        <v>701</v>
      </c>
      <c r="O122" s="35">
        <v>799</v>
      </c>
      <c r="P122" s="35">
        <v>0</v>
      </c>
      <c r="Q122" s="35">
        <v>0</v>
      </c>
      <c r="R122" s="40">
        <f t="shared" si="2"/>
        <v>7061</v>
      </c>
      <c r="S122" s="35">
        <f t="shared" si="3"/>
        <v>6900</v>
      </c>
      <c r="T122" s="11">
        <v>582114</v>
      </c>
    </row>
    <row r="123" spans="1:20" ht="15.75" hidden="1">
      <c r="A123" s="39">
        <v>45845</v>
      </c>
      <c r="B123" s="22" t="s">
        <v>1500</v>
      </c>
      <c r="C123" s="40" t="s">
        <v>1493</v>
      </c>
      <c r="D123" s="35">
        <v>4258</v>
      </c>
      <c r="E123" s="35">
        <f>2675+1452</f>
        <v>4127</v>
      </c>
      <c r="F123" s="35">
        <v>2182</v>
      </c>
      <c r="G123" s="35">
        <f>994+1034</f>
        <v>2028</v>
      </c>
      <c r="H123" s="35">
        <v>0</v>
      </c>
      <c r="I123" s="35">
        <v>0</v>
      </c>
      <c r="J123" s="35">
        <v>0</v>
      </c>
      <c r="K123" s="35">
        <v>0</v>
      </c>
      <c r="L123" s="35">
        <v>4570</v>
      </c>
      <c r="M123" s="35">
        <f>1998+2344</f>
        <v>4342</v>
      </c>
      <c r="N123" s="35">
        <v>1629</v>
      </c>
      <c r="O123" s="35">
        <f>500+1070</f>
        <v>1570</v>
      </c>
      <c r="P123" s="35">
        <v>0</v>
      </c>
      <c r="Q123" s="35">
        <v>0</v>
      </c>
      <c r="R123" s="40">
        <f t="shared" si="2"/>
        <v>12639</v>
      </c>
      <c r="S123" s="35">
        <f t="shared" si="3"/>
        <v>12067</v>
      </c>
      <c r="T123" s="11">
        <v>583134</v>
      </c>
    </row>
    <row r="124" spans="1:20" ht="15.75" hidden="1">
      <c r="A124" s="39">
        <v>45846</v>
      </c>
      <c r="B124" s="56" t="s">
        <v>33</v>
      </c>
      <c r="C124" s="40" t="s">
        <v>1494</v>
      </c>
      <c r="D124" s="35">
        <v>0</v>
      </c>
      <c r="E124" s="35">
        <v>0</v>
      </c>
      <c r="F124" s="35">
        <v>2571</v>
      </c>
      <c r="G124" s="35">
        <v>2456</v>
      </c>
      <c r="H124" s="35">
        <v>0</v>
      </c>
      <c r="I124" s="35">
        <v>0</v>
      </c>
      <c r="J124" s="35">
        <v>0</v>
      </c>
      <c r="K124" s="35">
        <v>0</v>
      </c>
      <c r="L124" s="35">
        <v>4486</v>
      </c>
      <c r="M124" s="35">
        <v>4528</v>
      </c>
      <c r="N124" s="35">
        <v>558</v>
      </c>
      <c r="O124" s="35">
        <v>528</v>
      </c>
      <c r="P124" s="35">
        <v>0</v>
      </c>
      <c r="Q124" s="35">
        <v>0</v>
      </c>
      <c r="R124" s="40">
        <f t="shared" si="2"/>
        <v>7615</v>
      </c>
      <c r="S124" s="35">
        <f t="shared" si="3"/>
        <v>7512</v>
      </c>
      <c r="T124" s="11">
        <v>583131</v>
      </c>
    </row>
    <row r="125" spans="1:20" ht="15.75" hidden="1">
      <c r="A125" s="39">
        <v>45846</v>
      </c>
      <c r="B125" s="8" t="s">
        <v>109</v>
      </c>
      <c r="C125" s="40" t="s">
        <v>1493</v>
      </c>
      <c r="D125" s="35">
        <f>7670-1254</f>
        <v>6416</v>
      </c>
      <c r="E125" s="35">
        <f>1668+1945+2014</f>
        <v>5627</v>
      </c>
      <c r="F125" s="35">
        <v>3941</v>
      </c>
      <c r="G125" s="35">
        <f>1046+1151+760</f>
        <v>2957</v>
      </c>
      <c r="H125" s="35">
        <v>0</v>
      </c>
      <c r="I125" s="35">
        <v>0</v>
      </c>
      <c r="J125" s="35">
        <v>0</v>
      </c>
      <c r="K125" s="35">
        <v>0</v>
      </c>
      <c r="L125" s="35">
        <v>9807</v>
      </c>
      <c r="M125" s="35">
        <f>3072+3325+3513</f>
        <v>9910</v>
      </c>
      <c r="N125" s="35">
        <v>3320</v>
      </c>
      <c r="O125" s="35">
        <f>1442+739+1144</f>
        <v>3325</v>
      </c>
      <c r="P125" s="35">
        <v>0</v>
      </c>
      <c r="Q125" s="35">
        <v>0</v>
      </c>
      <c r="R125" s="40">
        <f t="shared" si="2"/>
        <v>23484</v>
      </c>
      <c r="S125" s="35">
        <f t="shared" si="3"/>
        <v>21819</v>
      </c>
      <c r="T125" s="11">
        <v>582114</v>
      </c>
    </row>
    <row r="126" spans="1:20" ht="15.75" hidden="1">
      <c r="A126" s="39">
        <v>45846</v>
      </c>
      <c r="B126" s="22" t="s">
        <v>1500</v>
      </c>
      <c r="C126" s="40" t="s">
        <v>1493</v>
      </c>
      <c r="D126" s="35">
        <f>4979-640</f>
        <v>4339</v>
      </c>
      <c r="E126" s="35">
        <f>2265+1949</f>
        <v>4214</v>
      </c>
      <c r="F126" s="35">
        <v>2131</v>
      </c>
      <c r="G126" s="35">
        <f>1011+937</f>
        <v>1948</v>
      </c>
      <c r="H126" s="35">
        <v>0</v>
      </c>
      <c r="I126" s="35">
        <v>0</v>
      </c>
      <c r="J126" s="35">
        <v>0</v>
      </c>
      <c r="K126" s="35">
        <v>0</v>
      </c>
      <c r="L126" s="35">
        <v>4619</v>
      </c>
      <c r="M126" s="35">
        <f>2469+1989</f>
        <v>4458</v>
      </c>
      <c r="N126" s="35">
        <v>2195</v>
      </c>
      <c r="O126" s="35">
        <f>1119+977</f>
        <v>2096</v>
      </c>
      <c r="P126" s="35">
        <v>0</v>
      </c>
      <c r="Q126" s="35">
        <v>0</v>
      </c>
      <c r="R126" s="40">
        <f t="shared" si="2"/>
        <v>13284</v>
      </c>
      <c r="S126" s="35">
        <f t="shared" si="3"/>
        <v>12716</v>
      </c>
      <c r="T126" s="11">
        <v>583134</v>
      </c>
    </row>
    <row r="127" spans="1:20" ht="15.75" hidden="1">
      <c r="A127" s="39">
        <v>45846</v>
      </c>
      <c r="B127" s="56" t="s">
        <v>33</v>
      </c>
      <c r="C127" s="40" t="s">
        <v>1493</v>
      </c>
      <c r="D127" s="35">
        <f>4219-1556</f>
        <v>2663</v>
      </c>
      <c r="E127" s="35">
        <v>2139</v>
      </c>
      <c r="F127" s="35">
        <v>1305</v>
      </c>
      <c r="G127" s="35">
        <v>1518</v>
      </c>
      <c r="H127" s="35">
        <v>0</v>
      </c>
      <c r="I127" s="35">
        <v>0</v>
      </c>
      <c r="J127" s="35">
        <v>0</v>
      </c>
      <c r="K127" s="35">
        <v>0</v>
      </c>
      <c r="L127" s="35">
        <v>2441</v>
      </c>
      <c r="M127" s="35">
        <v>2540</v>
      </c>
      <c r="N127" s="35">
        <v>716</v>
      </c>
      <c r="O127" s="35">
        <v>956</v>
      </c>
      <c r="P127" s="35">
        <v>0</v>
      </c>
      <c r="Q127" s="35">
        <v>0</v>
      </c>
      <c r="R127" s="40">
        <f t="shared" si="2"/>
        <v>7125</v>
      </c>
      <c r="S127" s="35">
        <f t="shared" si="3"/>
        <v>7153</v>
      </c>
      <c r="T127" s="11">
        <v>583131</v>
      </c>
    </row>
    <row r="128" spans="1:20" hidden="1">
      <c r="A128" s="39">
        <v>45846</v>
      </c>
      <c r="B128" s="35" t="s">
        <v>1504</v>
      </c>
      <c r="C128" s="40" t="s">
        <v>1495</v>
      </c>
      <c r="D128" s="35">
        <v>2297</v>
      </c>
      <c r="E128" s="35">
        <v>2097</v>
      </c>
      <c r="F128" s="35">
        <v>861</v>
      </c>
      <c r="G128" s="35">
        <v>830</v>
      </c>
      <c r="H128" s="35">
        <v>0</v>
      </c>
      <c r="I128" s="35">
        <v>0</v>
      </c>
      <c r="J128" s="35">
        <v>0</v>
      </c>
      <c r="K128" s="35">
        <v>0</v>
      </c>
      <c r="L128" s="35">
        <v>2951</v>
      </c>
      <c r="M128" s="35">
        <v>2860</v>
      </c>
      <c r="N128" s="35">
        <v>651</v>
      </c>
      <c r="O128" s="35">
        <v>646</v>
      </c>
      <c r="P128" s="35">
        <v>0</v>
      </c>
      <c r="Q128" s="35">
        <v>0</v>
      </c>
      <c r="R128" s="40">
        <f t="shared" si="2"/>
        <v>6760</v>
      </c>
      <c r="S128" s="35">
        <f t="shared" si="3"/>
        <v>6433</v>
      </c>
      <c r="T128" s="11">
        <v>583277</v>
      </c>
    </row>
    <row r="129" spans="1:20" hidden="1">
      <c r="A129" s="48">
        <v>45847</v>
      </c>
      <c r="B129" s="35" t="s">
        <v>1504</v>
      </c>
      <c r="C129" s="40" t="s">
        <v>1495</v>
      </c>
      <c r="D129" s="35">
        <f>4291-2088</f>
        <v>2203</v>
      </c>
      <c r="E129" s="35">
        <v>1955</v>
      </c>
      <c r="F129" s="35">
        <f>1536-694</f>
        <v>842</v>
      </c>
      <c r="G129" s="35">
        <v>799</v>
      </c>
      <c r="H129" s="35">
        <v>0</v>
      </c>
      <c r="I129" s="35">
        <v>0</v>
      </c>
      <c r="J129" s="35">
        <v>0</v>
      </c>
      <c r="K129" s="35">
        <v>0</v>
      </c>
      <c r="L129" s="35">
        <f>6887-3232</f>
        <v>3655</v>
      </c>
      <c r="M129" s="35">
        <v>3495</v>
      </c>
      <c r="N129" s="35">
        <f>3141-1786</f>
        <v>1355</v>
      </c>
      <c r="O129" s="35">
        <v>1320</v>
      </c>
      <c r="P129" s="35">
        <v>0</v>
      </c>
      <c r="Q129" s="35">
        <v>0</v>
      </c>
      <c r="R129" s="40">
        <f t="shared" si="2"/>
        <v>8055</v>
      </c>
      <c r="S129" s="35">
        <f t="shared" si="3"/>
        <v>7569</v>
      </c>
      <c r="T129" s="11">
        <v>583277</v>
      </c>
    </row>
    <row r="130" spans="1:20" ht="15.75" hidden="1">
      <c r="A130" s="48">
        <v>45847</v>
      </c>
      <c r="B130" s="22" t="s">
        <v>1500</v>
      </c>
      <c r="C130" s="40" t="s">
        <v>1493</v>
      </c>
      <c r="D130" s="35">
        <f>4392-438</f>
        <v>3954</v>
      </c>
      <c r="E130" s="35">
        <f>1540+2089</f>
        <v>3629</v>
      </c>
      <c r="F130" s="35">
        <v>1953</v>
      </c>
      <c r="G130" s="35">
        <f>850+966</f>
        <v>1816</v>
      </c>
      <c r="H130" s="35">
        <v>0</v>
      </c>
      <c r="I130" s="35">
        <v>0</v>
      </c>
      <c r="J130" s="35">
        <v>0</v>
      </c>
      <c r="K130" s="35">
        <v>0</v>
      </c>
      <c r="L130" s="35">
        <v>4833</v>
      </c>
      <c r="M130" s="35">
        <f>2064+2598</f>
        <v>4662</v>
      </c>
      <c r="N130" s="35">
        <v>2818</v>
      </c>
      <c r="O130" s="35">
        <f>1554+1165</f>
        <v>2719</v>
      </c>
      <c r="P130" s="35">
        <v>0</v>
      </c>
      <c r="Q130" s="35">
        <v>0</v>
      </c>
      <c r="R130" s="40">
        <f t="shared" ref="R130:R193" si="4">SUM(D130,F130,H130,J130,L130,N130,P130)</f>
        <v>13558</v>
      </c>
      <c r="S130" s="35">
        <f t="shared" ref="S130:S193" si="5">SUM(E130,G130,I130,K130,M130,O130,Q130)</f>
        <v>12826</v>
      </c>
      <c r="T130" s="11">
        <v>583134</v>
      </c>
    </row>
    <row r="131" spans="1:20" ht="15.75" hidden="1">
      <c r="A131" s="48">
        <v>45847</v>
      </c>
      <c r="B131" s="56" t="s">
        <v>33</v>
      </c>
      <c r="C131" s="40" t="s">
        <v>1493</v>
      </c>
      <c r="D131" s="35">
        <f>3645.5-739</f>
        <v>2906.5</v>
      </c>
      <c r="E131" s="35">
        <v>2701</v>
      </c>
      <c r="F131" s="35">
        <v>1271</v>
      </c>
      <c r="G131" s="35">
        <v>1162</v>
      </c>
      <c r="H131" s="35">
        <v>0</v>
      </c>
      <c r="I131" s="35">
        <v>0</v>
      </c>
      <c r="J131" s="35">
        <v>0</v>
      </c>
      <c r="K131" s="35">
        <v>0</v>
      </c>
      <c r="L131" s="35">
        <v>2563</v>
      </c>
      <c r="M131" s="35">
        <v>2452</v>
      </c>
      <c r="N131" s="35">
        <v>710</v>
      </c>
      <c r="O131" s="35">
        <v>748</v>
      </c>
      <c r="P131" s="35">
        <v>0</v>
      </c>
      <c r="Q131" s="35">
        <v>0</v>
      </c>
      <c r="R131" s="40">
        <f t="shared" si="4"/>
        <v>7450.5</v>
      </c>
      <c r="S131" s="35">
        <f t="shared" si="5"/>
        <v>7063</v>
      </c>
      <c r="T131" s="11">
        <v>583131</v>
      </c>
    </row>
    <row r="132" spans="1:20" ht="15.75" hidden="1">
      <c r="A132" s="48">
        <v>45847</v>
      </c>
      <c r="B132" s="8" t="s">
        <v>109</v>
      </c>
      <c r="C132" s="40" t="s">
        <v>1493</v>
      </c>
      <c r="D132" s="35">
        <f>6228-2888</f>
        <v>3340</v>
      </c>
      <c r="E132" s="35">
        <f>1539+1638</f>
        <v>3177</v>
      </c>
      <c r="F132" s="35">
        <f>3683-1616</f>
        <v>2067</v>
      </c>
      <c r="G132" s="35">
        <f>1058+884</f>
        <v>1942</v>
      </c>
      <c r="H132" s="35">
        <v>0</v>
      </c>
      <c r="I132" s="35">
        <v>0</v>
      </c>
      <c r="J132" s="35">
        <v>0</v>
      </c>
      <c r="K132" s="35">
        <v>0</v>
      </c>
      <c r="L132" s="35">
        <f>13597-5404</f>
        <v>8193</v>
      </c>
      <c r="M132" s="35">
        <f>3819+3892</f>
        <v>7711</v>
      </c>
      <c r="N132" s="35">
        <f>5219-2755-276</f>
        <v>2188</v>
      </c>
      <c r="O132" s="35">
        <f>1394+1177</f>
        <v>2571</v>
      </c>
      <c r="P132" s="35">
        <v>0</v>
      </c>
      <c r="Q132" s="35">
        <v>0</v>
      </c>
      <c r="R132" s="40">
        <f t="shared" si="4"/>
        <v>15788</v>
      </c>
      <c r="S132" s="35">
        <f t="shared" si="5"/>
        <v>15401</v>
      </c>
      <c r="T132" s="11">
        <v>582114</v>
      </c>
    </row>
    <row r="133" spans="1:20" ht="15.75" hidden="1">
      <c r="A133" s="48">
        <v>45848</v>
      </c>
      <c r="B133" s="22" t="s">
        <v>1500</v>
      </c>
      <c r="C133" s="40" t="s">
        <v>1493</v>
      </c>
      <c r="D133" s="35">
        <v>5514</v>
      </c>
      <c r="E133" s="35">
        <f>2604+969+1591</f>
        <v>5164</v>
      </c>
      <c r="F133" s="35">
        <v>2543</v>
      </c>
      <c r="G133" s="35">
        <f>1015+641+731</f>
        <v>2387</v>
      </c>
      <c r="H133" s="35">
        <v>0</v>
      </c>
      <c r="I133" s="35">
        <v>0</v>
      </c>
      <c r="J133" s="35">
        <v>0</v>
      </c>
      <c r="K133" s="35">
        <v>0</v>
      </c>
      <c r="L133" s="35">
        <v>5740</v>
      </c>
      <c r="M133" s="35">
        <f>2018+1147+2116</f>
        <v>5281</v>
      </c>
      <c r="N133" s="35">
        <v>3130</v>
      </c>
      <c r="O133" s="35">
        <f>1146+681+1412</f>
        <v>3239</v>
      </c>
      <c r="P133" s="35">
        <v>4743</v>
      </c>
      <c r="Q133" s="35">
        <f>3120+1447</f>
        <v>4567</v>
      </c>
      <c r="R133" s="40">
        <f t="shared" si="4"/>
        <v>21670</v>
      </c>
      <c r="S133" s="35">
        <f t="shared" si="5"/>
        <v>20638</v>
      </c>
      <c r="T133" s="11">
        <v>583134</v>
      </c>
    </row>
    <row r="134" spans="1:20" ht="15.75" hidden="1">
      <c r="A134" s="48">
        <v>45848</v>
      </c>
      <c r="B134" s="8" t="s">
        <v>109</v>
      </c>
      <c r="C134" s="40" t="s">
        <v>1493</v>
      </c>
      <c r="D134" s="35">
        <f>5391-1469</f>
        <v>3922</v>
      </c>
      <c r="E134" s="35">
        <f>2511+1660+131</f>
        <v>4302</v>
      </c>
      <c r="F134" s="35">
        <v>2457</v>
      </c>
      <c r="G134" s="35">
        <f>479+1153+118</f>
        <v>1750</v>
      </c>
      <c r="H134" s="35">
        <v>0</v>
      </c>
      <c r="I134" s="35">
        <v>0</v>
      </c>
      <c r="J134" s="35">
        <v>0</v>
      </c>
      <c r="K134" s="35">
        <v>0</v>
      </c>
      <c r="L134" s="35">
        <v>7467</v>
      </c>
      <c r="M134" s="35">
        <f>3370+2715+924</f>
        <v>7009</v>
      </c>
      <c r="N134" s="35">
        <v>4134</v>
      </c>
      <c r="O134" s="35">
        <f>1035+2052+282</f>
        <v>3369</v>
      </c>
      <c r="P134" s="35">
        <v>0</v>
      </c>
      <c r="Q134" s="35">
        <v>0</v>
      </c>
      <c r="R134" s="40">
        <f t="shared" si="4"/>
        <v>17980</v>
      </c>
      <c r="S134" s="35">
        <f t="shared" si="5"/>
        <v>16430</v>
      </c>
      <c r="T134" s="11">
        <v>582114</v>
      </c>
    </row>
    <row r="135" spans="1:20" ht="15.75" hidden="1">
      <c r="A135" s="48">
        <v>45848</v>
      </c>
      <c r="B135" s="56" t="s">
        <v>33</v>
      </c>
      <c r="C135" s="40" t="s">
        <v>1493</v>
      </c>
      <c r="D135" s="35">
        <f>4052-1592</f>
        <v>2460</v>
      </c>
      <c r="E135" s="35">
        <v>2138</v>
      </c>
      <c r="F135" s="35">
        <v>1211</v>
      </c>
      <c r="G135" s="35">
        <v>1152</v>
      </c>
      <c r="H135" s="35">
        <v>0</v>
      </c>
      <c r="I135" s="35">
        <v>0</v>
      </c>
      <c r="J135" s="35">
        <v>0</v>
      </c>
      <c r="K135" s="35">
        <v>0</v>
      </c>
      <c r="L135" s="35">
        <v>2522</v>
      </c>
      <c r="M135" s="35">
        <v>2459</v>
      </c>
      <c r="N135" s="35">
        <v>1141</v>
      </c>
      <c r="O135" s="35">
        <v>1096</v>
      </c>
      <c r="P135" s="35">
        <v>0</v>
      </c>
      <c r="Q135" s="35">
        <v>0</v>
      </c>
      <c r="R135" s="40">
        <f t="shared" si="4"/>
        <v>7334</v>
      </c>
      <c r="S135" s="35">
        <f t="shared" si="5"/>
        <v>6845</v>
      </c>
      <c r="T135" s="11">
        <v>583131</v>
      </c>
    </row>
    <row r="136" spans="1:20" hidden="1">
      <c r="A136" s="48">
        <v>45848</v>
      </c>
      <c r="B136" s="35" t="s">
        <v>1504</v>
      </c>
      <c r="C136" s="40" t="s">
        <v>1495</v>
      </c>
      <c r="D136" s="35">
        <f>4039-1857</f>
        <v>2182</v>
      </c>
      <c r="E136" s="35">
        <v>2040</v>
      </c>
      <c r="F136" s="35">
        <v>861</v>
      </c>
      <c r="G136" s="35">
        <v>851</v>
      </c>
      <c r="H136" s="35">
        <v>0</v>
      </c>
      <c r="I136" s="35">
        <v>0</v>
      </c>
      <c r="J136" s="35">
        <v>0</v>
      </c>
      <c r="K136" s="35">
        <v>0</v>
      </c>
      <c r="L136" s="35">
        <v>2515</v>
      </c>
      <c r="M136" s="35">
        <v>2403</v>
      </c>
      <c r="N136" s="35">
        <v>809</v>
      </c>
      <c r="O136" s="35">
        <v>853</v>
      </c>
      <c r="P136" s="35">
        <v>0</v>
      </c>
      <c r="Q136" s="35">
        <v>0</v>
      </c>
      <c r="R136" s="40">
        <f t="shared" si="4"/>
        <v>6367</v>
      </c>
      <c r="S136" s="35">
        <f t="shared" si="5"/>
        <v>6147</v>
      </c>
      <c r="T136" s="11">
        <v>583277</v>
      </c>
    </row>
    <row r="137" spans="1:20" ht="15.75" hidden="1">
      <c r="A137" s="48">
        <v>45849</v>
      </c>
      <c r="B137" s="22" t="s">
        <v>1500</v>
      </c>
      <c r="C137" s="40" t="s">
        <v>1493</v>
      </c>
      <c r="D137" s="40">
        <f>1007+1399+1715-86</f>
        <v>4035</v>
      </c>
      <c r="E137" s="35">
        <f>1313+1869+975</f>
        <v>4157</v>
      </c>
      <c r="F137" s="40">
        <f>524+542+939</f>
        <v>2005</v>
      </c>
      <c r="G137" s="35">
        <f>583+642+461</f>
        <v>1686</v>
      </c>
      <c r="H137" s="40">
        <v>0</v>
      </c>
      <c r="I137" s="35">
        <v>0</v>
      </c>
      <c r="J137" s="40">
        <v>0</v>
      </c>
      <c r="K137" s="35">
        <v>0</v>
      </c>
      <c r="L137" s="40">
        <f>1568+1618+2210</f>
        <v>5396</v>
      </c>
      <c r="M137" s="35">
        <f>1580+2143+1518</f>
        <v>5241</v>
      </c>
      <c r="N137" s="40">
        <v>3956</v>
      </c>
      <c r="O137" s="35">
        <f>1015+1925+621</f>
        <v>3561</v>
      </c>
      <c r="P137" s="40">
        <v>2024</v>
      </c>
      <c r="Q137" s="35">
        <v>2629</v>
      </c>
      <c r="R137" s="40">
        <f t="shared" si="4"/>
        <v>17416</v>
      </c>
      <c r="S137" s="35">
        <f t="shared" si="5"/>
        <v>17274</v>
      </c>
      <c r="T137" s="11">
        <v>583134</v>
      </c>
    </row>
    <row r="138" spans="1:20" ht="15.75" hidden="1">
      <c r="A138" s="48">
        <v>45849</v>
      </c>
      <c r="B138" s="8" t="s">
        <v>109</v>
      </c>
      <c r="C138" s="40" t="s">
        <v>1493</v>
      </c>
      <c r="D138" s="35">
        <f>1393+1849+1463</f>
        <v>4705</v>
      </c>
      <c r="E138" s="35">
        <f>1645+1573+1271</f>
        <v>4489</v>
      </c>
      <c r="F138" s="35">
        <f>674+1000+990</f>
        <v>2664</v>
      </c>
      <c r="G138" s="35">
        <f>834+926+607</f>
        <v>2367</v>
      </c>
      <c r="H138" s="35">
        <v>0</v>
      </c>
      <c r="I138" s="35">
        <v>0</v>
      </c>
      <c r="J138" s="35">
        <v>0</v>
      </c>
      <c r="K138" s="35">
        <v>0</v>
      </c>
      <c r="L138" s="35">
        <f>3003+2601+3860</f>
        <v>9464</v>
      </c>
      <c r="M138" s="35">
        <f>2766+3368+2765</f>
        <v>8899</v>
      </c>
      <c r="N138" s="35">
        <f>2354+2060+1622-450</f>
        <v>5586</v>
      </c>
      <c r="O138" s="35">
        <f>2005+1937+2602</f>
        <v>6544</v>
      </c>
      <c r="P138" s="35">
        <v>0</v>
      </c>
      <c r="Q138" s="35">
        <v>0</v>
      </c>
      <c r="R138" s="40">
        <f t="shared" si="4"/>
        <v>22419</v>
      </c>
      <c r="S138" s="35">
        <f t="shared" si="5"/>
        <v>22299</v>
      </c>
      <c r="T138" s="11">
        <v>582114</v>
      </c>
    </row>
    <row r="139" spans="1:20" ht="15.75" hidden="1">
      <c r="A139" s="48">
        <v>45849</v>
      </c>
      <c r="B139" s="56" t="s">
        <v>33</v>
      </c>
      <c r="C139" s="40" t="s">
        <v>1493</v>
      </c>
      <c r="D139" s="40">
        <f>2420-60</f>
        <v>2360</v>
      </c>
      <c r="E139" s="35">
        <v>2202</v>
      </c>
      <c r="F139" s="40">
        <f>1054-49</f>
        <v>1005</v>
      </c>
      <c r="G139" s="35">
        <v>1008</v>
      </c>
      <c r="H139" s="40">
        <v>0</v>
      </c>
      <c r="I139" s="35">
        <v>0</v>
      </c>
      <c r="J139" s="40">
        <v>0</v>
      </c>
      <c r="K139" s="35">
        <v>0</v>
      </c>
      <c r="L139" s="40">
        <v>2467</v>
      </c>
      <c r="M139" s="35">
        <v>2343</v>
      </c>
      <c r="N139" s="40">
        <v>1195</v>
      </c>
      <c r="O139" s="35">
        <v>1173</v>
      </c>
      <c r="P139" s="40">
        <v>0</v>
      </c>
      <c r="Q139" s="35">
        <v>0</v>
      </c>
      <c r="R139" s="40">
        <f t="shared" si="4"/>
        <v>7027</v>
      </c>
      <c r="S139" s="35">
        <f t="shared" si="5"/>
        <v>6726</v>
      </c>
      <c r="T139" s="11">
        <v>583131</v>
      </c>
    </row>
    <row r="140" spans="1:20" ht="15.75" hidden="1">
      <c r="A140" s="48">
        <v>45850</v>
      </c>
      <c r="B140" s="22" t="s">
        <v>1500</v>
      </c>
      <c r="C140" s="40" t="s">
        <v>1493</v>
      </c>
      <c r="D140" s="35">
        <v>4723</v>
      </c>
      <c r="E140" s="35">
        <f>1957+481+2158</f>
        <v>4596</v>
      </c>
      <c r="F140" s="35">
        <v>2259</v>
      </c>
      <c r="G140" s="35">
        <f>677+394+850</f>
        <v>1921</v>
      </c>
      <c r="H140" s="35">
        <v>0</v>
      </c>
      <c r="I140" s="35">
        <v>0</v>
      </c>
      <c r="J140" s="35">
        <v>0</v>
      </c>
      <c r="K140" s="35">
        <v>0</v>
      </c>
      <c r="L140" s="35">
        <v>5446</v>
      </c>
      <c r="M140" s="35">
        <f>1431+1446+2295</f>
        <v>5172</v>
      </c>
      <c r="N140" s="35">
        <v>2888</v>
      </c>
      <c r="O140" s="35">
        <f>718+943+1169</f>
        <v>2830</v>
      </c>
      <c r="P140" s="40">
        <f>1180+908</f>
        <v>2088</v>
      </c>
      <c r="Q140" s="35">
        <f>1122+870</f>
        <v>1992</v>
      </c>
      <c r="R140" s="40">
        <f t="shared" si="4"/>
        <v>17404</v>
      </c>
      <c r="S140" s="35">
        <f t="shared" si="5"/>
        <v>16511</v>
      </c>
      <c r="T140" s="11">
        <v>583134</v>
      </c>
    </row>
    <row r="141" spans="1:20" ht="15.75" hidden="1">
      <c r="A141" s="48">
        <v>45850</v>
      </c>
      <c r="B141" s="56" t="s">
        <v>33</v>
      </c>
      <c r="C141" s="40" t="s">
        <v>1493</v>
      </c>
      <c r="D141" s="40">
        <f>4251.5-112</f>
        <v>4139.5</v>
      </c>
      <c r="E141" s="35">
        <f>1738+2152</f>
        <v>3890</v>
      </c>
      <c r="F141" s="40">
        <v>1952</v>
      </c>
      <c r="G141" s="35">
        <f>604+1229</f>
        <v>1833</v>
      </c>
      <c r="H141" s="40">
        <v>0</v>
      </c>
      <c r="I141" s="35">
        <v>0</v>
      </c>
      <c r="J141" s="40">
        <v>0</v>
      </c>
      <c r="K141" s="35">
        <v>0</v>
      </c>
      <c r="L141" s="40">
        <v>4426</v>
      </c>
      <c r="M141" s="35">
        <f>1466+2646</f>
        <v>4112</v>
      </c>
      <c r="N141" s="40">
        <v>1648</v>
      </c>
      <c r="O141" s="35">
        <f>545+1044</f>
        <v>1589</v>
      </c>
      <c r="P141" s="40">
        <v>0</v>
      </c>
      <c r="Q141" s="35">
        <v>0</v>
      </c>
      <c r="R141" s="40">
        <f t="shared" si="4"/>
        <v>12165.5</v>
      </c>
      <c r="S141" s="35">
        <f t="shared" si="5"/>
        <v>11424</v>
      </c>
      <c r="T141" s="11">
        <v>583131</v>
      </c>
    </row>
    <row r="142" spans="1:20" ht="15.75" hidden="1">
      <c r="A142" s="48">
        <v>45850</v>
      </c>
      <c r="B142" s="8" t="s">
        <v>109</v>
      </c>
      <c r="C142" s="40" t="s">
        <v>1493</v>
      </c>
      <c r="D142" s="35">
        <f>2221+2067</f>
        <v>4288</v>
      </c>
      <c r="E142" s="35">
        <f>1914+1978</f>
        <v>3892</v>
      </c>
      <c r="F142" s="35">
        <f>1037+1309</f>
        <v>2346</v>
      </c>
      <c r="G142" s="35">
        <f>1016+1072</f>
        <v>2088</v>
      </c>
      <c r="H142" s="35">
        <v>0</v>
      </c>
      <c r="I142" s="35">
        <v>0</v>
      </c>
      <c r="J142" s="35">
        <v>0</v>
      </c>
      <c r="K142" s="35">
        <v>0</v>
      </c>
      <c r="L142" s="35">
        <f>3195+2880</f>
        <v>6075</v>
      </c>
      <c r="M142" s="35">
        <f>2973+3046</f>
        <v>6019</v>
      </c>
      <c r="N142" s="35">
        <f>1311+1197</f>
        <v>2508</v>
      </c>
      <c r="O142" s="35">
        <f>1251+1255</f>
        <v>2506</v>
      </c>
      <c r="P142" s="35">
        <v>0</v>
      </c>
      <c r="Q142" s="35">
        <v>0</v>
      </c>
      <c r="R142" s="40">
        <f t="shared" si="4"/>
        <v>15217</v>
      </c>
      <c r="S142" s="35">
        <f t="shared" si="5"/>
        <v>14505</v>
      </c>
      <c r="T142" s="11">
        <v>582114</v>
      </c>
    </row>
    <row r="143" spans="1:20" ht="15.75" hidden="1">
      <c r="A143" s="48">
        <v>45851</v>
      </c>
      <c r="B143" s="22" t="s">
        <v>1500</v>
      </c>
      <c r="C143" s="40" t="s">
        <v>1493</v>
      </c>
      <c r="D143" s="35">
        <f>5514-1943</f>
        <v>3571</v>
      </c>
      <c r="E143" s="35">
        <f>1598+1925</f>
        <v>3523</v>
      </c>
      <c r="F143" s="35">
        <v>1966</v>
      </c>
      <c r="G143" s="35">
        <f>931+914</f>
        <v>1845</v>
      </c>
      <c r="H143" s="35">
        <v>0</v>
      </c>
      <c r="I143" s="35">
        <v>0</v>
      </c>
      <c r="J143" s="35">
        <v>0</v>
      </c>
      <c r="K143" s="35">
        <v>0</v>
      </c>
      <c r="L143" s="35">
        <v>5047</v>
      </c>
      <c r="M143" s="35">
        <f>3170+1885</f>
        <v>5055</v>
      </c>
      <c r="N143" s="35">
        <v>2761</v>
      </c>
      <c r="O143" s="35">
        <f>1910+1930-1055</f>
        <v>2785</v>
      </c>
      <c r="P143" s="35">
        <v>1339</v>
      </c>
      <c r="Q143" s="35">
        <v>1055</v>
      </c>
      <c r="R143" s="40">
        <f t="shared" si="4"/>
        <v>14684</v>
      </c>
      <c r="S143" s="35">
        <f t="shared" si="5"/>
        <v>14263</v>
      </c>
      <c r="T143" s="11">
        <v>583134</v>
      </c>
    </row>
    <row r="144" spans="1:20" ht="15.75" hidden="1">
      <c r="A144" s="48">
        <v>45851</v>
      </c>
      <c r="B144" s="8" t="s">
        <v>109</v>
      </c>
      <c r="C144" s="40" t="s">
        <v>1493</v>
      </c>
      <c r="D144" s="35">
        <f>6607-486</f>
        <v>6121</v>
      </c>
      <c r="E144" s="35">
        <f>2136+2182+1453</f>
        <v>5771</v>
      </c>
      <c r="F144" s="35">
        <v>3480</v>
      </c>
      <c r="G144" s="35">
        <f>1193+1177+910</f>
        <v>3280</v>
      </c>
      <c r="H144" s="35">
        <v>0</v>
      </c>
      <c r="I144" s="35">
        <v>0</v>
      </c>
      <c r="J144" s="35">
        <v>0</v>
      </c>
      <c r="K144" s="35">
        <v>0</v>
      </c>
      <c r="L144" s="35">
        <v>9012</v>
      </c>
      <c r="M144" s="35">
        <f>2998+3018+2690</f>
        <v>8706</v>
      </c>
      <c r="N144" s="35">
        <v>3875</v>
      </c>
      <c r="O144" s="35">
        <f>1135+1121+1543</f>
        <v>3799</v>
      </c>
      <c r="P144" s="35">
        <v>0</v>
      </c>
      <c r="Q144" s="35">
        <v>0</v>
      </c>
      <c r="R144" s="40">
        <f t="shared" si="4"/>
        <v>22488</v>
      </c>
      <c r="S144" s="35">
        <f t="shared" si="5"/>
        <v>21556</v>
      </c>
      <c r="T144" s="11">
        <v>582114</v>
      </c>
    </row>
    <row r="145" spans="1:20" ht="15.75" hidden="1">
      <c r="A145" s="48">
        <v>45851</v>
      </c>
      <c r="B145" s="56" t="s">
        <v>33</v>
      </c>
      <c r="C145" s="40" t="s">
        <v>1493</v>
      </c>
      <c r="D145" s="40">
        <v>4816</v>
      </c>
      <c r="E145" s="35">
        <f>2574+1741</f>
        <v>4315</v>
      </c>
      <c r="F145" s="40">
        <v>2299</v>
      </c>
      <c r="G145" s="35">
        <f>823+896</f>
        <v>1719</v>
      </c>
      <c r="H145" s="40">
        <v>0</v>
      </c>
      <c r="I145" s="35">
        <v>0</v>
      </c>
      <c r="J145" s="40">
        <v>0</v>
      </c>
      <c r="K145" s="35">
        <v>0</v>
      </c>
      <c r="L145" s="40">
        <v>4613</v>
      </c>
      <c r="M145" s="35">
        <f>2208+2321</f>
        <v>4529</v>
      </c>
      <c r="N145" s="40">
        <v>1913</v>
      </c>
      <c r="O145" s="35">
        <f>741+995</f>
        <v>1736</v>
      </c>
      <c r="P145" s="40">
        <v>0</v>
      </c>
      <c r="Q145" s="35">
        <v>0</v>
      </c>
      <c r="R145" s="40">
        <f t="shared" si="4"/>
        <v>13641</v>
      </c>
      <c r="S145" s="35">
        <f t="shared" si="5"/>
        <v>12299</v>
      </c>
      <c r="T145" s="11">
        <v>583131</v>
      </c>
    </row>
    <row r="146" spans="1:20" hidden="1">
      <c r="A146" s="48">
        <v>45852</v>
      </c>
      <c r="B146" s="35" t="s">
        <v>1505</v>
      </c>
      <c r="C146" s="40" t="s">
        <v>1496</v>
      </c>
      <c r="D146" s="35">
        <v>0</v>
      </c>
      <c r="E146" s="35">
        <v>0</v>
      </c>
      <c r="F146" s="35">
        <v>1639.9</v>
      </c>
      <c r="G146" s="35">
        <v>1525</v>
      </c>
      <c r="H146" s="35">
        <v>0</v>
      </c>
      <c r="I146" s="35">
        <v>0</v>
      </c>
      <c r="J146" s="35">
        <v>0</v>
      </c>
      <c r="K146" s="35">
        <v>0</v>
      </c>
      <c r="L146" s="35">
        <v>2231.5</v>
      </c>
      <c r="M146" s="35">
        <v>2053</v>
      </c>
      <c r="N146" s="35">
        <v>1602.1</v>
      </c>
      <c r="O146" s="35">
        <v>1635</v>
      </c>
      <c r="P146" s="35">
        <v>0</v>
      </c>
      <c r="Q146" s="35">
        <v>0</v>
      </c>
      <c r="R146" s="40">
        <f t="shared" si="4"/>
        <v>5473.5</v>
      </c>
      <c r="S146" s="35">
        <f t="shared" si="5"/>
        <v>5213</v>
      </c>
      <c r="T146" s="11">
        <v>606202</v>
      </c>
    </row>
    <row r="147" spans="1:20" ht="15.75" hidden="1">
      <c r="A147" s="48">
        <v>45852</v>
      </c>
      <c r="B147" s="22" t="s">
        <v>1500</v>
      </c>
      <c r="C147" s="40" t="s">
        <v>1493</v>
      </c>
      <c r="D147" s="35">
        <f>4656-1190</f>
        <v>3466</v>
      </c>
      <c r="E147" s="35">
        <f>852+2456</f>
        <v>3308</v>
      </c>
      <c r="F147" s="35">
        <v>1483</v>
      </c>
      <c r="G147" s="35">
        <f>270+1158</f>
        <v>1428</v>
      </c>
      <c r="H147" s="35">
        <v>0</v>
      </c>
      <c r="I147" s="35">
        <v>0</v>
      </c>
      <c r="J147" s="35">
        <v>0</v>
      </c>
      <c r="K147" s="35">
        <v>0</v>
      </c>
      <c r="L147" s="35">
        <v>3175</v>
      </c>
      <c r="M147" s="35">
        <f>1146+2633</f>
        <v>3779</v>
      </c>
      <c r="N147" s="35">
        <v>2379</v>
      </c>
      <c r="O147" s="35">
        <f>1129+1328</f>
        <v>2457</v>
      </c>
      <c r="P147" s="35">
        <v>4327</v>
      </c>
      <c r="Q147" s="35">
        <v>4046</v>
      </c>
      <c r="R147" s="40">
        <f t="shared" si="4"/>
        <v>14830</v>
      </c>
      <c r="S147" s="35">
        <f t="shared" si="5"/>
        <v>15018</v>
      </c>
      <c r="T147" s="11">
        <v>583134</v>
      </c>
    </row>
    <row r="148" spans="1:20" ht="15.75" hidden="1">
      <c r="A148" s="48">
        <v>45852</v>
      </c>
      <c r="B148" s="8" t="s">
        <v>109</v>
      </c>
      <c r="C148" s="40" t="s">
        <v>1493</v>
      </c>
      <c r="D148" s="35">
        <v>6121</v>
      </c>
      <c r="E148" s="35">
        <f>1704+1788+2212</f>
        <v>5704</v>
      </c>
      <c r="F148" s="35">
        <v>3048</v>
      </c>
      <c r="G148" s="35">
        <f>910+919+984</f>
        <v>2813</v>
      </c>
      <c r="H148" s="35">
        <v>0</v>
      </c>
      <c r="I148" s="35">
        <v>0</v>
      </c>
      <c r="J148" s="35">
        <v>0</v>
      </c>
      <c r="K148" s="35">
        <v>0</v>
      </c>
      <c r="L148" s="35">
        <v>8431</v>
      </c>
      <c r="M148" s="35">
        <f>2779+2824+2638</f>
        <v>8241</v>
      </c>
      <c r="N148" s="35">
        <v>3736</v>
      </c>
      <c r="O148" s="35">
        <f>649+1724+1202</f>
        <v>3575</v>
      </c>
      <c r="P148" s="35">
        <v>0</v>
      </c>
      <c r="Q148" s="35">
        <v>0</v>
      </c>
      <c r="R148" s="40">
        <f t="shared" si="4"/>
        <v>21336</v>
      </c>
      <c r="S148" s="35">
        <f t="shared" si="5"/>
        <v>20333</v>
      </c>
      <c r="T148" s="11">
        <v>582114</v>
      </c>
    </row>
    <row r="149" spans="1:20" ht="15.75" hidden="1">
      <c r="A149" s="48">
        <v>45852</v>
      </c>
      <c r="B149" s="56" t="s">
        <v>33</v>
      </c>
      <c r="C149" s="40" t="s">
        <v>1493</v>
      </c>
      <c r="D149" s="35">
        <f>4204-1233</f>
        <v>2971</v>
      </c>
      <c r="E149" s="35">
        <v>2710</v>
      </c>
      <c r="F149" s="35">
        <v>893</v>
      </c>
      <c r="G149" s="35">
        <v>837</v>
      </c>
      <c r="H149" s="35">
        <v>0</v>
      </c>
      <c r="I149" s="35">
        <v>0</v>
      </c>
      <c r="J149" s="35">
        <v>0</v>
      </c>
      <c r="K149" s="35">
        <v>0</v>
      </c>
      <c r="L149" s="35">
        <v>2716</v>
      </c>
      <c r="M149" s="35">
        <v>2715</v>
      </c>
      <c r="N149" s="40">
        <v>859</v>
      </c>
      <c r="O149" s="35">
        <v>839</v>
      </c>
      <c r="P149" s="35">
        <v>0</v>
      </c>
      <c r="Q149" s="35">
        <v>0</v>
      </c>
      <c r="R149" s="40">
        <f t="shared" si="4"/>
        <v>7439</v>
      </c>
      <c r="S149" s="35">
        <f t="shared" si="5"/>
        <v>7101</v>
      </c>
      <c r="T149" s="11">
        <v>583131</v>
      </c>
    </row>
    <row r="150" spans="1:20" ht="15.75" hidden="1">
      <c r="A150" s="48">
        <v>45853</v>
      </c>
      <c r="B150" s="8" t="s">
        <v>109</v>
      </c>
      <c r="C150" s="40" t="s">
        <v>1493</v>
      </c>
      <c r="D150" s="35">
        <f>5903-1218</f>
        <v>4685</v>
      </c>
      <c r="E150" s="35">
        <f>2117+2256</f>
        <v>4373</v>
      </c>
      <c r="F150" s="35">
        <v>2441</v>
      </c>
      <c r="G150" s="35">
        <f>1140+1243</f>
        <v>2383</v>
      </c>
      <c r="H150" s="35">
        <v>0</v>
      </c>
      <c r="I150" s="35">
        <v>0</v>
      </c>
      <c r="J150" s="35">
        <v>0</v>
      </c>
      <c r="K150" s="35">
        <v>0</v>
      </c>
      <c r="L150" s="35">
        <v>5824</v>
      </c>
      <c r="M150" s="35">
        <f>2940+2715</f>
        <v>5655</v>
      </c>
      <c r="N150" s="35">
        <v>2137</v>
      </c>
      <c r="O150" s="35">
        <f>955+1207</f>
        <v>2162</v>
      </c>
      <c r="P150" s="35">
        <v>0</v>
      </c>
      <c r="Q150" s="35">
        <v>0</v>
      </c>
      <c r="R150" s="40">
        <f t="shared" si="4"/>
        <v>15087</v>
      </c>
      <c r="S150" s="35">
        <f t="shared" si="5"/>
        <v>14573</v>
      </c>
      <c r="T150" s="11">
        <v>582114</v>
      </c>
    </row>
    <row r="151" spans="1:20" ht="15.75" hidden="1">
      <c r="A151" s="48">
        <v>45853</v>
      </c>
      <c r="B151" s="22" t="s">
        <v>1500</v>
      </c>
      <c r="C151" s="40" t="s">
        <v>1493</v>
      </c>
      <c r="D151" s="35">
        <f>4832-815</f>
        <v>4017</v>
      </c>
      <c r="E151" s="35">
        <f>1260+2640</f>
        <v>3900</v>
      </c>
      <c r="F151" s="35">
        <v>1717</v>
      </c>
      <c r="G151" s="35">
        <f>536+1066</f>
        <v>1602</v>
      </c>
      <c r="H151" s="35">
        <v>0</v>
      </c>
      <c r="I151" s="35">
        <v>0</v>
      </c>
      <c r="J151" s="35">
        <v>0</v>
      </c>
      <c r="K151" s="35">
        <v>0</v>
      </c>
      <c r="L151" s="35">
        <v>4355</v>
      </c>
      <c r="M151" s="35">
        <f>1940+2240</f>
        <v>4180</v>
      </c>
      <c r="N151" s="35">
        <v>2828</v>
      </c>
      <c r="O151" s="35">
        <f>1416+1432</f>
        <v>2848</v>
      </c>
      <c r="P151" s="35">
        <v>1322</v>
      </c>
      <c r="Q151" s="35">
        <v>1283</v>
      </c>
      <c r="R151" s="40">
        <f t="shared" si="4"/>
        <v>14239</v>
      </c>
      <c r="S151" s="35">
        <f t="shared" si="5"/>
        <v>13813</v>
      </c>
      <c r="T151" s="11">
        <v>583134</v>
      </c>
    </row>
    <row r="152" spans="1:20" ht="15.75" hidden="1">
      <c r="A152" s="48">
        <v>45853</v>
      </c>
      <c r="B152" s="56" t="s">
        <v>33</v>
      </c>
      <c r="C152" s="40" t="s">
        <v>1493</v>
      </c>
      <c r="D152" s="40">
        <v>4269.5</v>
      </c>
      <c r="E152" s="35">
        <f>2159+1695</f>
        <v>3854</v>
      </c>
      <c r="F152" s="40">
        <v>1824</v>
      </c>
      <c r="G152" s="35">
        <f>687+966</f>
        <v>1653</v>
      </c>
      <c r="H152" s="40">
        <v>0</v>
      </c>
      <c r="I152" s="35">
        <v>0</v>
      </c>
      <c r="J152" s="40">
        <v>0</v>
      </c>
      <c r="K152" s="35">
        <v>0</v>
      </c>
      <c r="L152" s="40">
        <v>4895</v>
      </c>
      <c r="M152" s="35">
        <f>2256+2415</f>
        <v>4671</v>
      </c>
      <c r="N152" s="40">
        <v>1638</v>
      </c>
      <c r="O152" s="35">
        <f>702+912</f>
        <v>1614</v>
      </c>
      <c r="P152" s="40">
        <v>0</v>
      </c>
      <c r="Q152" s="35">
        <v>0</v>
      </c>
      <c r="R152" s="40">
        <f t="shared" si="4"/>
        <v>12626.5</v>
      </c>
      <c r="S152" s="35">
        <f t="shared" si="5"/>
        <v>11792</v>
      </c>
      <c r="T152" s="11">
        <v>583131</v>
      </c>
    </row>
    <row r="153" spans="1:20" hidden="1">
      <c r="A153" s="48">
        <v>45854</v>
      </c>
      <c r="B153" s="35" t="s">
        <v>1505</v>
      </c>
      <c r="C153" s="40" t="s">
        <v>1496</v>
      </c>
      <c r="D153" s="35">
        <v>0</v>
      </c>
      <c r="E153" s="35">
        <v>0</v>
      </c>
      <c r="F153" s="35">
        <f>2648.9-27</f>
        <v>2621.9</v>
      </c>
      <c r="G153" s="35">
        <v>2482</v>
      </c>
      <c r="H153" s="35">
        <v>0</v>
      </c>
      <c r="I153" s="35">
        <v>0</v>
      </c>
      <c r="J153" s="35">
        <v>0</v>
      </c>
      <c r="K153" s="35" t="s">
        <v>1492</v>
      </c>
      <c r="L153" s="35">
        <f>2334.86-73</f>
        <v>2261.86</v>
      </c>
      <c r="M153" s="35">
        <v>2181</v>
      </c>
      <c r="N153" s="35">
        <f>487.4-92</f>
        <v>395.4</v>
      </c>
      <c r="O153" s="35">
        <v>322</v>
      </c>
      <c r="P153" s="35">
        <v>0</v>
      </c>
      <c r="Q153" s="35">
        <v>0</v>
      </c>
      <c r="R153" s="40">
        <f t="shared" si="4"/>
        <v>5279.16</v>
      </c>
      <c r="S153" s="35">
        <f t="shared" si="5"/>
        <v>4985</v>
      </c>
      <c r="T153" s="11">
        <v>606202</v>
      </c>
    </row>
    <row r="154" spans="1:20" ht="15.75" hidden="1">
      <c r="A154" s="48">
        <v>45854</v>
      </c>
      <c r="B154" s="8" t="s">
        <v>109</v>
      </c>
      <c r="C154" s="40" t="s">
        <v>1493</v>
      </c>
      <c r="D154" s="35">
        <f>5287-1073</f>
        <v>4214</v>
      </c>
      <c r="E154" s="35">
        <f>2281+1637</f>
        <v>3918</v>
      </c>
      <c r="F154" s="35">
        <v>2261</v>
      </c>
      <c r="G154" s="35">
        <f>1155+826</f>
        <v>1981</v>
      </c>
      <c r="H154" s="35">
        <v>0</v>
      </c>
      <c r="I154" s="35">
        <v>0</v>
      </c>
      <c r="J154" s="35">
        <v>0</v>
      </c>
      <c r="K154" s="35">
        <v>0</v>
      </c>
      <c r="L154" s="35">
        <v>5900</v>
      </c>
      <c r="M154" s="35">
        <f>2776+2547</f>
        <v>5323</v>
      </c>
      <c r="N154" s="35">
        <v>2295</v>
      </c>
      <c r="O154" s="35">
        <f>1256+1612</f>
        <v>2868</v>
      </c>
      <c r="P154" s="35">
        <v>0</v>
      </c>
      <c r="Q154" s="35">
        <v>0</v>
      </c>
      <c r="R154" s="40">
        <f t="shared" si="4"/>
        <v>14670</v>
      </c>
      <c r="S154" s="35">
        <f t="shared" si="5"/>
        <v>14090</v>
      </c>
      <c r="T154" s="11">
        <v>582114</v>
      </c>
    </row>
    <row r="155" spans="1:20" ht="15.75" hidden="1">
      <c r="A155" s="48">
        <v>45854</v>
      </c>
      <c r="B155" s="22" t="s">
        <v>1500</v>
      </c>
      <c r="C155" s="40" t="s">
        <v>1493</v>
      </c>
      <c r="D155" s="35">
        <f>3715-517</f>
        <v>3198</v>
      </c>
      <c r="E155" s="35">
        <f>1256+1802</f>
        <v>3058</v>
      </c>
      <c r="F155" s="35">
        <v>1535</v>
      </c>
      <c r="G155" s="35">
        <f>528+880</f>
        <v>1408</v>
      </c>
      <c r="H155" s="35">
        <v>0</v>
      </c>
      <c r="I155" s="35">
        <v>0</v>
      </c>
      <c r="J155" s="35">
        <v>0</v>
      </c>
      <c r="K155" s="35">
        <v>0</v>
      </c>
      <c r="L155" s="35">
        <v>4185</v>
      </c>
      <c r="M155" s="35">
        <f>1494+2621</f>
        <v>4115</v>
      </c>
      <c r="N155" s="35">
        <v>2718</v>
      </c>
      <c r="O155" s="35">
        <f>1023+1783</f>
        <v>2806</v>
      </c>
      <c r="P155" s="35">
        <v>0</v>
      </c>
      <c r="Q155" s="35">
        <v>2447</v>
      </c>
      <c r="R155" s="40">
        <f t="shared" si="4"/>
        <v>11636</v>
      </c>
      <c r="S155" s="35">
        <f t="shared" si="5"/>
        <v>13834</v>
      </c>
      <c r="T155" s="11">
        <v>583134</v>
      </c>
    </row>
    <row r="156" spans="1:20" ht="15.75" hidden="1">
      <c r="A156" s="48">
        <v>45854</v>
      </c>
      <c r="B156" s="56" t="s">
        <v>33</v>
      </c>
      <c r="C156" s="40" t="s">
        <v>1493</v>
      </c>
      <c r="D156" s="35">
        <f>3739-810</f>
        <v>2929</v>
      </c>
      <c r="E156" s="35">
        <v>2523</v>
      </c>
      <c r="F156" s="35">
        <v>1223</v>
      </c>
      <c r="G156" s="35">
        <v>984</v>
      </c>
      <c r="H156" s="35">
        <v>0</v>
      </c>
      <c r="I156" s="35">
        <v>0</v>
      </c>
      <c r="J156" s="35">
        <v>0</v>
      </c>
      <c r="K156" s="35">
        <v>0</v>
      </c>
      <c r="L156" s="35">
        <v>2920</v>
      </c>
      <c r="M156" s="35">
        <v>2900</v>
      </c>
      <c r="N156" s="35">
        <v>917</v>
      </c>
      <c r="O156" s="35">
        <v>916</v>
      </c>
      <c r="P156" s="35">
        <v>0</v>
      </c>
      <c r="Q156" s="35">
        <v>0</v>
      </c>
      <c r="R156" s="40">
        <f t="shared" si="4"/>
        <v>7989</v>
      </c>
      <c r="S156" s="35">
        <f t="shared" si="5"/>
        <v>7323</v>
      </c>
      <c r="T156" s="11">
        <v>583131</v>
      </c>
    </row>
    <row r="157" spans="1:20" ht="15.75" hidden="1">
      <c r="A157" s="48">
        <v>45855</v>
      </c>
      <c r="B157" s="22" t="s">
        <v>1500</v>
      </c>
      <c r="C157" s="40" t="s">
        <v>1493</v>
      </c>
      <c r="D157" s="35">
        <f>1319+97</f>
        <v>1416</v>
      </c>
      <c r="E157" s="35">
        <v>1391</v>
      </c>
      <c r="F157" s="35">
        <v>705</v>
      </c>
      <c r="G157" s="35">
        <v>647</v>
      </c>
      <c r="H157" s="35">
        <v>0</v>
      </c>
      <c r="I157" s="35">
        <v>0</v>
      </c>
      <c r="J157" s="35">
        <v>0</v>
      </c>
      <c r="K157" s="35">
        <v>0</v>
      </c>
      <c r="L157" s="35">
        <v>1683</v>
      </c>
      <c r="M157" s="35">
        <v>1647</v>
      </c>
      <c r="N157" s="35">
        <v>884</v>
      </c>
      <c r="O157" s="35">
        <v>880</v>
      </c>
      <c r="P157" s="35">
        <v>2981</v>
      </c>
      <c r="Q157" s="35">
        <v>2873</v>
      </c>
      <c r="R157" s="40">
        <f t="shared" si="4"/>
        <v>7669</v>
      </c>
      <c r="S157" s="35">
        <f t="shared" si="5"/>
        <v>7438</v>
      </c>
      <c r="T157" s="11">
        <v>583134</v>
      </c>
    </row>
    <row r="158" spans="1:20" ht="15.75" hidden="1">
      <c r="A158" s="49">
        <v>45855</v>
      </c>
      <c r="B158" s="22" t="s">
        <v>1500</v>
      </c>
      <c r="C158" s="40" t="s">
        <v>1493</v>
      </c>
      <c r="D158" s="35">
        <f>1909-97</f>
        <v>1812</v>
      </c>
      <c r="E158" s="40">
        <f>1672+78</f>
        <v>1750</v>
      </c>
      <c r="F158" s="35">
        <v>894</v>
      </c>
      <c r="G158" s="40">
        <v>766</v>
      </c>
      <c r="H158" s="35">
        <v>0</v>
      </c>
      <c r="I158" s="40">
        <v>0</v>
      </c>
      <c r="J158" s="35">
        <v>0</v>
      </c>
      <c r="K158" s="40">
        <v>0</v>
      </c>
      <c r="L158" s="35">
        <v>2368</v>
      </c>
      <c r="M158" s="40">
        <v>1902</v>
      </c>
      <c r="N158" s="35">
        <v>1130</v>
      </c>
      <c r="O158" s="40">
        <v>1529</v>
      </c>
      <c r="P158" s="35">
        <v>120</v>
      </c>
      <c r="Q158" s="40">
        <v>140</v>
      </c>
      <c r="R158" s="40">
        <f t="shared" si="4"/>
        <v>6324</v>
      </c>
      <c r="S158" s="35">
        <f t="shared" si="5"/>
        <v>6087</v>
      </c>
      <c r="T158" s="11">
        <v>583134</v>
      </c>
    </row>
    <row r="159" spans="1:20" ht="15.75" hidden="1">
      <c r="A159" s="48">
        <v>45855</v>
      </c>
      <c r="B159" s="22" t="s">
        <v>1500</v>
      </c>
      <c r="C159" s="40" t="s">
        <v>1493</v>
      </c>
      <c r="D159" s="35">
        <v>1077</v>
      </c>
      <c r="E159" s="35">
        <v>1054</v>
      </c>
      <c r="F159" s="35">
        <v>521</v>
      </c>
      <c r="G159" s="35">
        <v>453</v>
      </c>
      <c r="H159" s="35">
        <v>0</v>
      </c>
      <c r="I159" s="35">
        <v>0</v>
      </c>
      <c r="J159" s="35">
        <v>0</v>
      </c>
      <c r="K159" s="35">
        <v>0</v>
      </c>
      <c r="L159" s="35">
        <v>1582</v>
      </c>
      <c r="M159" s="35">
        <v>1530</v>
      </c>
      <c r="N159" s="35">
        <v>1055</v>
      </c>
      <c r="O159" s="35">
        <v>1022</v>
      </c>
      <c r="P159" s="35">
        <v>0</v>
      </c>
      <c r="Q159" s="35">
        <v>0</v>
      </c>
      <c r="R159" s="40">
        <f t="shared" si="4"/>
        <v>4235</v>
      </c>
      <c r="S159" s="35">
        <f t="shared" si="5"/>
        <v>4059</v>
      </c>
      <c r="T159" s="11">
        <v>583134</v>
      </c>
    </row>
    <row r="160" spans="1:20" ht="15.75" hidden="1">
      <c r="A160" s="48">
        <v>45855</v>
      </c>
      <c r="B160" s="56" t="s">
        <v>33</v>
      </c>
      <c r="C160" s="40" t="s">
        <v>1493</v>
      </c>
      <c r="D160" s="40">
        <v>2885</v>
      </c>
      <c r="E160" s="35">
        <v>2675</v>
      </c>
      <c r="F160" s="40">
        <v>1098</v>
      </c>
      <c r="G160" s="35">
        <v>1022</v>
      </c>
      <c r="H160" s="40">
        <v>0</v>
      </c>
      <c r="I160" s="35">
        <v>0</v>
      </c>
      <c r="J160" s="40">
        <v>0</v>
      </c>
      <c r="K160" s="35">
        <v>0</v>
      </c>
      <c r="L160" s="40">
        <v>2832</v>
      </c>
      <c r="M160" s="35">
        <v>2831</v>
      </c>
      <c r="N160" s="40">
        <v>727</v>
      </c>
      <c r="O160" s="35">
        <v>808</v>
      </c>
      <c r="P160" s="40">
        <v>0</v>
      </c>
      <c r="Q160" s="35">
        <v>0</v>
      </c>
      <c r="R160" s="40">
        <f t="shared" si="4"/>
        <v>7542</v>
      </c>
      <c r="S160" s="35">
        <f t="shared" si="5"/>
        <v>7336</v>
      </c>
      <c r="T160" s="11">
        <v>583131</v>
      </c>
    </row>
    <row r="161" spans="1:20" ht="15.75" hidden="1">
      <c r="A161" s="48">
        <v>45855</v>
      </c>
      <c r="B161" s="56" t="s">
        <v>33</v>
      </c>
      <c r="C161" s="40" t="s">
        <v>1493</v>
      </c>
      <c r="D161" s="40">
        <v>310.5</v>
      </c>
      <c r="E161" s="35">
        <v>303</v>
      </c>
      <c r="F161" s="40">
        <v>160.5</v>
      </c>
      <c r="G161" s="35">
        <v>138</v>
      </c>
      <c r="H161" s="40">
        <v>0</v>
      </c>
      <c r="I161" s="35">
        <v>0</v>
      </c>
      <c r="J161" s="40">
        <v>0</v>
      </c>
      <c r="K161" s="35">
        <v>0</v>
      </c>
      <c r="L161" s="40">
        <v>407</v>
      </c>
      <c r="M161" s="35">
        <v>393</v>
      </c>
      <c r="N161" s="40">
        <v>111</v>
      </c>
      <c r="O161" s="35">
        <v>108</v>
      </c>
      <c r="P161" s="40">
        <v>0</v>
      </c>
      <c r="Q161" s="35">
        <v>0</v>
      </c>
      <c r="R161" s="40">
        <f t="shared" si="4"/>
        <v>989</v>
      </c>
      <c r="S161" s="35">
        <f t="shared" si="5"/>
        <v>942</v>
      </c>
      <c r="T161" s="11">
        <v>583131</v>
      </c>
    </row>
    <row r="162" spans="1:20" hidden="1">
      <c r="A162" s="48">
        <v>45856</v>
      </c>
      <c r="B162" s="35" t="s">
        <v>1505</v>
      </c>
      <c r="C162" s="40" t="s">
        <v>1496</v>
      </c>
      <c r="D162" s="35">
        <v>0</v>
      </c>
      <c r="E162" s="35">
        <v>0</v>
      </c>
      <c r="F162" s="35">
        <v>3539</v>
      </c>
      <c r="G162" s="35">
        <v>3401</v>
      </c>
      <c r="H162" s="35">
        <v>0</v>
      </c>
      <c r="I162" s="35">
        <v>0</v>
      </c>
      <c r="J162" s="35">
        <v>0</v>
      </c>
      <c r="K162" s="35">
        <v>0</v>
      </c>
      <c r="L162" s="35">
        <v>2565</v>
      </c>
      <c r="M162" s="35">
        <v>2481</v>
      </c>
      <c r="N162" s="35">
        <v>332</v>
      </c>
      <c r="O162" s="35">
        <v>327</v>
      </c>
      <c r="P162" s="35">
        <v>0</v>
      </c>
      <c r="Q162" s="35">
        <v>0</v>
      </c>
      <c r="R162" s="40">
        <f t="shared" si="4"/>
        <v>6436</v>
      </c>
      <c r="S162" s="35">
        <f t="shared" si="5"/>
        <v>6209</v>
      </c>
      <c r="T162" s="11">
        <v>606202</v>
      </c>
    </row>
    <row r="163" spans="1:20" ht="15.75" hidden="1">
      <c r="A163" s="48">
        <v>45856</v>
      </c>
      <c r="B163" s="56" t="s">
        <v>33</v>
      </c>
      <c r="C163" s="40" t="s">
        <v>1493</v>
      </c>
      <c r="D163" s="40">
        <v>2219.5</v>
      </c>
      <c r="E163" s="35">
        <v>1966</v>
      </c>
      <c r="F163" s="40">
        <v>956</v>
      </c>
      <c r="G163" s="35">
        <v>916</v>
      </c>
      <c r="H163" s="40">
        <v>0</v>
      </c>
      <c r="I163" s="35">
        <v>0</v>
      </c>
      <c r="J163" s="40">
        <v>0</v>
      </c>
      <c r="K163" s="35">
        <v>0</v>
      </c>
      <c r="L163" s="40">
        <v>2807</v>
      </c>
      <c r="M163" s="35">
        <v>2714</v>
      </c>
      <c r="N163" s="40">
        <v>1048</v>
      </c>
      <c r="O163" s="35">
        <v>1120</v>
      </c>
      <c r="P163" s="40">
        <v>0</v>
      </c>
      <c r="Q163" s="35">
        <v>0</v>
      </c>
      <c r="R163" s="40">
        <f t="shared" si="4"/>
        <v>7030.5</v>
      </c>
      <c r="S163" s="35">
        <f t="shared" si="5"/>
        <v>6716</v>
      </c>
      <c r="T163" s="11">
        <v>583131</v>
      </c>
    </row>
    <row r="164" spans="1:20" hidden="1">
      <c r="A164" s="48">
        <v>45856</v>
      </c>
      <c r="B164" s="35" t="s">
        <v>1504</v>
      </c>
      <c r="C164" s="40" t="s">
        <v>1495</v>
      </c>
      <c r="D164" s="35">
        <v>2823</v>
      </c>
      <c r="E164" s="35">
        <v>2459</v>
      </c>
      <c r="F164" s="35">
        <v>716</v>
      </c>
      <c r="G164" s="35">
        <v>740</v>
      </c>
      <c r="H164" s="35">
        <v>0</v>
      </c>
      <c r="I164" s="35">
        <v>0</v>
      </c>
      <c r="J164" s="35">
        <v>0</v>
      </c>
      <c r="K164" s="35">
        <v>0</v>
      </c>
      <c r="L164" s="35">
        <v>3238</v>
      </c>
      <c r="M164" s="35">
        <v>3028</v>
      </c>
      <c r="N164" s="35">
        <v>968</v>
      </c>
      <c r="O164" s="35">
        <v>979</v>
      </c>
      <c r="P164" s="35">
        <v>0</v>
      </c>
      <c r="Q164" s="35">
        <v>0</v>
      </c>
      <c r="R164" s="40">
        <f t="shared" si="4"/>
        <v>7745</v>
      </c>
      <c r="S164" s="35">
        <f t="shared" si="5"/>
        <v>7206</v>
      </c>
      <c r="T164" s="11">
        <v>583277</v>
      </c>
    </row>
    <row r="165" spans="1:20" ht="15.75" hidden="1">
      <c r="A165" s="48">
        <v>45856</v>
      </c>
      <c r="B165" s="22" t="s">
        <v>1500</v>
      </c>
      <c r="C165" s="40" t="s">
        <v>1493</v>
      </c>
      <c r="D165" s="35">
        <v>1793</v>
      </c>
      <c r="E165" s="35">
        <v>4064</v>
      </c>
      <c r="F165" s="35">
        <v>2031</v>
      </c>
      <c r="G165" s="35">
        <v>1970</v>
      </c>
      <c r="H165" s="35">
        <v>0</v>
      </c>
      <c r="I165" s="35">
        <v>0</v>
      </c>
      <c r="J165" s="35">
        <v>0</v>
      </c>
      <c r="K165" s="35">
        <v>0</v>
      </c>
      <c r="L165" s="35">
        <v>5535</v>
      </c>
      <c r="M165" s="35">
        <v>5299</v>
      </c>
      <c r="N165" s="35">
        <v>3792</v>
      </c>
      <c r="O165" s="35">
        <v>3675</v>
      </c>
      <c r="P165" s="35">
        <v>3763</v>
      </c>
      <c r="Q165" s="35">
        <v>3714</v>
      </c>
      <c r="R165" s="40">
        <f t="shared" si="4"/>
        <v>16914</v>
      </c>
      <c r="S165" s="35">
        <f t="shared" si="5"/>
        <v>18722</v>
      </c>
      <c r="T165" s="11">
        <v>583134</v>
      </c>
    </row>
    <row r="166" spans="1:20" ht="15.75" hidden="1">
      <c r="A166" s="49">
        <v>45857</v>
      </c>
      <c r="B166" s="56" t="s">
        <v>33</v>
      </c>
      <c r="C166" s="40" t="s">
        <v>1493</v>
      </c>
      <c r="D166" s="35">
        <v>2011.5</v>
      </c>
      <c r="E166" s="40">
        <v>2069</v>
      </c>
      <c r="F166" s="35">
        <v>923</v>
      </c>
      <c r="G166" s="40">
        <v>801</v>
      </c>
      <c r="H166" s="35">
        <v>0</v>
      </c>
      <c r="I166" s="40">
        <v>0</v>
      </c>
      <c r="J166" s="35">
        <v>0</v>
      </c>
      <c r="K166" s="40">
        <v>0</v>
      </c>
      <c r="L166" s="35">
        <v>2501</v>
      </c>
      <c r="M166" s="40">
        <v>2621</v>
      </c>
      <c r="N166" s="35">
        <v>1202</v>
      </c>
      <c r="O166" s="40">
        <v>960</v>
      </c>
      <c r="P166" s="35">
        <v>0</v>
      </c>
      <c r="Q166" s="40">
        <v>0</v>
      </c>
      <c r="R166" s="40">
        <f t="shared" si="4"/>
        <v>6637.5</v>
      </c>
      <c r="S166" s="35">
        <f t="shared" si="5"/>
        <v>6451</v>
      </c>
      <c r="T166" s="11">
        <v>583131</v>
      </c>
    </row>
    <row r="167" spans="1:20" ht="15.75" hidden="1">
      <c r="A167" s="48">
        <v>45857</v>
      </c>
      <c r="B167" s="22" t="s">
        <v>1500</v>
      </c>
      <c r="C167" s="40" t="s">
        <v>1493</v>
      </c>
      <c r="D167" s="35">
        <v>3762</v>
      </c>
      <c r="E167" s="35">
        <v>4025</v>
      </c>
      <c r="F167" s="35">
        <v>1638</v>
      </c>
      <c r="G167" s="35">
        <v>1201</v>
      </c>
      <c r="H167" s="35">
        <v>0</v>
      </c>
      <c r="I167" s="35">
        <v>0</v>
      </c>
      <c r="J167" s="35">
        <v>0</v>
      </c>
      <c r="K167" s="35">
        <v>0</v>
      </c>
      <c r="L167" s="35">
        <v>4068</v>
      </c>
      <c r="M167" s="35">
        <v>4364</v>
      </c>
      <c r="N167" s="35">
        <v>2636</v>
      </c>
      <c r="O167" s="35">
        <v>3369</v>
      </c>
      <c r="P167" s="40">
        <f>1193-66</f>
        <v>1127</v>
      </c>
      <c r="Q167" s="35">
        <v>1186</v>
      </c>
      <c r="R167" s="40">
        <f t="shared" si="4"/>
        <v>13231</v>
      </c>
      <c r="S167" s="35">
        <f t="shared" si="5"/>
        <v>14145</v>
      </c>
      <c r="T167" s="11">
        <v>583134</v>
      </c>
    </row>
    <row r="168" spans="1:20" hidden="1">
      <c r="A168" s="49">
        <v>45858</v>
      </c>
      <c r="B168" s="35" t="s">
        <v>1505</v>
      </c>
      <c r="C168" s="40" t="s">
        <v>1496</v>
      </c>
      <c r="D168" s="35">
        <v>0</v>
      </c>
      <c r="E168" s="40">
        <v>0</v>
      </c>
      <c r="F168" s="35">
        <f>4380.6-109.5+6</f>
        <v>4277.1000000000004</v>
      </c>
      <c r="G168" s="40">
        <v>4064</v>
      </c>
      <c r="H168" s="35">
        <v>0</v>
      </c>
      <c r="I168" s="40">
        <v>0</v>
      </c>
      <c r="J168" s="35">
        <v>0</v>
      </c>
      <c r="K168" s="40">
        <v>0</v>
      </c>
      <c r="L168" s="35">
        <f>2816.7-79</f>
        <v>2737.7</v>
      </c>
      <c r="M168" s="40">
        <v>2620</v>
      </c>
      <c r="N168" s="35">
        <f>510.4-42</f>
        <v>468.4</v>
      </c>
      <c r="O168" s="40">
        <v>435</v>
      </c>
      <c r="P168" s="35">
        <v>0</v>
      </c>
      <c r="Q168" s="40">
        <v>0</v>
      </c>
      <c r="R168" s="40">
        <f t="shared" si="4"/>
        <v>7483.2</v>
      </c>
      <c r="S168" s="35">
        <f t="shared" si="5"/>
        <v>7119</v>
      </c>
      <c r="T168" s="11">
        <v>606202</v>
      </c>
    </row>
    <row r="169" spans="1:20" ht="15.75" hidden="1">
      <c r="A169" s="48">
        <v>45858</v>
      </c>
      <c r="B169" s="22" t="s">
        <v>1500</v>
      </c>
      <c r="C169" s="40" t="s">
        <v>1493</v>
      </c>
      <c r="D169" s="35">
        <v>3335</v>
      </c>
      <c r="E169" s="35">
        <v>3297</v>
      </c>
      <c r="F169" s="35">
        <v>1548</v>
      </c>
      <c r="G169" s="35">
        <v>1402</v>
      </c>
      <c r="H169" s="35">
        <v>0</v>
      </c>
      <c r="I169" s="35">
        <v>0</v>
      </c>
      <c r="J169" s="35">
        <v>0</v>
      </c>
      <c r="K169" s="35">
        <v>0</v>
      </c>
      <c r="L169" s="35">
        <v>3935</v>
      </c>
      <c r="M169" s="35">
        <v>3715</v>
      </c>
      <c r="N169" s="35">
        <v>2799</v>
      </c>
      <c r="O169" s="35">
        <v>3043</v>
      </c>
      <c r="P169" s="35">
        <v>2926</v>
      </c>
      <c r="Q169" s="35">
        <v>2600</v>
      </c>
      <c r="R169" s="40">
        <f t="shared" si="4"/>
        <v>14543</v>
      </c>
      <c r="S169" s="35">
        <f t="shared" si="5"/>
        <v>14057</v>
      </c>
      <c r="T169" s="11">
        <v>583134</v>
      </c>
    </row>
    <row r="170" spans="1:20" hidden="1">
      <c r="A170" s="48">
        <v>45858</v>
      </c>
      <c r="B170" s="35" t="s">
        <v>1504</v>
      </c>
      <c r="C170" s="40" t="s">
        <v>1495</v>
      </c>
      <c r="D170" s="35">
        <f>2576-156</f>
        <v>2420</v>
      </c>
      <c r="E170" s="35">
        <v>2196</v>
      </c>
      <c r="F170" s="35">
        <v>625</v>
      </c>
      <c r="G170" s="35">
        <v>413</v>
      </c>
      <c r="H170" s="35">
        <v>0</v>
      </c>
      <c r="I170" s="35">
        <v>0</v>
      </c>
      <c r="J170" s="35">
        <v>0</v>
      </c>
      <c r="K170" s="35">
        <v>0</v>
      </c>
      <c r="L170" s="35">
        <v>2640</v>
      </c>
      <c r="M170" s="35">
        <v>2763</v>
      </c>
      <c r="N170" s="35">
        <v>984</v>
      </c>
      <c r="O170" s="35">
        <v>976</v>
      </c>
      <c r="P170" s="35">
        <v>0</v>
      </c>
      <c r="Q170" s="35">
        <v>0</v>
      </c>
      <c r="R170" s="40">
        <f t="shared" si="4"/>
        <v>6669</v>
      </c>
      <c r="S170" s="35">
        <f t="shared" si="5"/>
        <v>6348</v>
      </c>
      <c r="T170" s="11">
        <v>583277</v>
      </c>
    </row>
    <row r="171" spans="1:20" ht="15.75" hidden="1">
      <c r="A171" s="48">
        <v>45858</v>
      </c>
      <c r="B171" s="56" t="s">
        <v>33</v>
      </c>
      <c r="C171" s="40" t="s">
        <v>1493</v>
      </c>
      <c r="D171" s="40">
        <v>2692</v>
      </c>
      <c r="E171" s="35">
        <v>2515</v>
      </c>
      <c r="F171" s="40">
        <v>1091</v>
      </c>
      <c r="G171" s="35">
        <v>858</v>
      </c>
      <c r="H171" s="40">
        <v>0</v>
      </c>
      <c r="I171" s="35">
        <v>0</v>
      </c>
      <c r="J171" s="40">
        <v>0</v>
      </c>
      <c r="K171" s="35">
        <v>0</v>
      </c>
      <c r="L171" s="40">
        <v>2539</v>
      </c>
      <c r="M171" s="35">
        <v>2525</v>
      </c>
      <c r="N171" s="40">
        <v>1096</v>
      </c>
      <c r="O171" s="35">
        <v>1130</v>
      </c>
      <c r="P171" s="40">
        <v>0</v>
      </c>
      <c r="Q171" s="35">
        <v>0</v>
      </c>
      <c r="R171" s="40">
        <f t="shared" si="4"/>
        <v>7418</v>
      </c>
      <c r="S171" s="35">
        <f t="shared" si="5"/>
        <v>7028</v>
      </c>
      <c r="T171" s="11">
        <v>583131</v>
      </c>
    </row>
    <row r="172" spans="1:20" ht="15.75" hidden="1">
      <c r="A172" s="48">
        <v>45859</v>
      </c>
      <c r="B172" s="56" t="s">
        <v>33</v>
      </c>
      <c r="C172" s="40" t="s">
        <v>1493</v>
      </c>
      <c r="D172" s="35">
        <v>2167</v>
      </c>
      <c r="E172" s="35">
        <v>2200</v>
      </c>
      <c r="F172" s="35">
        <v>977</v>
      </c>
      <c r="G172" s="35">
        <v>723</v>
      </c>
      <c r="H172" s="35">
        <v>0</v>
      </c>
      <c r="I172" s="35">
        <v>0</v>
      </c>
      <c r="J172" s="35">
        <v>0</v>
      </c>
      <c r="K172" s="35">
        <v>0</v>
      </c>
      <c r="L172" s="35">
        <v>2116</v>
      </c>
      <c r="M172" s="35">
        <v>2222</v>
      </c>
      <c r="N172" s="35">
        <v>1573</v>
      </c>
      <c r="O172" s="35">
        <v>1639</v>
      </c>
      <c r="P172" s="35">
        <v>0</v>
      </c>
      <c r="Q172" s="35">
        <v>0</v>
      </c>
      <c r="R172" s="40">
        <f t="shared" si="4"/>
        <v>6833</v>
      </c>
      <c r="S172" s="35">
        <f t="shared" si="5"/>
        <v>6784</v>
      </c>
      <c r="T172" s="11">
        <v>583131</v>
      </c>
    </row>
    <row r="173" spans="1:20" ht="15.75" hidden="1">
      <c r="A173" s="48">
        <v>45859</v>
      </c>
      <c r="B173" s="22" t="s">
        <v>1500</v>
      </c>
      <c r="C173" s="40" t="s">
        <v>1493</v>
      </c>
      <c r="D173" s="35">
        <f>3482-199</f>
        <v>3283</v>
      </c>
      <c r="E173" s="35">
        <f>1009+2181</f>
        <v>3190</v>
      </c>
      <c r="F173" s="35">
        <v>1439</v>
      </c>
      <c r="G173" s="35">
        <f>581+758</f>
        <v>1339</v>
      </c>
      <c r="H173" s="35">
        <v>0</v>
      </c>
      <c r="I173" s="35">
        <v>0</v>
      </c>
      <c r="J173" s="35">
        <v>0</v>
      </c>
      <c r="K173" s="35">
        <v>0</v>
      </c>
      <c r="L173" s="35">
        <v>3066</v>
      </c>
      <c r="M173" s="35">
        <f>1178+1932</f>
        <v>3110</v>
      </c>
      <c r="N173" s="40">
        <v>2155</v>
      </c>
      <c r="O173" s="35">
        <f>1299+1249</f>
        <v>2548</v>
      </c>
      <c r="P173" s="35">
        <v>3273</v>
      </c>
      <c r="Q173" s="35">
        <f>166+2656</f>
        <v>2822</v>
      </c>
      <c r="R173" s="40">
        <f t="shared" si="4"/>
        <v>13216</v>
      </c>
      <c r="S173" s="35">
        <f t="shared" si="5"/>
        <v>13009</v>
      </c>
      <c r="T173" s="11">
        <v>583134</v>
      </c>
    </row>
    <row r="174" spans="1:20" hidden="1">
      <c r="A174" s="48">
        <v>45860</v>
      </c>
      <c r="B174" s="35" t="s">
        <v>1505</v>
      </c>
      <c r="C174" s="40" t="s">
        <v>1496</v>
      </c>
      <c r="D174" s="35">
        <v>0</v>
      </c>
      <c r="E174" s="35">
        <v>0</v>
      </c>
      <c r="F174" s="35">
        <f>4906.9-100.3</f>
        <v>4806.5999999999995</v>
      </c>
      <c r="G174" s="35">
        <f>610+582+741+601+574+306+603+582</f>
        <v>4599</v>
      </c>
      <c r="H174" s="35">
        <v>0</v>
      </c>
      <c r="I174" s="35">
        <v>0</v>
      </c>
      <c r="J174" s="35">
        <v>0</v>
      </c>
      <c r="K174" s="35">
        <v>0</v>
      </c>
      <c r="L174" s="35">
        <f>2174.5-84.5</f>
        <v>2090</v>
      </c>
      <c r="M174" s="35">
        <f>591+611+590+224</f>
        <v>2016</v>
      </c>
      <c r="N174" s="35">
        <f>495.4-26.1</f>
        <v>469.29999999999995</v>
      </c>
      <c r="O174" s="35">
        <v>457</v>
      </c>
      <c r="P174" s="35">
        <v>0</v>
      </c>
      <c r="Q174" s="35">
        <v>0</v>
      </c>
      <c r="R174" s="40">
        <f t="shared" si="4"/>
        <v>7365.9</v>
      </c>
      <c r="S174" s="35">
        <f t="shared" si="5"/>
        <v>7072</v>
      </c>
      <c r="T174" s="11">
        <v>606202</v>
      </c>
    </row>
    <row r="175" spans="1:20" ht="15.75" hidden="1">
      <c r="A175" s="48">
        <v>45860</v>
      </c>
      <c r="B175" s="22" t="s">
        <v>1500</v>
      </c>
      <c r="C175" s="40" t="s">
        <v>1493</v>
      </c>
      <c r="D175" s="35">
        <v>3193</v>
      </c>
      <c r="E175" s="35">
        <f>1634+1547</f>
        <v>3181</v>
      </c>
      <c r="F175" s="35">
        <v>1637</v>
      </c>
      <c r="G175" s="35">
        <f>784+676</f>
        <v>1460</v>
      </c>
      <c r="H175" s="35">
        <v>0</v>
      </c>
      <c r="I175" s="35">
        <v>0</v>
      </c>
      <c r="J175" s="35">
        <v>0</v>
      </c>
      <c r="K175" s="35">
        <v>0</v>
      </c>
      <c r="L175" s="35">
        <v>3442</v>
      </c>
      <c r="M175" s="35">
        <f>1911+1716</f>
        <v>3627</v>
      </c>
      <c r="N175" s="35">
        <v>2082</v>
      </c>
      <c r="O175" s="35">
        <f>1074+1218</f>
        <v>2292</v>
      </c>
      <c r="P175" s="35">
        <v>1004</v>
      </c>
      <c r="Q175" s="35">
        <v>963</v>
      </c>
      <c r="R175" s="40">
        <f t="shared" si="4"/>
        <v>11358</v>
      </c>
      <c r="S175" s="35">
        <f t="shared" si="5"/>
        <v>11523</v>
      </c>
      <c r="T175" s="11">
        <v>583134</v>
      </c>
    </row>
    <row r="176" spans="1:20" ht="15.75" hidden="1">
      <c r="A176" s="48">
        <v>45860</v>
      </c>
      <c r="B176" s="56" t="s">
        <v>33</v>
      </c>
      <c r="C176" s="40" t="s">
        <v>1493</v>
      </c>
      <c r="D176" s="40">
        <v>2085.5</v>
      </c>
      <c r="E176" s="35">
        <v>2601</v>
      </c>
      <c r="F176" s="40">
        <v>726</v>
      </c>
      <c r="G176" s="35">
        <v>659</v>
      </c>
      <c r="H176" s="40">
        <v>0</v>
      </c>
      <c r="I176" s="35">
        <v>0</v>
      </c>
      <c r="J176" s="40">
        <v>0</v>
      </c>
      <c r="K176" s="35">
        <v>0</v>
      </c>
      <c r="L176" s="40">
        <v>1990</v>
      </c>
      <c r="M176" s="35">
        <v>1467</v>
      </c>
      <c r="N176" s="40">
        <v>993</v>
      </c>
      <c r="O176" s="35">
        <v>1108</v>
      </c>
      <c r="P176" s="40">
        <v>0</v>
      </c>
      <c r="Q176" s="35">
        <v>0</v>
      </c>
      <c r="R176" s="40">
        <f t="shared" si="4"/>
        <v>5794.5</v>
      </c>
      <c r="S176" s="35">
        <f t="shared" si="5"/>
        <v>5835</v>
      </c>
      <c r="T176" s="11">
        <v>583131</v>
      </c>
    </row>
    <row r="177" spans="1:20" ht="15.75" hidden="1">
      <c r="A177" s="49">
        <v>45861</v>
      </c>
      <c r="B177" s="22" t="s">
        <v>1500</v>
      </c>
      <c r="C177" s="40" t="s">
        <v>1493</v>
      </c>
      <c r="D177" s="40">
        <v>2889</v>
      </c>
      <c r="E177" s="40">
        <f>1708+1174</f>
        <v>2882</v>
      </c>
      <c r="F177" s="40">
        <v>1192</v>
      </c>
      <c r="G177" s="40">
        <f>599+570</f>
        <v>1169</v>
      </c>
      <c r="H177" s="40">
        <v>0</v>
      </c>
      <c r="I177" s="40">
        <v>0</v>
      </c>
      <c r="J177" s="40">
        <v>0</v>
      </c>
      <c r="K177" s="40">
        <v>0</v>
      </c>
      <c r="L177" s="40">
        <v>1882</v>
      </c>
      <c r="M177" s="40">
        <f>1593+1021</f>
        <v>2614</v>
      </c>
      <c r="N177" s="40">
        <v>1079</v>
      </c>
      <c r="O177" s="40">
        <f>701+1244</f>
        <v>1945</v>
      </c>
      <c r="P177" s="35">
        <v>5847</v>
      </c>
      <c r="Q177" s="40">
        <v>5598</v>
      </c>
      <c r="R177" s="40">
        <f t="shared" si="4"/>
        <v>12889</v>
      </c>
      <c r="S177" s="35">
        <f t="shared" si="5"/>
        <v>14208</v>
      </c>
      <c r="T177" s="11">
        <v>583134</v>
      </c>
    </row>
    <row r="178" spans="1:20" ht="15.75" hidden="1">
      <c r="A178" s="48">
        <v>45861</v>
      </c>
      <c r="B178" s="56" t="s">
        <v>33</v>
      </c>
      <c r="C178" s="40" t="s">
        <v>1493</v>
      </c>
      <c r="D178" s="40">
        <f>2274-29</f>
        <v>2245</v>
      </c>
      <c r="E178" s="35">
        <v>1997</v>
      </c>
      <c r="F178" s="40">
        <v>820</v>
      </c>
      <c r="G178" s="35">
        <v>731</v>
      </c>
      <c r="H178" s="40">
        <v>0</v>
      </c>
      <c r="I178" s="35">
        <v>0</v>
      </c>
      <c r="J178" s="40">
        <v>0</v>
      </c>
      <c r="K178" s="35">
        <v>0</v>
      </c>
      <c r="L178" s="40">
        <v>2354</v>
      </c>
      <c r="M178" s="35">
        <v>2197</v>
      </c>
      <c r="N178" s="40">
        <v>900</v>
      </c>
      <c r="O178" s="35">
        <v>1037</v>
      </c>
      <c r="P178" s="40">
        <v>0</v>
      </c>
      <c r="Q178" s="35">
        <v>0</v>
      </c>
      <c r="R178" s="40">
        <f t="shared" si="4"/>
        <v>6319</v>
      </c>
      <c r="S178" s="35">
        <f t="shared" si="5"/>
        <v>5962</v>
      </c>
      <c r="T178" s="11">
        <v>583131</v>
      </c>
    </row>
    <row r="179" spans="1:20" ht="15.75" hidden="1">
      <c r="A179" s="48">
        <v>45862</v>
      </c>
      <c r="B179" s="22" t="s">
        <v>1500</v>
      </c>
      <c r="C179" s="40" t="s">
        <v>1493</v>
      </c>
      <c r="D179" s="40">
        <f>2717-96</f>
        <v>2621</v>
      </c>
      <c r="E179" s="35">
        <f>1829+960</f>
        <v>2789</v>
      </c>
      <c r="F179" s="40">
        <v>1486</v>
      </c>
      <c r="G179" s="35">
        <f>967+477</f>
        <v>1444</v>
      </c>
      <c r="H179" s="40">
        <v>0</v>
      </c>
      <c r="I179" s="35">
        <v>0</v>
      </c>
      <c r="J179" s="40">
        <v>0</v>
      </c>
      <c r="K179" s="35">
        <v>0</v>
      </c>
      <c r="L179" s="40">
        <v>3680</v>
      </c>
      <c r="M179" s="35">
        <f>2542+1347</f>
        <v>3889</v>
      </c>
      <c r="N179" s="40">
        <v>2054</v>
      </c>
      <c r="O179" s="35">
        <f>1690+676</f>
        <v>2366</v>
      </c>
      <c r="P179" s="40">
        <f>1289-20</f>
        <v>1269</v>
      </c>
      <c r="Q179" s="35">
        <v>1209</v>
      </c>
      <c r="R179" s="40">
        <f t="shared" si="4"/>
        <v>11110</v>
      </c>
      <c r="S179" s="35">
        <f t="shared" si="5"/>
        <v>11697</v>
      </c>
      <c r="T179" s="11">
        <v>583134</v>
      </c>
    </row>
    <row r="180" spans="1:20" ht="15.75" hidden="1">
      <c r="A180" s="48">
        <v>45862</v>
      </c>
      <c r="B180" s="56" t="s">
        <v>33</v>
      </c>
      <c r="C180" s="40" t="s">
        <v>1493</v>
      </c>
      <c r="D180" s="40">
        <f>1665.9</f>
        <v>1665.9</v>
      </c>
      <c r="E180" s="35">
        <v>1644</v>
      </c>
      <c r="F180" s="40">
        <v>835</v>
      </c>
      <c r="G180" s="35">
        <v>678</v>
      </c>
      <c r="H180" s="40">
        <v>0</v>
      </c>
      <c r="I180" s="35">
        <v>0</v>
      </c>
      <c r="J180" s="40">
        <v>0</v>
      </c>
      <c r="K180" s="35">
        <v>0</v>
      </c>
      <c r="L180" s="40">
        <v>1970</v>
      </c>
      <c r="M180" s="35">
        <v>2010</v>
      </c>
      <c r="N180" s="40">
        <v>547</v>
      </c>
      <c r="O180" s="35">
        <v>482</v>
      </c>
      <c r="P180" s="40">
        <v>0</v>
      </c>
      <c r="Q180" s="35">
        <v>0</v>
      </c>
      <c r="R180" s="40">
        <f t="shared" si="4"/>
        <v>5017.8999999999996</v>
      </c>
      <c r="S180" s="35">
        <f t="shared" si="5"/>
        <v>4814</v>
      </c>
      <c r="T180" s="11">
        <v>583131</v>
      </c>
    </row>
    <row r="181" spans="1:20" ht="15.75" hidden="1">
      <c r="A181" s="48">
        <v>45862</v>
      </c>
      <c r="B181" s="8" t="s">
        <v>109</v>
      </c>
      <c r="C181" s="40" t="s">
        <v>1493</v>
      </c>
      <c r="D181" s="35">
        <f>480-48</f>
        <v>432</v>
      </c>
      <c r="E181" s="35">
        <v>480</v>
      </c>
      <c r="F181" s="35">
        <f>399-40</f>
        <v>359</v>
      </c>
      <c r="G181" s="35">
        <v>377</v>
      </c>
      <c r="H181" s="35">
        <v>0</v>
      </c>
      <c r="I181" s="35">
        <v>0</v>
      </c>
      <c r="J181" s="35">
        <v>0</v>
      </c>
      <c r="K181" s="35">
        <v>0</v>
      </c>
      <c r="L181" s="35">
        <f>1030-103</f>
        <v>927</v>
      </c>
      <c r="M181" s="35">
        <v>982</v>
      </c>
      <c r="N181" s="35">
        <f>101-10</f>
        <v>91</v>
      </c>
      <c r="O181" s="35">
        <v>115</v>
      </c>
      <c r="P181" s="35">
        <v>0</v>
      </c>
      <c r="Q181" s="35">
        <v>0</v>
      </c>
      <c r="R181" s="40">
        <f t="shared" si="4"/>
        <v>1809</v>
      </c>
      <c r="S181" s="35">
        <f t="shared" si="5"/>
        <v>1954</v>
      </c>
      <c r="T181" s="11">
        <v>582114</v>
      </c>
    </row>
    <row r="182" spans="1:20" ht="15.75" hidden="1">
      <c r="A182" s="48">
        <v>45863</v>
      </c>
      <c r="B182" s="22" t="s">
        <v>1500</v>
      </c>
      <c r="C182" s="40" t="s">
        <v>1493</v>
      </c>
      <c r="D182" s="40">
        <v>2067</v>
      </c>
      <c r="E182" s="35">
        <f>1576+466</f>
        <v>2042</v>
      </c>
      <c r="F182" s="40">
        <v>1003</v>
      </c>
      <c r="G182" s="35">
        <f>726+271</f>
        <v>997</v>
      </c>
      <c r="H182" s="40">
        <v>0</v>
      </c>
      <c r="I182" s="35">
        <v>0</v>
      </c>
      <c r="J182" s="40">
        <v>0</v>
      </c>
      <c r="K182" s="35">
        <v>0</v>
      </c>
      <c r="L182" s="40">
        <v>2528</v>
      </c>
      <c r="M182" s="35">
        <f>1804+978</f>
        <v>2782</v>
      </c>
      <c r="N182" s="40">
        <v>2246</v>
      </c>
      <c r="O182" s="35">
        <f>1801+545</f>
        <v>2346</v>
      </c>
      <c r="P182" s="40">
        <v>0</v>
      </c>
      <c r="Q182" s="35">
        <v>0</v>
      </c>
      <c r="R182" s="40">
        <f t="shared" si="4"/>
        <v>7844</v>
      </c>
      <c r="S182" s="35">
        <f t="shared" si="5"/>
        <v>8167</v>
      </c>
      <c r="T182" s="11">
        <v>583134</v>
      </c>
    </row>
    <row r="183" spans="1:20" ht="15.75" hidden="1">
      <c r="A183" s="48">
        <v>45863</v>
      </c>
      <c r="B183" s="56" t="s">
        <v>33</v>
      </c>
      <c r="C183" s="40" t="s">
        <v>1493</v>
      </c>
      <c r="D183" s="40">
        <f>1509.5-10</f>
        <v>1499.5</v>
      </c>
      <c r="E183" s="35">
        <v>1363</v>
      </c>
      <c r="F183" s="40">
        <v>495</v>
      </c>
      <c r="G183" s="35">
        <v>486</v>
      </c>
      <c r="H183" s="40">
        <v>0</v>
      </c>
      <c r="I183" s="35">
        <v>0</v>
      </c>
      <c r="J183" s="40">
        <v>0</v>
      </c>
      <c r="K183" s="35">
        <v>0</v>
      </c>
      <c r="L183" s="40">
        <v>1784</v>
      </c>
      <c r="M183" s="35">
        <v>1778</v>
      </c>
      <c r="N183" s="40">
        <v>530</v>
      </c>
      <c r="O183" s="35">
        <v>490</v>
      </c>
      <c r="P183" s="40">
        <v>0</v>
      </c>
      <c r="Q183" s="35">
        <v>0</v>
      </c>
      <c r="R183" s="40">
        <f t="shared" si="4"/>
        <v>4308.5</v>
      </c>
      <c r="S183" s="35">
        <f t="shared" si="5"/>
        <v>4117</v>
      </c>
      <c r="T183" s="11">
        <v>583131</v>
      </c>
    </row>
    <row r="184" spans="1:20" hidden="1">
      <c r="A184" s="48">
        <v>45864</v>
      </c>
      <c r="B184" s="35" t="s">
        <v>1505</v>
      </c>
      <c r="C184" s="40" t="s">
        <v>1496</v>
      </c>
      <c r="D184" s="35">
        <v>0</v>
      </c>
      <c r="E184" s="35">
        <v>0</v>
      </c>
      <c r="F184" s="35">
        <v>4447.5</v>
      </c>
      <c r="G184" s="35">
        <v>4180</v>
      </c>
      <c r="H184" s="35">
        <v>0</v>
      </c>
      <c r="I184" s="35">
        <v>0</v>
      </c>
      <c r="J184" s="35">
        <v>0</v>
      </c>
      <c r="K184" s="35">
        <v>0</v>
      </c>
      <c r="L184" s="35">
        <v>2144</v>
      </c>
      <c r="M184" s="35">
        <v>2027</v>
      </c>
      <c r="N184" s="35">
        <v>452.3</v>
      </c>
      <c r="O184" s="35">
        <v>437</v>
      </c>
      <c r="P184" s="35">
        <v>0</v>
      </c>
      <c r="Q184" s="35">
        <v>0</v>
      </c>
      <c r="R184" s="40">
        <f t="shared" si="4"/>
        <v>7043.8</v>
      </c>
      <c r="S184" s="35">
        <f t="shared" si="5"/>
        <v>6644</v>
      </c>
      <c r="T184" s="11">
        <v>606202</v>
      </c>
    </row>
    <row r="185" spans="1:20" ht="15.75" hidden="1">
      <c r="A185" s="48">
        <v>45864</v>
      </c>
      <c r="B185" s="22" t="s">
        <v>1500</v>
      </c>
      <c r="C185" s="40" t="s">
        <v>1493</v>
      </c>
      <c r="D185" s="35">
        <v>299</v>
      </c>
      <c r="E185" s="35">
        <v>284</v>
      </c>
      <c r="F185" s="35">
        <v>228</v>
      </c>
      <c r="G185" s="35">
        <f>38+147</f>
        <v>185</v>
      </c>
      <c r="H185" s="35">
        <v>0</v>
      </c>
      <c r="I185" s="35">
        <v>0</v>
      </c>
      <c r="J185" s="35">
        <v>0</v>
      </c>
      <c r="K185" s="35">
        <v>0</v>
      </c>
      <c r="L185" s="35">
        <v>629</v>
      </c>
      <c r="M185" s="35">
        <f>135+491</f>
        <v>626</v>
      </c>
      <c r="N185" s="35">
        <v>433</v>
      </c>
      <c r="O185" s="35">
        <f>55+367</f>
        <v>422</v>
      </c>
      <c r="P185" s="40">
        <v>6553</v>
      </c>
      <c r="Q185" s="35">
        <v>6424</v>
      </c>
      <c r="R185" s="40">
        <f t="shared" si="4"/>
        <v>8142</v>
      </c>
      <c r="S185" s="35">
        <f t="shared" si="5"/>
        <v>7941</v>
      </c>
      <c r="T185" s="11">
        <v>583134</v>
      </c>
    </row>
    <row r="186" spans="1:20" ht="15.75" hidden="1">
      <c r="A186" s="48">
        <v>45864</v>
      </c>
      <c r="B186" s="56" t="s">
        <v>33</v>
      </c>
      <c r="C186" s="40" t="s">
        <v>1493</v>
      </c>
      <c r="D186" s="35">
        <v>1545.4</v>
      </c>
      <c r="E186" s="35">
        <v>1467</v>
      </c>
      <c r="F186" s="35">
        <v>456</v>
      </c>
      <c r="G186" s="35">
        <v>358</v>
      </c>
      <c r="H186" s="35">
        <v>0</v>
      </c>
      <c r="I186" s="35">
        <v>0</v>
      </c>
      <c r="J186" s="35">
        <v>0</v>
      </c>
      <c r="K186" s="35">
        <v>0</v>
      </c>
      <c r="L186" s="35">
        <v>1318</v>
      </c>
      <c r="M186" s="35">
        <v>1338</v>
      </c>
      <c r="N186" s="35">
        <v>455.5</v>
      </c>
      <c r="O186" s="35">
        <v>431</v>
      </c>
      <c r="P186" s="35">
        <v>0</v>
      </c>
      <c r="Q186" s="35">
        <v>0</v>
      </c>
      <c r="R186" s="40">
        <f t="shared" si="4"/>
        <v>3774.9</v>
      </c>
      <c r="S186" s="35">
        <f t="shared" si="5"/>
        <v>3594</v>
      </c>
      <c r="T186" s="11">
        <v>583131</v>
      </c>
    </row>
    <row r="187" spans="1:20" ht="15.75" hidden="1">
      <c r="A187" s="48">
        <v>45865</v>
      </c>
      <c r="B187" s="22" t="s">
        <v>1500</v>
      </c>
      <c r="C187" s="40" t="s">
        <v>1493</v>
      </c>
      <c r="D187" s="35">
        <v>3644</v>
      </c>
      <c r="E187" s="35">
        <f>2385+1129</f>
        <v>3514</v>
      </c>
      <c r="F187" s="35">
        <v>1529</v>
      </c>
      <c r="G187" s="35">
        <f>1021+565</f>
        <v>1586</v>
      </c>
      <c r="H187" s="35">
        <v>0</v>
      </c>
      <c r="I187" s="35">
        <v>0</v>
      </c>
      <c r="J187" s="35">
        <v>0</v>
      </c>
      <c r="K187" s="35">
        <v>0</v>
      </c>
      <c r="L187" s="35">
        <v>2590</v>
      </c>
      <c r="M187" s="35">
        <f>1936+1157</f>
        <v>3093</v>
      </c>
      <c r="N187" s="35">
        <v>1850</v>
      </c>
      <c r="O187" s="35">
        <f>1214+1098+280</f>
        <v>2592</v>
      </c>
      <c r="P187" s="40">
        <v>286</v>
      </c>
      <c r="Q187" s="35">
        <f>552-280</f>
        <v>272</v>
      </c>
      <c r="R187" s="40">
        <f t="shared" si="4"/>
        <v>9899</v>
      </c>
      <c r="S187" s="35">
        <f t="shared" si="5"/>
        <v>11057</v>
      </c>
      <c r="T187" s="11">
        <v>583134</v>
      </c>
    </row>
    <row r="188" spans="1:20" ht="15.75" hidden="1">
      <c r="A188" s="48">
        <v>45865</v>
      </c>
      <c r="B188" s="56" t="s">
        <v>33</v>
      </c>
      <c r="C188" s="40" t="s">
        <v>1493</v>
      </c>
      <c r="D188" s="35">
        <v>1071</v>
      </c>
      <c r="E188" s="35">
        <v>1037</v>
      </c>
      <c r="F188" s="35">
        <v>363</v>
      </c>
      <c r="G188" s="35">
        <v>332</v>
      </c>
      <c r="H188" s="35">
        <v>0</v>
      </c>
      <c r="I188" s="35">
        <v>0</v>
      </c>
      <c r="J188" s="35">
        <v>0</v>
      </c>
      <c r="K188" s="35">
        <v>0</v>
      </c>
      <c r="L188" s="35">
        <v>939</v>
      </c>
      <c r="M188" s="35">
        <v>933</v>
      </c>
      <c r="N188" s="35">
        <v>316</v>
      </c>
      <c r="O188" s="35">
        <v>322</v>
      </c>
      <c r="P188" s="35">
        <v>0</v>
      </c>
      <c r="Q188" s="35">
        <v>0</v>
      </c>
      <c r="R188" s="40">
        <f t="shared" si="4"/>
        <v>2689</v>
      </c>
      <c r="S188" s="35">
        <f t="shared" si="5"/>
        <v>2624</v>
      </c>
      <c r="T188" s="11">
        <v>583131</v>
      </c>
    </row>
    <row r="189" spans="1:20" hidden="1">
      <c r="A189" s="48">
        <v>45866</v>
      </c>
      <c r="B189" s="35" t="s">
        <v>1505</v>
      </c>
      <c r="C189" s="40" t="s">
        <v>1496</v>
      </c>
      <c r="D189" s="35">
        <v>0</v>
      </c>
      <c r="E189" s="35">
        <v>0</v>
      </c>
      <c r="F189" s="35">
        <v>4653.2</v>
      </c>
      <c r="G189" s="35">
        <v>4461</v>
      </c>
      <c r="H189" s="35">
        <v>0</v>
      </c>
      <c r="I189" s="35">
        <v>0</v>
      </c>
      <c r="J189" s="35">
        <v>0</v>
      </c>
      <c r="K189" s="35">
        <v>0</v>
      </c>
      <c r="L189" s="35">
        <v>1995.5</v>
      </c>
      <c r="M189" s="35">
        <v>1915</v>
      </c>
      <c r="N189" s="35">
        <v>494.4</v>
      </c>
      <c r="O189" s="35">
        <v>442</v>
      </c>
      <c r="P189" s="35">
        <v>0</v>
      </c>
      <c r="Q189" s="35">
        <v>0</v>
      </c>
      <c r="R189" s="40">
        <f t="shared" si="4"/>
        <v>7143.0999999999995</v>
      </c>
      <c r="S189" s="35">
        <f t="shared" si="5"/>
        <v>6818</v>
      </c>
      <c r="T189" s="11">
        <v>606202</v>
      </c>
    </row>
    <row r="190" spans="1:20" ht="15.75" hidden="1">
      <c r="A190" s="48">
        <v>45866</v>
      </c>
      <c r="B190" s="22" t="s">
        <v>1500</v>
      </c>
      <c r="C190" s="40" t="s">
        <v>1493</v>
      </c>
      <c r="D190" s="35">
        <v>561</v>
      </c>
      <c r="E190" s="35">
        <v>539</v>
      </c>
      <c r="F190" s="35">
        <v>246</v>
      </c>
      <c r="G190" s="35">
        <v>266</v>
      </c>
      <c r="H190" s="35">
        <v>0</v>
      </c>
      <c r="I190" s="35">
        <v>0</v>
      </c>
      <c r="J190" s="35">
        <v>0</v>
      </c>
      <c r="K190" s="35">
        <v>0</v>
      </c>
      <c r="L190" s="35">
        <f>530+846</f>
        <v>1376</v>
      </c>
      <c r="M190" s="35">
        <v>1422</v>
      </c>
      <c r="N190" s="35">
        <f>411+595</f>
        <v>1006</v>
      </c>
      <c r="O190" s="35">
        <v>1088</v>
      </c>
      <c r="P190" s="40">
        <f>1630+656</f>
        <v>2286</v>
      </c>
      <c r="Q190" s="35">
        <v>2547</v>
      </c>
      <c r="R190" s="40">
        <f t="shared" si="4"/>
        <v>5475</v>
      </c>
      <c r="S190" s="35">
        <f t="shared" si="5"/>
        <v>5862</v>
      </c>
      <c r="T190" s="11">
        <v>583134</v>
      </c>
    </row>
    <row r="191" spans="1:20" hidden="1">
      <c r="A191" s="48">
        <v>45866</v>
      </c>
      <c r="B191" s="35" t="s">
        <v>1459</v>
      </c>
      <c r="C191" s="40" t="s">
        <v>1497</v>
      </c>
      <c r="D191" s="35">
        <v>31</v>
      </c>
      <c r="E191" s="35">
        <v>30</v>
      </c>
      <c r="F191" s="35">
        <v>16</v>
      </c>
      <c r="G191" s="35">
        <v>10</v>
      </c>
      <c r="H191" s="35">
        <v>0</v>
      </c>
      <c r="I191" s="35">
        <v>0</v>
      </c>
      <c r="J191" s="35">
        <v>22</v>
      </c>
      <c r="K191" s="35">
        <v>20</v>
      </c>
      <c r="L191" s="35">
        <v>74</v>
      </c>
      <c r="M191" s="35">
        <v>74</v>
      </c>
      <c r="N191" s="35">
        <v>100</v>
      </c>
      <c r="O191" s="35">
        <v>119</v>
      </c>
      <c r="P191" s="35">
        <v>0</v>
      </c>
      <c r="Q191" s="35">
        <v>0</v>
      </c>
      <c r="R191" s="40">
        <f t="shared" si="4"/>
        <v>243</v>
      </c>
      <c r="S191" s="35">
        <f t="shared" si="5"/>
        <v>253</v>
      </c>
      <c r="T191" s="11">
        <v>624401</v>
      </c>
    </row>
    <row r="192" spans="1:20" ht="15.75" hidden="1">
      <c r="A192" s="48">
        <v>45869</v>
      </c>
      <c r="B192" s="22" t="s">
        <v>1500</v>
      </c>
      <c r="C192" s="40" t="s">
        <v>1493</v>
      </c>
      <c r="D192" s="35">
        <v>1275</v>
      </c>
      <c r="E192" s="35">
        <v>1243</v>
      </c>
      <c r="F192" s="35">
        <v>598</v>
      </c>
      <c r="G192" s="35">
        <v>534</v>
      </c>
      <c r="H192" s="35">
        <v>0</v>
      </c>
      <c r="I192" s="35">
        <v>0</v>
      </c>
      <c r="J192" s="35">
        <v>0</v>
      </c>
      <c r="K192" s="35">
        <v>0</v>
      </c>
      <c r="L192" s="35">
        <v>1599</v>
      </c>
      <c r="M192" s="35">
        <v>1642</v>
      </c>
      <c r="N192" s="35">
        <v>837</v>
      </c>
      <c r="O192" s="35">
        <v>978</v>
      </c>
      <c r="P192" s="40">
        <v>3008</v>
      </c>
      <c r="Q192" s="35">
        <v>3166</v>
      </c>
      <c r="R192" s="40">
        <f t="shared" si="4"/>
        <v>7317</v>
      </c>
      <c r="S192" s="35">
        <f t="shared" si="5"/>
        <v>7563</v>
      </c>
      <c r="T192" s="11">
        <v>583134</v>
      </c>
    </row>
    <row r="193" spans="1:20" hidden="1">
      <c r="A193" s="48">
        <v>45870</v>
      </c>
      <c r="B193" s="35" t="s">
        <v>1505</v>
      </c>
      <c r="C193" s="40" t="s">
        <v>1496</v>
      </c>
      <c r="D193" s="35">
        <v>0</v>
      </c>
      <c r="E193" s="35">
        <v>0</v>
      </c>
      <c r="F193" s="35">
        <v>4063.1</v>
      </c>
      <c r="G193" s="35">
        <v>3956</v>
      </c>
      <c r="H193" s="35">
        <v>0</v>
      </c>
      <c r="I193" s="35">
        <v>0</v>
      </c>
      <c r="J193" s="35">
        <v>0</v>
      </c>
      <c r="K193" s="35">
        <v>0</v>
      </c>
      <c r="L193" s="35">
        <v>3205.2</v>
      </c>
      <c r="M193" s="35">
        <v>3130</v>
      </c>
      <c r="N193" s="35">
        <v>724.8</v>
      </c>
      <c r="O193" s="35">
        <v>729</v>
      </c>
      <c r="P193" s="35">
        <v>0</v>
      </c>
      <c r="Q193" s="35">
        <v>0</v>
      </c>
      <c r="R193" s="40">
        <f t="shared" si="4"/>
        <v>7993.0999999999995</v>
      </c>
      <c r="S193" s="35">
        <f t="shared" si="5"/>
        <v>7815</v>
      </c>
      <c r="T193" s="11">
        <v>606202</v>
      </c>
    </row>
    <row r="194" spans="1:20" ht="15.75" hidden="1">
      <c r="A194" s="49">
        <v>45870</v>
      </c>
      <c r="B194" s="22" t="s">
        <v>1500</v>
      </c>
      <c r="C194" s="40" t="s">
        <v>1493</v>
      </c>
      <c r="D194" s="40">
        <f>797-152-165</f>
        <v>480</v>
      </c>
      <c r="E194" s="40">
        <f>463+48</f>
        <v>511</v>
      </c>
      <c r="F194" s="40">
        <v>378</v>
      </c>
      <c r="G194" s="40">
        <f>121+32</f>
        <v>153</v>
      </c>
      <c r="H194" s="40">
        <v>0</v>
      </c>
      <c r="I194" s="40">
        <v>0</v>
      </c>
      <c r="J194" s="40">
        <v>0</v>
      </c>
      <c r="K194" s="40">
        <v>0</v>
      </c>
      <c r="L194" s="40">
        <v>945</v>
      </c>
      <c r="M194" s="40">
        <v>671</v>
      </c>
      <c r="N194" s="40">
        <v>548</v>
      </c>
      <c r="O194" s="40">
        <f>751+72</f>
        <v>823</v>
      </c>
      <c r="P194" s="40">
        <v>4757</v>
      </c>
      <c r="Q194" s="35">
        <v>4676</v>
      </c>
      <c r="R194" s="40">
        <f t="shared" ref="R194:R257" si="6">SUM(D194,F194,H194,J194,L194,N194,P194)</f>
        <v>7108</v>
      </c>
      <c r="S194" s="35">
        <f t="shared" ref="S194:S257" si="7">SUM(E194,G194,I194,K194,M194,O194,Q194)</f>
        <v>6834</v>
      </c>
      <c r="T194" s="11">
        <v>583134</v>
      </c>
    </row>
    <row r="195" spans="1:20" hidden="1">
      <c r="A195" s="48">
        <v>45872</v>
      </c>
      <c r="B195" s="35" t="s">
        <v>1505</v>
      </c>
      <c r="C195" s="40" t="s">
        <v>1496</v>
      </c>
      <c r="D195" s="35">
        <v>0</v>
      </c>
      <c r="E195" s="35">
        <v>0</v>
      </c>
      <c r="F195" s="35">
        <f>4045.3+2082+100</f>
        <v>6227.3</v>
      </c>
      <c r="G195" s="35">
        <f>1976+3953</f>
        <v>5929</v>
      </c>
      <c r="H195" s="35">
        <v>0</v>
      </c>
      <c r="I195" s="35">
        <v>0</v>
      </c>
      <c r="J195" s="35">
        <v>0</v>
      </c>
      <c r="K195" s="35">
        <v>0</v>
      </c>
      <c r="L195" s="35">
        <f>2742+1300+100</f>
        <v>4142</v>
      </c>
      <c r="M195" s="35">
        <f>1273+2832</f>
        <v>4105</v>
      </c>
      <c r="N195" s="35">
        <f>813+386</f>
        <v>1199</v>
      </c>
      <c r="O195" s="35">
        <f>387+830</f>
        <v>1217</v>
      </c>
      <c r="P195" s="35">
        <v>0</v>
      </c>
      <c r="Q195" s="35">
        <v>0</v>
      </c>
      <c r="R195" s="40">
        <f t="shared" si="6"/>
        <v>11568.3</v>
      </c>
      <c r="S195" s="35">
        <f t="shared" si="7"/>
        <v>11251</v>
      </c>
      <c r="T195" s="11">
        <v>606202</v>
      </c>
    </row>
    <row r="196" spans="1:20" ht="15.75" hidden="1">
      <c r="A196" s="48">
        <v>45872</v>
      </c>
      <c r="B196" s="22" t="s">
        <v>1500</v>
      </c>
      <c r="C196" s="40" t="s">
        <v>1493</v>
      </c>
      <c r="D196" s="35">
        <v>592</v>
      </c>
      <c r="E196" s="35">
        <v>518</v>
      </c>
      <c r="F196" s="35">
        <v>492</v>
      </c>
      <c r="G196" s="35">
        <v>351</v>
      </c>
      <c r="H196" s="35">
        <v>0</v>
      </c>
      <c r="I196" s="35">
        <v>0</v>
      </c>
      <c r="J196" s="35">
        <v>0</v>
      </c>
      <c r="K196" s="35">
        <v>0</v>
      </c>
      <c r="L196" s="35">
        <v>1184</v>
      </c>
      <c r="M196" s="35">
        <v>1275</v>
      </c>
      <c r="N196" s="35">
        <v>2696</v>
      </c>
      <c r="O196" s="35">
        <v>2466</v>
      </c>
      <c r="P196" s="40">
        <v>2406</v>
      </c>
      <c r="Q196" s="35">
        <v>2614</v>
      </c>
      <c r="R196" s="40">
        <f t="shared" si="6"/>
        <v>7370</v>
      </c>
      <c r="S196" s="35">
        <f t="shared" si="7"/>
        <v>7224</v>
      </c>
      <c r="T196" s="11">
        <v>583134</v>
      </c>
    </row>
    <row r="197" spans="1:20" hidden="1">
      <c r="A197" s="48">
        <v>45873</v>
      </c>
      <c r="B197" s="35" t="s">
        <v>1498</v>
      </c>
      <c r="C197" s="40" t="s">
        <v>1495</v>
      </c>
      <c r="D197" s="35">
        <v>835.4</v>
      </c>
      <c r="E197" s="35">
        <v>714</v>
      </c>
      <c r="F197" s="35">
        <v>829.8</v>
      </c>
      <c r="G197" s="35">
        <v>736</v>
      </c>
      <c r="H197" s="35">
        <v>0</v>
      </c>
      <c r="I197" s="35">
        <v>0</v>
      </c>
      <c r="J197" s="35">
        <v>0</v>
      </c>
      <c r="K197" s="35">
        <v>0</v>
      </c>
      <c r="L197" s="35">
        <v>900.3</v>
      </c>
      <c r="M197" s="35">
        <v>896</v>
      </c>
      <c r="N197" s="35">
        <v>424</v>
      </c>
      <c r="O197" s="35">
        <v>419</v>
      </c>
      <c r="P197" s="40">
        <v>2252</v>
      </c>
      <c r="Q197" s="35">
        <v>3752</v>
      </c>
      <c r="R197" s="40">
        <f t="shared" si="6"/>
        <v>5241.5</v>
      </c>
      <c r="S197" s="35">
        <f t="shared" si="7"/>
        <v>6517</v>
      </c>
      <c r="T197" s="11">
        <v>635301</v>
      </c>
    </row>
    <row r="198" spans="1:20" hidden="1">
      <c r="A198" s="48">
        <v>45874</v>
      </c>
      <c r="B198" s="35" t="s">
        <v>1505</v>
      </c>
      <c r="C198" s="40" t="s">
        <v>1496</v>
      </c>
      <c r="D198" s="35">
        <v>0</v>
      </c>
      <c r="E198" s="35">
        <v>0</v>
      </c>
      <c r="F198" s="35">
        <v>3883</v>
      </c>
      <c r="G198" s="35">
        <v>3675</v>
      </c>
      <c r="H198" s="35">
        <v>0</v>
      </c>
      <c r="I198" s="35">
        <v>0</v>
      </c>
      <c r="J198" s="35">
        <v>0</v>
      </c>
      <c r="K198" s="35">
        <v>0</v>
      </c>
      <c r="L198" s="35">
        <v>2127.5</v>
      </c>
      <c r="M198" s="35">
        <v>2069</v>
      </c>
      <c r="N198" s="35">
        <v>965.5</v>
      </c>
      <c r="O198" s="35">
        <v>942</v>
      </c>
      <c r="P198" s="35">
        <v>0</v>
      </c>
      <c r="Q198" s="35">
        <v>0</v>
      </c>
      <c r="R198" s="40">
        <f t="shared" si="6"/>
        <v>6976</v>
      </c>
      <c r="S198" s="35">
        <f t="shared" si="7"/>
        <v>6686</v>
      </c>
      <c r="T198" s="11">
        <v>606202</v>
      </c>
    </row>
    <row r="199" spans="1:20" ht="15.75" hidden="1">
      <c r="A199" s="48">
        <v>45874</v>
      </c>
      <c r="B199" s="22" t="s">
        <v>1500</v>
      </c>
      <c r="C199" s="40" t="s">
        <v>1493</v>
      </c>
      <c r="D199" s="35">
        <v>785</v>
      </c>
      <c r="E199" s="35">
        <v>761</v>
      </c>
      <c r="F199" s="35">
        <v>333</v>
      </c>
      <c r="G199" s="35">
        <v>437</v>
      </c>
      <c r="H199" s="35">
        <v>0</v>
      </c>
      <c r="I199" s="35">
        <v>0</v>
      </c>
      <c r="J199" s="35">
        <v>0</v>
      </c>
      <c r="K199" s="35">
        <v>0</v>
      </c>
      <c r="L199" s="35">
        <v>1194</v>
      </c>
      <c r="M199" s="35">
        <v>1325</v>
      </c>
      <c r="N199" s="40">
        <f>751-751</f>
        <v>0</v>
      </c>
      <c r="O199" s="35">
        <v>895</v>
      </c>
      <c r="P199" s="35">
        <v>0</v>
      </c>
      <c r="Q199" s="35">
        <v>0</v>
      </c>
      <c r="R199" s="40">
        <f t="shared" si="6"/>
        <v>2312</v>
      </c>
      <c r="S199" s="35">
        <f t="shared" si="7"/>
        <v>3418</v>
      </c>
      <c r="T199" s="11">
        <v>583134</v>
      </c>
    </row>
    <row r="200" spans="1:20" ht="15.75" hidden="1">
      <c r="A200" s="48">
        <v>45874</v>
      </c>
      <c r="B200" s="56" t="s">
        <v>33</v>
      </c>
      <c r="C200" s="40" t="s">
        <v>1493</v>
      </c>
      <c r="D200" s="35">
        <v>428.5</v>
      </c>
      <c r="E200" s="35">
        <v>415</v>
      </c>
      <c r="F200" s="35">
        <v>128.5</v>
      </c>
      <c r="G200" s="35">
        <v>131</v>
      </c>
      <c r="H200" s="35">
        <v>0</v>
      </c>
      <c r="I200" s="35">
        <v>0</v>
      </c>
      <c r="J200" s="35">
        <v>0</v>
      </c>
      <c r="K200" s="35">
        <v>0</v>
      </c>
      <c r="L200" s="35">
        <v>421</v>
      </c>
      <c r="M200" s="35">
        <v>379</v>
      </c>
      <c r="N200" s="40">
        <f>98-98</f>
        <v>0</v>
      </c>
      <c r="O200" s="35">
        <v>95</v>
      </c>
      <c r="P200" s="35">
        <v>0</v>
      </c>
      <c r="Q200" s="35">
        <v>0</v>
      </c>
      <c r="R200" s="40">
        <f t="shared" si="6"/>
        <v>978</v>
      </c>
      <c r="S200" s="35">
        <f t="shared" si="7"/>
        <v>1020</v>
      </c>
      <c r="T200" s="11">
        <v>583131</v>
      </c>
    </row>
    <row r="201" spans="1:20" ht="15.75" hidden="1">
      <c r="A201" s="48">
        <v>45876</v>
      </c>
      <c r="B201" s="22" t="s">
        <v>1500</v>
      </c>
      <c r="C201" s="40" t="s">
        <v>1493</v>
      </c>
      <c r="D201" s="35">
        <v>741</v>
      </c>
      <c r="E201" s="35">
        <v>652</v>
      </c>
      <c r="F201" s="35">
        <v>426</v>
      </c>
      <c r="G201" s="35">
        <v>387</v>
      </c>
      <c r="H201" s="35">
        <v>0</v>
      </c>
      <c r="I201" s="35">
        <v>0</v>
      </c>
      <c r="J201" s="35">
        <v>0</v>
      </c>
      <c r="K201" s="35">
        <v>0</v>
      </c>
      <c r="L201" s="35">
        <v>1777</v>
      </c>
      <c r="M201" s="35">
        <v>2018</v>
      </c>
      <c r="N201" s="35">
        <v>1811</v>
      </c>
      <c r="O201" s="35">
        <v>1829</v>
      </c>
      <c r="P201" s="40">
        <v>1631</v>
      </c>
      <c r="Q201" s="35">
        <v>1444</v>
      </c>
      <c r="R201" s="40">
        <f t="shared" si="6"/>
        <v>6386</v>
      </c>
      <c r="S201" s="35">
        <f t="shared" si="7"/>
        <v>6330</v>
      </c>
      <c r="T201" s="11">
        <v>583134</v>
      </c>
    </row>
    <row r="202" spans="1:20" hidden="1">
      <c r="A202" s="48">
        <v>45876</v>
      </c>
      <c r="B202" s="35" t="s">
        <v>1459</v>
      </c>
      <c r="C202" s="40" t="s">
        <v>1497</v>
      </c>
      <c r="D202" s="35">
        <v>300</v>
      </c>
      <c r="E202" s="35">
        <v>297</v>
      </c>
      <c r="F202" s="35">
        <v>52</v>
      </c>
      <c r="G202" s="35">
        <v>51</v>
      </c>
      <c r="H202" s="35">
        <v>0</v>
      </c>
      <c r="I202" s="35">
        <v>0</v>
      </c>
      <c r="J202" s="35">
        <v>42</v>
      </c>
      <c r="K202" s="35">
        <v>42</v>
      </c>
      <c r="L202" s="35">
        <v>57</v>
      </c>
      <c r="M202" s="35">
        <v>56</v>
      </c>
      <c r="N202" s="35">
        <v>25</v>
      </c>
      <c r="O202" s="35">
        <v>24</v>
      </c>
      <c r="P202" s="35">
        <v>0</v>
      </c>
      <c r="Q202" s="35">
        <v>0</v>
      </c>
      <c r="R202" s="40">
        <f t="shared" si="6"/>
        <v>476</v>
      </c>
      <c r="S202" s="35">
        <f t="shared" si="7"/>
        <v>470</v>
      </c>
      <c r="T202" s="11">
        <v>624401</v>
      </c>
    </row>
    <row r="203" spans="1:20" hidden="1">
      <c r="A203" s="48">
        <v>45876</v>
      </c>
      <c r="B203" s="35" t="s">
        <v>1505</v>
      </c>
      <c r="C203" s="40" t="s">
        <v>1496</v>
      </c>
      <c r="D203" s="35">
        <v>0</v>
      </c>
      <c r="E203" s="35">
        <v>0</v>
      </c>
      <c r="F203" s="35">
        <v>4237</v>
      </c>
      <c r="G203" s="35">
        <v>4116</v>
      </c>
      <c r="H203" s="35">
        <v>0</v>
      </c>
      <c r="I203" s="35">
        <v>0</v>
      </c>
      <c r="J203" s="35">
        <v>0</v>
      </c>
      <c r="K203" s="35">
        <v>0</v>
      </c>
      <c r="L203" s="35">
        <v>2091.6999999999998</v>
      </c>
      <c r="M203" s="35">
        <v>2117</v>
      </c>
      <c r="N203" s="40">
        <f>1134-1134</f>
        <v>0</v>
      </c>
      <c r="O203" s="35">
        <v>1119</v>
      </c>
      <c r="P203" s="35">
        <v>0</v>
      </c>
      <c r="Q203" s="35">
        <v>0</v>
      </c>
      <c r="R203" s="40">
        <f t="shared" si="6"/>
        <v>6328.7</v>
      </c>
      <c r="S203" s="35">
        <f t="shared" si="7"/>
        <v>7352</v>
      </c>
      <c r="T203" s="11">
        <v>606202</v>
      </c>
    </row>
    <row r="204" spans="1:20" hidden="1">
      <c r="A204" s="48">
        <v>45877</v>
      </c>
      <c r="B204" s="35" t="s">
        <v>1498</v>
      </c>
      <c r="C204" s="40" t="s">
        <v>1495</v>
      </c>
      <c r="D204" s="35">
        <v>664.4</v>
      </c>
      <c r="E204" s="35">
        <v>581</v>
      </c>
      <c r="F204" s="35">
        <v>568.1</v>
      </c>
      <c r="G204" s="35">
        <v>441</v>
      </c>
      <c r="H204" s="35">
        <v>0</v>
      </c>
      <c r="I204" s="35">
        <v>0</v>
      </c>
      <c r="J204" s="35">
        <v>0</v>
      </c>
      <c r="K204" s="35">
        <v>0</v>
      </c>
      <c r="L204" s="35">
        <v>763.4</v>
      </c>
      <c r="M204" s="35">
        <v>546</v>
      </c>
      <c r="N204" s="35">
        <v>1448</v>
      </c>
      <c r="O204" s="35">
        <v>1233</v>
      </c>
      <c r="P204" s="35">
        <v>2566</v>
      </c>
      <c r="Q204" s="35">
        <v>2900</v>
      </c>
      <c r="R204" s="40">
        <f t="shared" si="6"/>
        <v>6009.9</v>
      </c>
      <c r="S204" s="35">
        <f t="shared" si="7"/>
        <v>5701</v>
      </c>
      <c r="T204" s="11">
        <v>635301</v>
      </c>
    </row>
    <row r="205" spans="1:20" hidden="1">
      <c r="A205" s="48">
        <v>45877</v>
      </c>
      <c r="B205" s="35" t="s">
        <v>964</v>
      </c>
      <c r="C205" s="40" t="s">
        <v>1495</v>
      </c>
      <c r="D205" s="35">
        <v>0</v>
      </c>
      <c r="E205" s="35">
        <v>0</v>
      </c>
      <c r="F205" s="35">
        <v>81</v>
      </c>
      <c r="G205" s="35">
        <v>71</v>
      </c>
      <c r="H205" s="35">
        <v>0</v>
      </c>
      <c r="I205" s="35">
        <v>0</v>
      </c>
      <c r="J205" s="35">
        <v>0</v>
      </c>
      <c r="K205" s="35">
        <v>0</v>
      </c>
      <c r="L205" s="35">
        <v>45</v>
      </c>
      <c r="M205" s="35">
        <v>41</v>
      </c>
      <c r="N205" s="35">
        <v>10</v>
      </c>
      <c r="O205" s="35">
        <v>18</v>
      </c>
      <c r="P205" s="35">
        <v>1016</v>
      </c>
      <c r="Q205" s="35">
        <v>976</v>
      </c>
      <c r="R205" s="40">
        <f t="shared" si="6"/>
        <v>1152</v>
      </c>
      <c r="S205" s="35">
        <f t="shared" si="7"/>
        <v>1106</v>
      </c>
      <c r="T205" s="11">
        <v>636809</v>
      </c>
    </row>
    <row r="206" spans="1:20" hidden="1">
      <c r="A206" s="48">
        <v>45878</v>
      </c>
      <c r="B206" s="35" t="s">
        <v>1505</v>
      </c>
      <c r="C206" s="40" t="s">
        <v>1496</v>
      </c>
      <c r="D206" s="35">
        <v>0</v>
      </c>
      <c r="E206" s="35">
        <v>0</v>
      </c>
      <c r="F206" s="35">
        <v>3609.2</v>
      </c>
      <c r="G206" s="35">
        <v>3536</v>
      </c>
      <c r="H206" s="35">
        <v>0</v>
      </c>
      <c r="I206" s="35">
        <v>0</v>
      </c>
      <c r="J206" s="35">
        <v>0</v>
      </c>
      <c r="K206" s="35">
        <v>0</v>
      </c>
      <c r="L206" s="35">
        <v>2324</v>
      </c>
      <c r="M206" s="35">
        <v>2250</v>
      </c>
      <c r="N206" s="35">
        <v>1579.1</v>
      </c>
      <c r="O206" s="35">
        <v>1515</v>
      </c>
      <c r="P206" s="35">
        <v>0</v>
      </c>
      <c r="Q206" s="35">
        <v>0</v>
      </c>
      <c r="R206" s="40">
        <f t="shared" si="6"/>
        <v>7512.2999999999993</v>
      </c>
      <c r="S206" s="35">
        <f t="shared" si="7"/>
        <v>7301</v>
      </c>
      <c r="T206" s="11">
        <v>606202</v>
      </c>
    </row>
    <row r="207" spans="1:20" hidden="1">
      <c r="A207" s="48">
        <v>45878</v>
      </c>
      <c r="B207" s="35" t="s">
        <v>1460</v>
      </c>
      <c r="C207" s="40" t="s">
        <v>1497</v>
      </c>
      <c r="D207" s="35">
        <v>34</v>
      </c>
      <c r="E207" s="35">
        <v>34</v>
      </c>
      <c r="F207" s="35">
        <v>12</v>
      </c>
      <c r="G207" s="35">
        <v>0</v>
      </c>
      <c r="H207" s="35">
        <v>0</v>
      </c>
      <c r="I207" s="35">
        <v>0</v>
      </c>
      <c r="J207" s="35">
        <v>11</v>
      </c>
      <c r="K207" s="35">
        <v>9</v>
      </c>
      <c r="L207" s="35">
        <v>54</v>
      </c>
      <c r="M207" s="35">
        <v>65</v>
      </c>
      <c r="N207" s="35">
        <v>159</v>
      </c>
      <c r="O207" s="35">
        <v>160</v>
      </c>
      <c r="P207" s="35">
        <v>0</v>
      </c>
      <c r="Q207" s="35">
        <v>0</v>
      </c>
      <c r="R207" s="40">
        <f t="shared" si="6"/>
        <v>270</v>
      </c>
      <c r="S207" s="35">
        <f t="shared" si="7"/>
        <v>268</v>
      </c>
      <c r="T207" s="11">
        <v>624401</v>
      </c>
    </row>
    <row r="208" spans="1:20" hidden="1">
      <c r="A208" s="48">
        <v>45878</v>
      </c>
      <c r="B208" s="35" t="s">
        <v>1459</v>
      </c>
      <c r="C208" s="40" t="s">
        <v>1497</v>
      </c>
      <c r="D208" s="35">
        <v>286</v>
      </c>
      <c r="E208" s="35">
        <v>267</v>
      </c>
      <c r="F208" s="35">
        <v>45</v>
      </c>
      <c r="G208" s="35">
        <v>46</v>
      </c>
      <c r="H208" s="35">
        <v>0</v>
      </c>
      <c r="I208" s="35">
        <v>0</v>
      </c>
      <c r="J208" s="35">
        <v>41</v>
      </c>
      <c r="K208" s="35">
        <v>45</v>
      </c>
      <c r="L208" s="35">
        <v>77</v>
      </c>
      <c r="M208" s="35">
        <v>90</v>
      </c>
      <c r="N208" s="35">
        <v>56</v>
      </c>
      <c r="O208" s="35">
        <v>55</v>
      </c>
      <c r="P208" s="35">
        <v>0</v>
      </c>
      <c r="Q208" s="35">
        <v>0</v>
      </c>
      <c r="R208" s="40">
        <f t="shared" si="6"/>
        <v>505</v>
      </c>
      <c r="S208" s="35">
        <f t="shared" si="7"/>
        <v>503</v>
      </c>
      <c r="T208" s="11">
        <v>624401</v>
      </c>
    </row>
    <row r="209" spans="1:20" hidden="1">
      <c r="A209" s="48">
        <v>45879</v>
      </c>
      <c r="B209" s="35" t="s">
        <v>964</v>
      </c>
      <c r="C209" s="40" t="s">
        <v>1495</v>
      </c>
      <c r="D209" s="35">
        <v>0</v>
      </c>
      <c r="E209" s="35">
        <v>0</v>
      </c>
      <c r="F209" s="35">
        <v>81</v>
      </c>
      <c r="G209" s="35">
        <v>72</v>
      </c>
      <c r="H209" s="35">
        <v>0</v>
      </c>
      <c r="I209" s="35">
        <v>0</v>
      </c>
      <c r="J209" s="35">
        <v>0</v>
      </c>
      <c r="K209" s="35">
        <v>0</v>
      </c>
      <c r="L209" s="35">
        <v>87.5</v>
      </c>
      <c r="M209" s="35">
        <v>74</v>
      </c>
      <c r="N209" s="35">
        <v>33</v>
      </c>
      <c r="O209" s="35">
        <v>33</v>
      </c>
      <c r="P209" s="35">
        <v>1256</v>
      </c>
      <c r="Q209" s="35">
        <v>1278</v>
      </c>
      <c r="R209" s="40">
        <f t="shared" si="6"/>
        <v>1457.5</v>
      </c>
      <c r="S209" s="35">
        <f t="shared" si="7"/>
        <v>1457</v>
      </c>
      <c r="T209" s="11">
        <v>636809</v>
      </c>
    </row>
    <row r="210" spans="1:20" hidden="1">
      <c r="A210" s="48">
        <v>45879</v>
      </c>
      <c r="B210" s="35" t="s">
        <v>1498</v>
      </c>
      <c r="C210" s="40" t="s">
        <v>1495</v>
      </c>
      <c r="D210" s="35">
        <v>642</v>
      </c>
      <c r="E210" s="35">
        <v>546</v>
      </c>
      <c r="F210" s="35">
        <v>530.4</v>
      </c>
      <c r="G210" s="35">
        <v>472</v>
      </c>
      <c r="H210" s="35">
        <v>0</v>
      </c>
      <c r="I210" s="35">
        <v>0</v>
      </c>
      <c r="J210" s="35">
        <v>0</v>
      </c>
      <c r="K210" s="35">
        <v>0</v>
      </c>
      <c r="L210" s="35">
        <v>1128</v>
      </c>
      <c r="M210" s="35">
        <v>627</v>
      </c>
      <c r="N210" s="35">
        <v>559</v>
      </c>
      <c r="O210" s="35">
        <v>410</v>
      </c>
      <c r="P210" s="35">
        <v>1622</v>
      </c>
      <c r="Q210" s="35">
        <v>2183</v>
      </c>
      <c r="R210" s="40">
        <f t="shared" si="6"/>
        <v>4481.3999999999996</v>
      </c>
      <c r="S210" s="35">
        <f t="shared" si="7"/>
        <v>4238</v>
      </c>
      <c r="T210" s="11">
        <v>635301</v>
      </c>
    </row>
    <row r="211" spans="1:20" ht="15.75" hidden="1">
      <c r="A211" s="48">
        <v>45879</v>
      </c>
      <c r="B211" s="22" t="s">
        <v>1500</v>
      </c>
      <c r="C211" s="40" t="s">
        <v>1493</v>
      </c>
      <c r="D211" s="35">
        <v>469</v>
      </c>
      <c r="E211" s="35">
        <v>548</v>
      </c>
      <c r="F211" s="35">
        <v>208</v>
      </c>
      <c r="G211" s="35">
        <v>217</v>
      </c>
      <c r="H211" s="35">
        <v>0</v>
      </c>
      <c r="I211" s="35">
        <v>0</v>
      </c>
      <c r="J211" s="35">
        <v>0</v>
      </c>
      <c r="K211" s="35">
        <v>0</v>
      </c>
      <c r="L211" s="35">
        <v>406</v>
      </c>
      <c r="M211" s="35">
        <v>494</v>
      </c>
      <c r="N211" s="35">
        <v>1591</v>
      </c>
      <c r="O211" s="35">
        <v>253</v>
      </c>
      <c r="P211" s="40">
        <f>4868-858</f>
        <v>4010</v>
      </c>
      <c r="Q211" s="35">
        <v>5572</v>
      </c>
      <c r="R211" s="40">
        <f t="shared" si="6"/>
        <v>6684</v>
      </c>
      <c r="S211" s="35">
        <f t="shared" si="7"/>
        <v>7084</v>
      </c>
      <c r="T211" s="11">
        <v>583134</v>
      </c>
    </row>
    <row r="212" spans="1:20" hidden="1">
      <c r="A212" s="48">
        <v>45880</v>
      </c>
      <c r="B212" s="35" t="s">
        <v>1505</v>
      </c>
      <c r="C212" s="40" t="s">
        <v>1496</v>
      </c>
      <c r="D212" s="35">
        <v>0</v>
      </c>
      <c r="E212" s="35">
        <v>0</v>
      </c>
      <c r="F212" s="35">
        <v>3194</v>
      </c>
      <c r="G212" s="35">
        <v>3119</v>
      </c>
      <c r="H212" s="35">
        <v>0</v>
      </c>
      <c r="I212" s="35">
        <v>0</v>
      </c>
      <c r="J212" s="35">
        <v>0</v>
      </c>
      <c r="K212" s="35">
        <v>0</v>
      </c>
      <c r="L212" s="35">
        <v>1501.1</v>
      </c>
      <c r="M212" s="35">
        <v>1503</v>
      </c>
      <c r="N212" s="35">
        <v>876</v>
      </c>
      <c r="O212" s="35">
        <v>794</v>
      </c>
      <c r="P212" s="35">
        <v>0</v>
      </c>
      <c r="Q212" s="35">
        <v>0</v>
      </c>
      <c r="R212" s="40">
        <f t="shared" si="6"/>
        <v>5571.1</v>
      </c>
      <c r="S212" s="35">
        <f t="shared" si="7"/>
        <v>5416</v>
      </c>
      <c r="T212" s="11">
        <v>606202</v>
      </c>
    </row>
    <row r="213" spans="1:20" hidden="1">
      <c r="A213" s="48">
        <v>45880</v>
      </c>
      <c r="B213" s="35" t="s">
        <v>1460</v>
      </c>
      <c r="C213" s="40" t="s">
        <v>1497</v>
      </c>
      <c r="D213" s="35">
        <v>115</v>
      </c>
      <c r="E213" s="35">
        <v>113</v>
      </c>
      <c r="F213" s="35">
        <v>44</v>
      </c>
      <c r="G213" s="35">
        <v>43</v>
      </c>
      <c r="H213" s="35">
        <v>0</v>
      </c>
      <c r="I213" s="35">
        <v>0</v>
      </c>
      <c r="J213" s="35">
        <v>34</v>
      </c>
      <c r="K213" s="35">
        <v>29</v>
      </c>
      <c r="L213" s="35">
        <v>50</v>
      </c>
      <c r="M213" s="35">
        <v>50</v>
      </c>
      <c r="N213" s="35">
        <v>36</v>
      </c>
      <c r="O213" s="35">
        <v>36</v>
      </c>
      <c r="P213" s="35">
        <v>0</v>
      </c>
      <c r="Q213" s="35">
        <v>0</v>
      </c>
      <c r="R213" s="40">
        <f t="shared" si="6"/>
        <v>279</v>
      </c>
      <c r="S213" s="35">
        <f t="shared" si="7"/>
        <v>271</v>
      </c>
      <c r="T213" s="11">
        <v>624401</v>
      </c>
    </row>
    <row r="214" spans="1:20" hidden="1">
      <c r="A214" s="48">
        <v>45880</v>
      </c>
      <c r="B214" s="35" t="s">
        <v>1459</v>
      </c>
      <c r="C214" s="40" t="s">
        <v>1497</v>
      </c>
      <c r="D214" s="35">
        <v>364</v>
      </c>
      <c r="E214" s="35">
        <v>353</v>
      </c>
      <c r="F214" s="35">
        <v>65</v>
      </c>
      <c r="G214" s="35">
        <v>63</v>
      </c>
      <c r="H214" s="35">
        <v>0</v>
      </c>
      <c r="I214" s="35">
        <v>0</v>
      </c>
      <c r="J214" s="35">
        <v>39</v>
      </c>
      <c r="K214" s="35">
        <v>57</v>
      </c>
      <c r="L214" s="35">
        <v>64</v>
      </c>
      <c r="M214" s="35">
        <v>62</v>
      </c>
      <c r="N214" s="35">
        <v>70</v>
      </c>
      <c r="O214" s="35">
        <v>66</v>
      </c>
      <c r="P214" s="35">
        <v>0</v>
      </c>
      <c r="Q214" s="35">
        <v>0</v>
      </c>
      <c r="R214" s="40">
        <f t="shared" si="6"/>
        <v>602</v>
      </c>
      <c r="S214" s="35">
        <f t="shared" si="7"/>
        <v>601</v>
      </c>
      <c r="T214" s="11">
        <v>624401</v>
      </c>
    </row>
    <row r="215" spans="1:20" hidden="1">
      <c r="A215" s="48">
        <v>45881</v>
      </c>
      <c r="B215" s="35" t="s">
        <v>1498</v>
      </c>
      <c r="C215" s="40" t="s">
        <v>1495</v>
      </c>
      <c r="D215" s="35">
        <v>542.5</v>
      </c>
      <c r="E215" s="35">
        <v>479</v>
      </c>
      <c r="F215" s="35">
        <v>370.4</v>
      </c>
      <c r="G215" s="35">
        <v>340</v>
      </c>
      <c r="H215" s="35">
        <v>0</v>
      </c>
      <c r="I215" s="35">
        <v>0</v>
      </c>
      <c r="J215" s="35">
        <v>0</v>
      </c>
      <c r="K215" s="35">
        <v>0</v>
      </c>
      <c r="L215" s="35">
        <v>540.4</v>
      </c>
      <c r="M215" s="35">
        <v>473</v>
      </c>
      <c r="N215" s="35">
        <v>566</v>
      </c>
      <c r="O215" s="35">
        <v>555</v>
      </c>
      <c r="P215" s="35">
        <v>2106</v>
      </c>
      <c r="Q215" s="35">
        <v>2059</v>
      </c>
      <c r="R215" s="40">
        <f t="shared" si="6"/>
        <v>4125.3</v>
      </c>
      <c r="S215" s="35">
        <f t="shared" si="7"/>
        <v>3906</v>
      </c>
      <c r="T215" s="11">
        <v>635301</v>
      </c>
    </row>
    <row r="216" spans="1:20" hidden="1">
      <c r="A216" s="48">
        <v>45881</v>
      </c>
      <c r="B216" s="35" t="s">
        <v>964</v>
      </c>
      <c r="C216" s="40" t="s">
        <v>1495</v>
      </c>
      <c r="D216" s="35">
        <v>0</v>
      </c>
      <c r="E216" s="35">
        <v>0</v>
      </c>
      <c r="F216" s="35">
        <v>34</v>
      </c>
      <c r="G216" s="35">
        <v>26</v>
      </c>
      <c r="H216" s="35">
        <v>0</v>
      </c>
      <c r="I216" s="35">
        <v>0</v>
      </c>
      <c r="J216" s="35">
        <v>0</v>
      </c>
      <c r="K216" s="35">
        <v>0</v>
      </c>
      <c r="L216" s="35">
        <v>25</v>
      </c>
      <c r="M216" s="35">
        <v>0</v>
      </c>
      <c r="N216" s="35">
        <v>28</v>
      </c>
      <c r="O216" s="35">
        <v>28</v>
      </c>
      <c r="P216" s="35">
        <v>881</v>
      </c>
      <c r="Q216" s="35">
        <f>864-28</f>
        <v>836</v>
      </c>
      <c r="R216" s="40">
        <f t="shared" si="6"/>
        <v>968</v>
      </c>
      <c r="S216" s="35">
        <f t="shared" si="7"/>
        <v>890</v>
      </c>
      <c r="T216" s="11">
        <v>636809</v>
      </c>
    </row>
    <row r="217" spans="1:20" hidden="1">
      <c r="A217" s="48">
        <v>45882</v>
      </c>
      <c r="B217" s="35" t="s">
        <v>1460</v>
      </c>
      <c r="C217" s="40" t="s">
        <v>1497</v>
      </c>
      <c r="D217" s="35">
        <v>155</v>
      </c>
      <c r="E217" s="35">
        <v>152</v>
      </c>
      <c r="F217" s="35">
        <v>91</v>
      </c>
      <c r="G217" s="35">
        <v>87</v>
      </c>
      <c r="H217" s="35">
        <v>0</v>
      </c>
      <c r="I217" s="35">
        <v>0</v>
      </c>
      <c r="J217" s="35">
        <v>63</v>
      </c>
      <c r="K217" s="35">
        <v>61</v>
      </c>
      <c r="L217" s="35">
        <v>59</v>
      </c>
      <c r="M217" s="35">
        <v>56</v>
      </c>
      <c r="N217" s="35">
        <v>19</v>
      </c>
      <c r="O217" s="35">
        <v>18</v>
      </c>
      <c r="P217" s="35">
        <v>0</v>
      </c>
      <c r="Q217" s="35">
        <v>0</v>
      </c>
      <c r="R217" s="40">
        <f t="shared" si="6"/>
        <v>387</v>
      </c>
      <c r="S217" s="35">
        <f t="shared" si="7"/>
        <v>374</v>
      </c>
      <c r="T217" s="11">
        <v>624401</v>
      </c>
    </row>
    <row r="218" spans="1:20" hidden="1">
      <c r="A218" s="48">
        <v>45882</v>
      </c>
      <c r="B218" s="35" t="s">
        <v>1459</v>
      </c>
      <c r="C218" s="40" t="s">
        <v>1497</v>
      </c>
      <c r="D218" s="35">
        <v>341</v>
      </c>
      <c r="E218" s="35">
        <v>331</v>
      </c>
      <c r="F218" s="35">
        <v>48</v>
      </c>
      <c r="G218" s="35">
        <v>46</v>
      </c>
      <c r="H218" s="35">
        <v>0</v>
      </c>
      <c r="I218" s="35">
        <v>0</v>
      </c>
      <c r="J218" s="35">
        <v>41</v>
      </c>
      <c r="K218" s="35">
        <v>39</v>
      </c>
      <c r="L218" s="35">
        <v>65</v>
      </c>
      <c r="M218" s="35">
        <v>64</v>
      </c>
      <c r="N218" s="35">
        <v>70</v>
      </c>
      <c r="O218" s="35">
        <v>67</v>
      </c>
      <c r="P218" s="35">
        <v>0</v>
      </c>
      <c r="Q218" s="35">
        <v>0</v>
      </c>
      <c r="R218" s="40">
        <f t="shared" si="6"/>
        <v>565</v>
      </c>
      <c r="S218" s="35">
        <f t="shared" si="7"/>
        <v>547</v>
      </c>
      <c r="T218" s="11">
        <v>624401</v>
      </c>
    </row>
    <row r="219" spans="1:20" hidden="1">
      <c r="A219" s="48">
        <v>45882</v>
      </c>
      <c r="B219" s="35" t="s">
        <v>1505</v>
      </c>
      <c r="C219" s="40" t="s">
        <v>1496</v>
      </c>
      <c r="D219" s="35">
        <v>0</v>
      </c>
      <c r="E219" s="35">
        <v>0</v>
      </c>
      <c r="F219" s="35">
        <v>3021.4</v>
      </c>
      <c r="G219" s="35">
        <v>2944</v>
      </c>
      <c r="H219" s="35">
        <v>0</v>
      </c>
      <c r="I219" s="35">
        <v>0</v>
      </c>
      <c r="J219" s="35">
        <v>0</v>
      </c>
      <c r="K219" s="35">
        <v>0</v>
      </c>
      <c r="L219" s="35">
        <v>1239.0999999999999</v>
      </c>
      <c r="M219" s="35">
        <v>1223</v>
      </c>
      <c r="N219" s="40">
        <f>798.8-798.8</f>
        <v>0</v>
      </c>
      <c r="O219" s="35">
        <v>751</v>
      </c>
      <c r="P219" s="35">
        <v>0</v>
      </c>
      <c r="Q219" s="35">
        <v>0</v>
      </c>
      <c r="R219" s="40">
        <f t="shared" si="6"/>
        <v>4260.5</v>
      </c>
      <c r="S219" s="35">
        <f t="shared" si="7"/>
        <v>4918</v>
      </c>
      <c r="T219" s="11">
        <v>606202</v>
      </c>
    </row>
    <row r="220" spans="1:20" hidden="1">
      <c r="A220" s="48">
        <v>45883</v>
      </c>
      <c r="B220" s="35" t="s">
        <v>964</v>
      </c>
      <c r="C220" s="40" t="s">
        <v>1495</v>
      </c>
      <c r="D220" s="35">
        <v>0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28</v>
      </c>
      <c r="O220" s="35">
        <v>0</v>
      </c>
      <c r="P220" s="35">
        <v>687</v>
      </c>
      <c r="Q220" s="35">
        <v>649</v>
      </c>
      <c r="R220" s="40">
        <f t="shared" si="6"/>
        <v>715</v>
      </c>
      <c r="S220" s="35">
        <f t="shared" si="7"/>
        <v>649</v>
      </c>
      <c r="T220" s="11">
        <v>636809</v>
      </c>
    </row>
    <row r="221" spans="1:20" hidden="1">
      <c r="A221" s="48">
        <v>45883</v>
      </c>
      <c r="B221" s="35" t="s">
        <v>1498</v>
      </c>
      <c r="C221" s="40" t="s">
        <v>1495</v>
      </c>
      <c r="D221" s="35">
        <v>347</v>
      </c>
      <c r="E221" s="35">
        <v>265</v>
      </c>
      <c r="F221" s="35">
        <v>260</v>
      </c>
      <c r="G221" s="35">
        <v>183</v>
      </c>
      <c r="H221" s="35">
        <v>0</v>
      </c>
      <c r="I221" s="35">
        <v>0</v>
      </c>
      <c r="J221" s="35">
        <v>0</v>
      </c>
      <c r="K221" s="35">
        <v>0</v>
      </c>
      <c r="L221" s="35">
        <v>320</v>
      </c>
      <c r="M221" s="35">
        <v>276</v>
      </c>
      <c r="N221" s="35">
        <v>542</v>
      </c>
      <c r="O221" s="35">
        <v>535</v>
      </c>
      <c r="P221" s="35">
        <v>2191</v>
      </c>
      <c r="Q221" s="35">
        <v>2095</v>
      </c>
      <c r="R221" s="40">
        <f t="shared" si="6"/>
        <v>3660</v>
      </c>
      <c r="S221" s="35">
        <f t="shared" si="7"/>
        <v>3354</v>
      </c>
      <c r="T221" s="11">
        <v>635301</v>
      </c>
    </row>
    <row r="222" spans="1:20" hidden="1">
      <c r="A222" s="48">
        <v>45884</v>
      </c>
      <c r="B222" s="35" t="s">
        <v>1505</v>
      </c>
      <c r="C222" s="40" t="s">
        <v>1496</v>
      </c>
      <c r="D222" s="35">
        <v>0</v>
      </c>
      <c r="E222" s="35">
        <v>0</v>
      </c>
      <c r="F222" s="35">
        <v>3216.4</v>
      </c>
      <c r="G222" s="35">
        <v>3610</v>
      </c>
      <c r="H222" s="35">
        <v>0</v>
      </c>
      <c r="I222" s="35">
        <v>0</v>
      </c>
      <c r="J222" s="35">
        <v>0</v>
      </c>
      <c r="K222" s="35">
        <v>0</v>
      </c>
      <c r="L222" s="35">
        <f>1496.76+436.9</f>
        <v>1933.6599999999999</v>
      </c>
      <c r="M222" s="35">
        <v>1463</v>
      </c>
      <c r="N222" s="35">
        <v>859.49999999999989</v>
      </c>
      <c r="O222" s="35">
        <v>847</v>
      </c>
      <c r="P222" s="35">
        <v>0</v>
      </c>
      <c r="Q222" s="35">
        <v>0</v>
      </c>
      <c r="R222" s="40">
        <f t="shared" si="6"/>
        <v>6009.5599999999995</v>
      </c>
      <c r="S222" s="35">
        <f t="shared" si="7"/>
        <v>5920</v>
      </c>
      <c r="T222" s="11">
        <v>606202</v>
      </c>
    </row>
    <row r="223" spans="1:20" hidden="1">
      <c r="A223" s="48">
        <v>45884</v>
      </c>
      <c r="B223" s="35" t="s">
        <v>1460</v>
      </c>
      <c r="C223" s="40" t="s">
        <v>1497</v>
      </c>
      <c r="D223" s="35">
        <v>185</v>
      </c>
      <c r="E223" s="35">
        <v>182</v>
      </c>
      <c r="F223" s="35">
        <v>87</v>
      </c>
      <c r="G223" s="35">
        <v>86</v>
      </c>
      <c r="H223" s="35">
        <v>0</v>
      </c>
      <c r="I223" s="35">
        <v>0</v>
      </c>
      <c r="J223" s="35">
        <v>67</v>
      </c>
      <c r="K223" s="35">
        <v>64</v>
      </c>
      <c r="L223" s="35">
        <v>98</v>
      </c>
      <c r="M223" s="35">
        <v>95</v>
      </c>
      <c r="N223" s="35">
        <v>56</v>
      </c>
      <c r="O223" s="35">
        <v>55</v>
      </c>
      <c r="P223" s="35">
        <v>0</v>
      </c>
      <c r="Q223" s="35">
        <v>0</v>
      </c>
      <c r="R223" s="40">
        <f t="shared" si="6"/>
        <v>493</v>
      </c>
      <c r="S223" s="35">
        <f t="shared" si="7"/>
        <v>482</v>
      </c>
      <c r="T223" s="11">
        <v>624401</v>
      </c>
    </row>
    <row r="224" spans="1:20" hidden="1">
      <c r="A224" s="48">
        <v>45884</v>
      </c>
      <c r="B224" s="35" t="s">
        <v>1459</v>
      </c>
      <c r="C224" s="40" t="s">
        <v>1497</v>
      </c>
      <c r="D224" s="35">
        <v>475</v>
      </c>
      <c r="E224" s="35">
        <v>468</v>
      </c>
      <c r="F224" s="35">
        <v>56</v>
      </c>
      <c r="G224" s="35">
        <v>55</v>
      </c>
      <c r="H224" s="35">
        <v>0</v>
      </c>
      <c r="I224" s="35">
        <v>0</v>
      </c>
      <c r="J224" s="35">
        <v>55</v>
      </c>
      <c r="K224" s="35">
        <v>53</v>
      </c>
      <c r="L224" s="35">
        <v>75</v>
      </c>
      <c r="M224" s="35">
        <v>73</v>
      </c>
      <c r="N224" s="35">
        <v>84</v>
      </c>
      <c r="O224" s="35">
        <v>83</v>
      </c>
      <c r="P224" s="35">
        <v>0</v>
      </c>
      <c r="Q224" s="35">
        <v>0</v>
      </c>
      <c r="R224" s="40">
        <f t="shared" si="6"/>
        <v>745</v>
      </c>
      <c r="S224" s="35">
        <f t="shared" si="7"/>
        <v>732</v>
      </c>
      <c r="T224" s="11">
        <v>624401</v>
      </c>
    </row>
    <row r="225" spans="1:20" hidden="1">
      <c r="A225" s="48">
        <v>45885</v>
      </c>
      <c r="B225" s="35" t="s">
        <v>1498</v>
      </c>
      <c r="C225" s="40" t="s">
        <v>1495</v>
      </c>
      <c r="D225" s="35">
        <v>350.5</v>
      </c>
      <c r="E225" s="35">
        <v>308</v>
      </c>
      <c r="F225" s="35">
        <v>280.70000000000005</v>
      </c>
      <c r="G225" s="35">
        <v>228</v>
      </c>
      <c r="H225" s="35">
        <v>0</v>
      </c>
      <c r="I225" s="35">
        <v>0</v>
      </c>
      <c r="J225" s="35">
        <v>0</v>
      </c>
      <c r="K225" s="35">
        <v>0</v>
      </c>
      <c r="L225" s="40">
        <f>656.1-656.1</f>
        <v>0</v>
      </c>
      <c r="M225" s="35">
        <v>587</v>
      </c>
      <c r="N225" s="40">
        <v>539</v>
      </c>
      <c r="O225" s="35">
        <v>179</v>
      </c>
      <c r="P225" s="40">
        <v>2042</v>
      </c>
      <c r="Q225" s="35">
        <v>2302</v>
      </c>
      <c r="R225" s="40">
        <f t="shared" si="6"/>
        <v>3212.2</v>
      </c>
      <c r="S225" s="35">
        <f t="shared" si="7"/>
        <v>3604</v>
      </c>
      <c r="T225" s="11">
        <v>635301</v>
      </c>
    </row>
    <row r="226" spans="1:20" hidden="1">
      <c r="A226" s="48">
        <v>45885</v>
      </c>
      <c r="B226" s="35" t="s">
        <v>964</v>
      </c>
      <c r="C226" s="40" t="s">
        <v>1495</v>
      </c>
      <c r="D226" s="35">
        <v>0</v>
      </c>
      <c r="E226" s="35">
        <v>0</v>
      </c>
      <c r="F226" s="35">
        <v>65</v>
      </c>
      <c r="G226" s="35">
        <v>63</v>
      </c>
      <c r="H226" s="35">
        <v>0</v>
      </c>
      <c r="I226" s="35">
        <v>0</v>
      </c>
      <c r="J226" s="35">
        <v>0</v>
      </c>
      <c r="K226" s="35">
        <v>0</v>
      </c>
      <c r="L226" s="40">
        <f>22-22</f>
        <v>0</v>
      </c>
      <c r="M226" s="35">
        <v>22</v>
      </c>
      <c r="N226" s="40">
        <v>0</v>
      </c>
      <c r="O226" s="35">
        <v>0</v>
      </c>
      <c r="P226" s="40">
        <v>0</v>
      </c>
      <c r="Q226" s="35">
        <f>555-22</f>
        <v>533</v>
      </c>
      <c r="R226" s="40">
        <f t="shared" si="6"/>
        <v>65</v>
      </c>
      <c r="S226" s="35">
        <f t="shared" si="7"/>
        <v>618</v>
      </c>
      <c r="T226" s="11">
        <v>636809</v>
      </c>
    </row>
    <row r="227" spans="1:20" hidden="1">
      <c r="A227" s="48">
        <v>45885</v>
      </c>
      <c r="B227" s="35" t="s">
        <v>1503</v>
      </c>
      <c r="C227" s="40" t="s">
        <v>1495</v>
      </c>
      <c r="D227" s="35">
        <v>0</v>
      </c>
      <c r="E227" s="35">
        <v>0</v>
      </c>
      <c r="F227" s="35">
        <v>4481</v>
      </c>
      <c r="G227" s="35">
        <v>4361</v>
      </c>
      <c r="H227" s="35">
        <v>0</v>
      </c>
      <c r="I227" s="35">
        <v>0</v>
      </c>
      <c r="J227" s="35">
        <v>102.4</v>
      </c>
      <c r="K227" s="35">
        <v>81</v>
      </c>
      <c r="L227" s="40">
        <v>1685</v>
      </c>
      <c r="M227" s="35">
        <v>1611</v>
      </c>
      <c r="N227" s="40">
        <v>630.5</v>
      </c>
      <c r="O227" s="35">
        <v>562</v>
      </c>
      <c r="P227" s="40">
        <v>0</v>
      </c>
      <c r="Q227" s="35">
        <v>0</v>
      </c>
      <c r="R227" s="40">
        <f t="shared" si="6"/>
        <v>6898.9</v>
      </c>
      <c r="S227" s="35">
        <f t="shared" si="7"/>
        <v>6615</v>
      </c>
      <c r="T227" s="11">
        <v>635703</v>
      </c>
    </row>
    <row r="228" spans="1:20" hidden="1">
      <c r="A228" s="48">
        <v>45886</v>
      </c>
      <c r="B228" s="35" t="s">
        <v>1460</v>
      </c>
      <c r="C228" s="40" t="s">
        <v>1497</v>
      </c>
      <c r="D228" s="35">
        <v>261</v>
      </c>
      <c r="E228" s="35">
        <v>254</v>
      </c>
      <c r="F228" s="35">
        <v>131</v>
      </c>
      <c r="G228" s="35">
        <v>140</v>
      </c>
      <c r="H228" s="35">
        <v>0</v>
      </c>
      <c r="I228" s="35">
        <v>0</v>
      </c>
      <c r="J228" s="35">
        <v>78</v>
      </c>
      <c r="K228" s="35">
        <v>71</v>
      </c>
      <c r="L228" s="40">
        <v>71</v>
      </c>
      <c r="M228" s="35">
        <v>75</v>
      </c>
      <c r="N228" s="40">
        <v>29</v>
      </c>
      <c r="O228" s="35">
        <v>21</v>
      </c>
      <c r="P228" s="40">
        <v>0</v>
      </c>
      <c r="Q228" s="35">
        <v>0</v>
      </c>
      <c r="R228" s="40">
        <f t="shared" si="6"/>
        <v>570</v>
      </c>
      <c r="S228" s="35">
        <f t="shared" si="7"/>
        <v>561</v>
      </c>
      <c r="T228" s="11">
        <v>624401</v>
      </c>
    </row>
    <row r="229" spans="1:20" hidden="1">
      <c r="A229" s="48">
        <v>45886</v>
      </c>
      <c r="B229" s="35" t="s">
        <v>1459</v>
      </c>
      <c r="C229" s="40" t="s">
        <v>1497</v>
      </c>
      <c r="D229" s="35">
        <v>560</v>
      </c>
      <c r="E229" s="35">
        <v>553</v>
      </c>
      <c r="F229" s="35">
        <v>91</v>
      </c>
      <c r="G229" s="35">
        <v>75</v>
      </c>
      <c r="H229" s="35">
        <v>0</v>
      </c>
      <c r="I229" s="35">
        <v>0</v>
      </c>
      <c r="J229" s="35">
        <v>67</v>
      </c>
      <c r="K229" s="35">
        <v>65</v>
      </c>
      <c r="L229" s="40">
        <v>92</v>
      </c>
      <c r="M229" s="35">
        <v>89</v>
      </c>
      <c r="N229" s="40">
        <v>92</v>
      </c>
      <c r="O229" s="35">
        <v>81</v>
      </c>
      <c r="P229" s="40">
        <v>0</v>
      </c>
      <c r="Q229" s="35">
        <v>0</v>
      </c>
      <c r="R229" s="40">
        <f t="shared" si="6"/>
        <v>902</v>
      </c>
      <c r="S229" s="35">
        <f t="shared" si="7"/>
        <v>863</v>
      </c>
      <c r="T229" s="11">
        <v>624401</v>
      </c>
    </row>
    <row r="230" spans="1:20" hidden="1">
      <c r="A230" s="48">
        <v>45887</v>
      </c>
      <c r="B230" s="35" t="s">
        <v>1498</v>
      </c>
      <c r="C230" s="40" t="s">
        <v>1495</v>
      </c>
      <c r="D230" s="35">
        <v>169.9</v>
      </c>
      <c r="E230" s="35">
        <v>124</v>
      </c>
      <c r="F230" s="35">
        <v>131</v>
      </c>
      <c r="G230" s="35">
        <v>105</v>
      </c>
      <c r="H230" s="35">
        <v>0</v>
      </c>
      <c r="I230" s="35">
        <v>0</v>
      </c>
      <c r="J230" s="35">
        <v>0</v>
      </c>
      <c r="K230" s="35">
        <v>0</v>
      </c>
      <c r="L230" s="40">
        <f>187.4-187.4</f>
        <v>0</v>
      </c>
      <c r="M230" s="35">
        <v>160</v>
      </c>
      <c r="N230" s="40">
        <v>299</v>
      </c>
      <c r="O230" s="35">
        <v>175</v>
      </c>
      <c r="P230" s="40">
        <v>1547</v>
      </c>
      <c r="Q230" s="35">
        <f>1633</f>
        <v>1633</v>
      </c>
      <c r="R230" s="40">
        <f t="shared" si="6"/>
        <v>2146.9</v>
      </c>
      <c r="S230" s="35">
        <f t="shared" si="7"/>
        <v>2197</v>
      </c>
      <c r="T230" s="11">
        <v>635301</v>
      </c>
    </row>
    <row r="231" spans="1:20" hidden="1">
      <c r="A231" s="48">
        <v>45887</v>
      </c>
      <c r="B231" s="35" t="s">
        <v>964</v>
      </c>
      <c r="C231" s="40" t="s">
        <v>1495</v>
      </c>
      <c r="D231" s="35">
        <v>0</v>
      </c>
      <c r="E231" s="35">
        <v>0</v>
      </c>
      <c r="F231" s="35">
        <v>35</v>
      </c>
      <c r="G231" s="35">
        <v>29</v>
      </c>
      <c r="H231" s="35">
        <v>0</v>
      </c>
      <c r="I231" s="35">
        <v>0</v>
      </c>
      <c r="J231" s="35">
        <v>0</v>
      </c>
      <c r="K231" s="35">
        <v>0</v>
      </c>
      <c r="L231" s="40">
        <f>13-13</f>
        <v>0</v>
      </c>
      <c r="M231" s="35">
        <v>7</v>
      </c>
      <c r="N231" s="40">
        <v>0</v>
      </c>
      <c r="O231" s="35">
        <v>0</v>
      </c>
      <c r="P231" s="40">
        <v>562</v>
      </c>
      <c r="Q231" s="35">
        <v>512</v>
      </c>
      <c r="R231" s="40">
        <f t="shared" si="6"/>
        <v>597</v>
      </c>
      <c r="S231" s="35">
        <f t="shared" si="7"/>
        <v>548</v>
      </c>
      <c r="T231" s="11">
        <v>636809</v>
      </c>
    </row>
    <row r="232" spans="1:20" hidden="1">
      <c r="A232" s="48">
        <v>45887</v>
      </c>
      <c r="B232" s="35" t="s">
        <v>1503</v>
      </c>
      <c r="C232" s="40" t="s">
        <v>1495</v>
      </c>
      <c r="D232" s="35">
        <v>0</v>
      </c>
      <c r="E232" s="35">
        <v>0</v>
      </c>
      <c r="F232" s="35">
        <v>4209.5</v>
      </c>
      <c r="G232" s="35">
        <f>3052+705</f>
        <v>3757</v>
      </c>
      <c r="H232" s="35">
        <v>0</v>
      </c>
      <c r="I232" s="35">
        <v>0</v>
      </c>
      <c r="J232" s="35">
        <v>0</v>
      </c>
      <c r="K232" s="35">
        <v>0</v>
      </c>
      <c r="L232" s="40">
        <v>2319.5</v>
      </c>
      <c r="M232" s="35">
        <v>2236</v>
      </c>
      <c r="N232" s="40">
        <v>406.5</v>
      </c>
      <c r="O232" s="35">
        <v>960</v>
      </c>
      <c r="P232" s="40">
        <v>0</v>
      </c>
      <c r="Q232" s="35">
        <v>0</v>
      </c>
      <c r="R232" s="40">
        <f t="shared" si="6"/>
        <v>6935.5</v>
      </c>
      <c r="S232" s="35">
        <f t="shared" si="7"/>
        <v>6953</v>
      </c>
      <c r="T232" s="11">
        <v>635703</v>
      </c>
    </row>
    <row r="233" spans="1:20" hidden="1">
      <c r="A233" s="48">
        <v>45888</v>
      </c>
      <c r="B233" s="35" t="s">
        <v>1459</v>
      </c>
      <c r="C233" s="40" t="s">
        <v>1497</v>
      </c>
      <c r="D233" s="35">
        <v>507</v>
      </c>
      <c r="E233" s="35">
        <v>493</v>
      </c>
      <c r="F233" s="35">
        <v>98</v>
      </c>
      <c r="G233" s="35">
        <v>91</v>
      </c>
      <c r="H233" s="35">
        <v>0</v>
      </c>
      <c r="I233" s="35">
        <v>0</v>
      </c>
      <c r="J233" s="35">
        <v>102</v>
      </c>
      <c r="K233" s="35">
        <v>103</v>
      </c>
      <c r="L233" s="40">
        <v>208</v>
      </c>
      <c r="M233" s="35">
        <f>213-5</f>
        <v>208</v>
      </c>
      <c r="N233" s="40">
        <v>203</v>
      </c>
      <c r="O233" s="35">
        <v>198</v>
      </c>
      <c r="P233" s="40">
        <v>0</v>
      </c>
      <c r="Q233" s="35">
        <v>0</v>
      </c>
      <c r="R233" s="40">
        <f t="shared" si="6"/>
        <v>1118</v>
      </c>
      <c r="S233" s="35">
        <f t="shared" si="7"/>
        <v>1093</v>
      </c>
      <c r="T233" s="11">
        <v>624401</v>
      </c>
    </row>
    <row r="234" spans="1:20" hidden="1">
      <c r="A234" s="48">
        <v>45888</v>
      </c>
      <c r="B234" s="35" t="s">
        <v>1460</v>
      </c>
      <c r="C234" s="40" t="s">
        <v>1497</v>
      </c>
      <c r="D234" s="35">
        <v>330</v>
      </c>
      <c r="E234" s="35">
        <v>321</v>
      </c>
      <c r="F234" s="35">
        <v>125</v>
      </c>
      <c r="G234" s="35">
        <v>116</v>
      </c>
      <c r="H234" s="35">
        <v>0</v>
      </c>
      <c r="I234" s="35">
        <v>0</v>
      </c>
      <c r="J234" s="35">
        <v>77</v>
      </c>
      <c r="K234" s="35">
        <v>78</v>
      </c>
      <c r="L234" s="40">
        <v>60</v>
      </c>
      <c r="M234" s="35">
        <f>62+5</f>
        <v>67</v>
      </c>
      <c r="N234" s="40">
        <v>33</v>
      </c>
      <c r="O234" s="35">
        <v>32</v>
      </c>
      <c r="P234" s="40">
        <v>0</v>
      </c>
      <c r="Q234" s="35">
        <v>0</v>
      </c>
      <c r="R234" s="40">
        <f t="shared" si="6"/>
        <v>625</v>
      </c>
      <c r="S234" s="35">
        <f t="shared" si="7"/>
        <v>614</v>
      </c>
      <c r="T234" s="11">
        <v>624401</v>
      </c>
    </row>
    <row r="235" spans="1:20" hidden="1">
      <c r="A235" s="48">
        <v>45889</v>
      </c>
      <c r="B235" s="35" t="s">
        <v>1498</v>
      </c>
      <c r="C235" s="40" t="s">
        <v>1495</v>
      </c>
      <c r="D235" s="35">
        <v>140.80000000000001</v>
      </c>
      <c r="E235" s="35">
        <v>131</v>
      </c>
      <c r="F235" s="35">
        <v>118.39999999999999</v>
      </c>
      <c r="G235" s="35">
        <v>118</v>
      </c>
      <c r="H235" s="35">
        <v>0</v>
      </c>
      <c r="I235" s="35">
        <v>0</v>
      </c>
      <c r="J235" s="35">
        <v>0</v>
      </c>
      <c r="K235" s="35">
        <v>0</v>
      </c>
      <c r="L235" s="40">
        <v>241.5</v>
      </c>
      <c r="M235" s="35">
        <v>210</v>
      </c>
      <c r="N235" s="40">
        <v>189</v>
      </c>
      <c r="O235" s="35">
        <v>199</v>
      </c>
      <c r="P235" s="40">
        <v>1096</v>
      </c>
      <c r="Q235" s="35">
        <v>962</v>
      </c>
      <c r="R235" s="40">
        <f t="shared" si="6"/>
        <v>1785.7</v>
      </c>
      <c r="S235" s="35">
        <f t="shared" si="7"/>
        <v>1620</v>
      </c>
      <c r="T235" s="11">
        <v>635301</v>
      </c>
    </row>
    <row r="236" spans="1:20" hidden="1">
      <c r="A236" s="48">
        <v>45889</v>
      </c>
      <c r="B236" s="35" t="s">
        <v>1503</v>
      </c>
      <c r="C236" s="40" t="s">
        <v>1495</v>
      </c>
      <c r="D236" s="35">
        <v>0</v>
      </c>
      <c r="E236" s="35">
        <v>0</v>
      </c>
      <c r="F236" s="35">
        <f>4718+4582</f>
        <v>9300</v>
      </c>
      <c r="G236" s="35">
        <f>4470+4391</f>
        <v>8861</v>
      </c>
      <c r="H236" s="35">
        <v>0</v>
      </c>
      <c r="I236" s="35">
        <v>0</v>
      </c>
      <c r="J236" s="35">
        <f>587-112.3</f>
        <v>474.7</v>
      </c>
      <c r="K236" s="35">
        <v>631</v>
      </c>
      <c r="L236" s="40">
        <f>1792.9+1705.8</f>
        <v>3498.7</v>
      </c>
      <c r="M236" s="35">
        <f>1477+1685</f>
        <v>3162</v>
      </c>
      <c r="N236" s="40">
        <f>366.5+383</f>
        <v>749.5</v>
      </c>
      <c r="O236" s="35">
        <f>592+338</f>
        <v>930</v>
      </c>
      <c r="P236" s="40">
        <v>0</v>
      </c>
      <c r="Q236" s="35">
        <v>0</v>
      </c>
      <c r="R236" s="40">
        <f t="shared" si="6"/>
        <v>14022.900000000001</v>
      </c>
      <c r="S236" s="35">
        <f t="shared" si="7"/>
        <v>13584</v>
      </c>
      <c r="T236" s="11">
        <v>635703</v>
      </c>
    </row>
    <row r="237" spans="1:20" hidden="1">
      <c r="A237" s="48">
        <v>45889</v>
      </c>
      <c r="B237" s="35" t="s">
        <v>964</v>
      </c>
      <c r="C237" s="40" t="s">
        <v>1495</v>
      </c>
      <c r="D237" s="35">
        <v>0</v>
      </c>
      <c r="E237" s="35">
        <v>0</v>
      </c>
      <c r="F237" s="35">
        <v>12</v>
      </c>
      <c r="G237" s="35">
        <v>12</v>
      </c>
      <c r="H237" s="35">
        <v>0</v>
      </c>
      <c r="I237" s="35">
        <v>0</v>
      </c>
      <c r="J237" s="35">
        <v>0</v>
      </c>
      <c r="K237" s="35">
        <v>0</v>
      </c>
      <c r="L237" s="35">
        <v>5</v>
      </c>
      <c r="M237" s="35">
        <v>4</v>
      </c>
      <c r="N237" s="35">
        <v>0</v>
      </c>
      <c r="O237" s="35">
        <v>0</v>
      </c>
      <c r="P237" s="35">
        <v>346</v>
      </c>
      <c r="Q237" s="35">
        <v>304</v>
      </c>
      <c r="R237" s="40">
        <f t="shared" si="6"/>
        <v>363</v>
      </c>
      <c r="S237" s="35">
        <f t="shared" si="7"/>
        <v>320</v>
      </c>
      <c r="T237" s="11">
        <v>636809</v>
      </c>
    </row>
    <row r="238" spans="1:20" hidden="1">
      <c r="A238" s="48">
        <v>45890</v>
      </c>
      <c r="B238" s="35" t="s">
        <v>1505</v>
      </c>
      <c r="C238" s="40" t="s">
        <v>1496</v>
      </c>
      <c r="D238" s="35">
        <v>0</v>
      </c>
      <c r="E238" s="35">
        <v>0</v>
      </c>
      <c r="F238" s="35">
        <v>2145.5200000000004</v>
      </c>
      <c r="G238" s="35">
        <v>2047</v>
      </c>
      <c r="H238" s="35">
        <v>0</v>
      </c>
      <c r="I238" s="35">
        <v>0</v>
      </c>
      <c r="J238" s="35">
        <v>0</v>
      </c>
      <c r="K238" s="35">
        <v>0</v>
      </c>
      <c r="L238" s="35">
        <v>826.7</v>
      </c>
      <c r="M238" s="35">
        <v>781</v>
      </c>
      <c r="N238" s="35">
        <v>407.7</v>
      </c>
      <c r="O238" s="35">
        <v>392</v>
      </c>
      <c r="P238" s="35">
        <v>0</v>
      </c>
      <c r="Q238" s="35">
        <v>0</v>
      </c>
      <c r="R238" s="40">
        <f t="shared" si="6"/>
        <v>3379.92</v>
      </c>
      <c r="S238" s="35">
        <f t="shared" si="7"/>
        <v>3220</v>
      </c>
      <c r="T238" s="11">
        <v>606202</v>
      </c>
    </row>
    <row r="239" spans="1:20" hidden="1">
      <c r="A239" s="48">
        <v>45890</v>
      </c>
      <c r="B239" s="35" t="s">
        <v>1460</v>
      </c>
      <c r="C239" s="40" t="s">
        <v>1497</v>
      </c>
      <c r="D239" s="35">
        <v>428</v>
      </c>
      <c r="E239" s="35">
        <v>426</v>
      </c>
      <c r="F239" s="35">
        <v>179</v>
      </c>
      <c r="G239" s="35">
        <v>175</v>
      </c>
      <c r="H239" s="35">
        <v>0</v>
      </c>
      <c r="I239" s="35">
        <v>0</v>
      </c>
      <c r="J239" s="35">
        <v>73</v>
      </c>
      <c r="K239" s="35">
        <v>42</v>
      </c>
      <c r="L239" s="35">
        <v>78</v>
      </c>
      <c r="M239" s="35">
        <v>102</v>
      </c>
      <c r="N239" s="35">
        <v>33</v>
      </c>
      <c r="O239" s="35">
        <v>32</v>
      </c>
      <c r="P239" s="35">
        <v>0</v>
      </c>
      <c r="Q239" s="35">
        <v>0</v>
      </c>
      <c r="R239" s="40">
        <f t="shared" si="6"/>
        <v>791</v>
      </c>
      <c r="S239" s="35">
        <f t="shared" si="7"/>
        <v>777</v>
      </c>
      <c r="T239" s="11">
        <v>624401</v>
      </c>
    </row>
    <row r="240" spans="1:20" hidden="1">
      <c r="A240" s="48">
        <v>45890</v>
      </c>
      <c r="B240" s="35" t="s">
        <v>1459</v>
      </c>
      <c r="C240" s="40" t="s">
        <v>1497</v>
      </c>
      <c r="D240" s="40">
        <v>399</v>
      </c>
      <c r="E240" s="35">
        <v>398</v>
      </c>
      <c r="F240" s="40">
        <v>70</v>
      </c>
      <c r="G240" s="35">
        <v>69</v>
      </c>
      <c r="H240" s="40">
        <v>0</v>
      </c>
      <c r="I240" s="35">
        <v>0</v>
      </c>
      <c r="J240" s="40">
        <v>61</v>
      </c>
      <c r="K240" s="35">
        <v>35</v>
      </c>
      <c r="L240" s="40">
        <v>75</v>
      </c>
      <c r="M240" s="35">
        <v>99</v>
      </c>
      <c r="N240" s="40">
        <v>88</v>
      </c>
      <c r="O240" s="35">
        <v>87</v>
      </c>
      <c r="P240" s="35">
        <v>0</v>
      </c>
      <c r="Q240" s="35">
        <v>0</v>
      </c>
      <c r="R240" s="40">
        <f t="shared" si="6"/>
        <v>693</v>
      </c>
      <c r="S240" s="35">
        <f t="shared" si="7"/>
        <v>688</v>
      </c>
      <c r="T240" s="11">
        <v>624401</v>
      </c>
    </row>
    <row r="241" spans="1:20" hidden="1">
      <c r="A241" s="48">
        <v>45891</v>
      </c>
      <c r="B241" s="35" t="s">
        <v>1503</v>
      </c>
      <c r="C241" s="40" t="s">
        <v>1495</v>
      </c>
      <c r="D241" s="40">
        <v>0</v>
      </c>
      <c r="E241" s="35">
        <v>0</v>
      </c>
      <c r="F241" s="40">
        <v>8329.5</v>
      </c>
      <c r="G241" s="35">
        <f>3671+4505</f>
        <v>8176</v>
      </c>
      <c r="H241" s="40">
        <v>0</v>
      </c>
      <c r="I241" s="35">
        <v>0</v>
      </c>
      <c r="J241" s="40">
        <v>400</v>
      </c>
      <c r="K241" s="35">
        <v>396</v>
      </c>
      <c r="L241" s="40">
        <v>3949</v>
      </c>
      <c r="M241" s="35">
        <f>1997+1965</f>
        <v>3962</v>
      </c>
      <c r="N241" s="40">
        <f>1160.8</f>
        <v>1160.8</v>
      </c>
      <c r="O241" s="35">
        <f>636+518</f>
        <v>1154</v>
      </c>
      <c r="P241" s="35">
        <v>0</v>
      </c>
      <c r="Q241" s="35">
        <v>0</v>
      </c>
      <c r="R241" s="40">
        <f t="shared" si="6"/>
        <v>13839.3</v>
      </c>
      <c r="S241" s="35">
        <f t="shared" si="7"/>
        <v>13688</v>
      </c>
      <c r="T241" s="11">
        <v>635703</v>
      </c>
    </row>
    <row r="242" spans="1:20" hidden="1">
      <c r="A242" s="48">
        <v>45892</v>
      </c>
      <c r="B242" s="35" t="s">
        <v>1505</v>
      </c>
      <c r="C242" s="40" t="s">
        <v>1496</v>
      </c>
      <c r="D242" s="40">
        <v>0</v>
      </c>
      <c r="E242" s="35">
        <v>0</v>
      </c>
      <c r="F242" s="40">
        <v>2108.6000000000004</v>
      </c>
      <c r="G242" s="35">
        <v>2024</v>
      </c>
      <c r="H242" s="40">
        <v>0</v>
      </c>
      <c r="I242" s="35">
        <v>0</v>
      </c>
      <c r="J242" s="40">
        <v>0</v>
      </c>
      <c r="K242" s="35">
        <v>0</v>
      </c>
      <c r="L242" s="40">
        <v>1139.7</v>
      </c>
      <c r="M242" s="35">
        <v>1104</v>
      </c>
      <c r="N242" s="40">
        <f>388.5-388.5</f>
        <v>0</v>
      </c>
      <c r="O242" s="35">
        <f>397-397</f>
        <v>0</v>
      </c>
      <c r="P242" s="35">
        <v>0</v>
      </c>
      <c r="Q242" s="35">
        <v>0</v>
      </c>
      <c r="R242" s="40">
        <f t="shared" si="6"/>
        <v>3248.3</v>
      </c>
      <c r="S242" s="35">
        <f t="shared" si="7"/>
        <v>3128</v>
      </c>
      <c r="T242" s="11">
        <v>606202</v>
      </c>
    </row>
    <row r="243" spans="1:20" hidden="1">
      <c r="A243" s="48">
        <v>45892</v>
      </c>
      <c r="B243" s="35" t="s">
        <v>1503</v>
      </c>
      <c r="C243" s="40" t="s">
        <v>1495</v>
      </c>
      <c r="D243" s="40">
        <v>0</v>
      </c>
      <c r="E243" s="35">
        <v>0</v>
      </c>
      <c r="F243" s="40">
        <v>3931.5</v>
      </c>
      <c r="G243" s="35">
        <v>3699</v>
      </c>
      <c r="H243" s="40">
        <v>0</v>
      </c>
      <c r="I243" s="35">
        <v>0</v>
      </c>
      <c r="J243" s="40">
        <v>347.65</v>
      </c>
      <c r="K243" s="35">
        <v>0</v>
      </c>
      <c r="L243" s="40">
        <v>842</v>
      </c>
      <c r="M243" s="35">
        <v>1039</v>
      </c>
      <c r="N243" s="40">
        <f>372.5-372.5</f>
        <v>0</v>
      </c>
      <c r="O243" s="35">
        <f>359-359</f>
        <v>0</v>
      </c>
      <c r="P243" s="35">
        <v>0</v>
      </c>
      <c r="Q243" s="35">
        <v>0</v>
      </c>
      <c r="R243" s="40">
        <f t="shared" si="6"/>
        <v>5121.1499999999996</v>
      </c>
      <c r="S243" s="35">
        <f t="shared" si="7"/>
        <v>4738</v>
      </c>
      <c r="T243" s="11">
        <v>635703</v>
      </c>
    </row>
    <row r="244" spans="1:20" hidden="1">
      <c r="A244" s="48">
        <v>45892</v>
      </c>
      <c r="B244" s="35" t="s">
        <v>1460</v>
      </c>
      <c r="C244" s="40" t="s">
        <v>1497</v>
      </c>
      <c r="D244" s="40">
        <v>437</v>
      </c>
      <c r="E244" s="35">
        <v>430</v>
      </c>
      <c r="F244" s="40">
        <v>206</v>
      </c>
      <c r="G244" s="35">
        <v>198</v>
      </c>
      <c r="H244" s="40">
        <v>0</v>
      </c>
      <c r="I244" s="35">
        <v>0</v>
      </c>
      <c r="J244" s="40">
        <v>137</v>
      </c>
      <c r="K244" s="35">
        <v>143</v>
      </c>
      <c r="L244" s="40">
        <v>135</v>
      </c>
      <c r="M244" s="35">
        <v>128</v>
      </c>
      <c r="N244" s="40">
        <f>65-65</f>
        <v>0</v>
      </c>
      <c r="O244" s="35">
        <f>67-67</f>
        <v>0</v>
      </c>
      <c r="P244" s="35">
        <v>0</v>
      </c>
      <c r="Q244" s="35">
        <v>0</v>
      </c>
      <c r="R244" s="40">
        <f t="shared" si="6"/>
        <v>915</v>
      </c>
      <c r="S244" s="35">
        <f t="shared" si="7"/>
        <v>899</v>
      </c>
      <c r="T244" s="11">
        <v>624401</v>
      </c>
    </row>
    <row r="245" spans="1:20" hidden="1">
      <c r="A245" s="48">
        <v>45892</v>
      </c>
      <c r="B245" s="35" t="s">
        <v>1459</v>
      </c>
      <c r="C245" s="40" t="s">
        <v>1497</v>
      </c>
      <c r="D245" s="40">
        <v>345</v>
      </c>
      <c r="E245" s="35">
        <v>339</v>
      </c>
      <c r="F245" s="40">
        <v>82</v>
      </c>
      <c r="G245" s="35">
        <v>79</v>
      </c>
      <c r="H245" s="40">
        <v>0</v>
      </c>
      <c r="I245" s="35">
        <v>0</v>
      </c>
      <c r="J245" s="40">
        <v>63</v>
      </c>
      <c r="K245" s="35">
        <v>66</v>
      </c>
      <c r="L245" s="40">
        <v>107</v>
      </c>
      <c r="M245" s="35">
        <v>101</v>
      </c>
      <c r="N245" s="40">
        <f>107-107</f>
        <v>0</v>
      </c>
      <c r="O245" s="35">
        <f>110-110</f>
        <v>0</v>
      </c>
      <c r="P245" s="35">
        <v>0</v>
      </c>
      <c r="Q245" s="35">
        <v>0</v>
      </c>
      <c r="R245" s="40">
        <f t="shared" si="6"/>
        <v>597</v>
      </c>
      <c r="S245" s="35">
        <f t="shared" si="7"/>
        <v>585</v>
      </c>
      <c r="T245" s="11">
        <v>624401</v>
      </c>
    </row>
    <row r="246" spans="1:20" hidden="1">
      <c r="A246" s="48">
        <v>45893</v>
      </c>
      <c r="B246" s="35" t="s">
        <v>1503</v>
      </c>
      <c r="C246" s="40" t="s">
        <v>1495</v>
      </c>
      <c r="D246" s="40">
        <v>0</v>
      </c>
      <c r="E246" s="35">
        <v>0</v>
      </c>
      <c r="F246" s="40">
        <f>15186.5-1215-42</f>
        <v>13929.5</v>
      </c>
      <c r="G246" s="35">
        <f>3206+3248+3232+3451</f>
        <v>13137</v>
      </c>
      <c r="H246" s="40">
        <v>0</v>
      </c>
      <c r="I246" s="35">
        <v>0</v>
      </c>
      <c r="J246" s="40">
        <v>0</v>
      </c>
      <c r="K246" s="35">
        <v>0</v>
      </c>
      <c r="L246" s="40">
        <f>8939.6-863-544</f>
        <v>7532.6</v>
      </c>
      <c r="M246" s="35">
        <f>2364+2025+1585+1789</f>
        <v>7763</v>
      </c>
      <c r="N246" s="40">
        <f>3909.5-427.6-829-2346</f>
        <v>306.90000000000009</v>
      </c>
      <c r="O246" s="35">
        <f>991+740+646+742-2346</f>
        <v>773</v>
      </c>
      <c r="P246" s="35">
        <v>0</v>
      </c>
      <c r="Q246" s="35">
        <v>0</v>
      </c>
      <c r="R246" s="40">
        <f t="shared" si="6"/>
        <v>21769</v>
      </c>
      <c r="S246" s="35">
        <f t="shared" si="7"/>
        <v>21673</v>
      </c>
      <c r="T246" s="11">
        <v>635703</v>
      </c>
    </row>
    <row r="247" spans="1:20" hidden="1">
      <c r="A247" s="48">
        <v>45894</v>
      </c>
      <c r="B247" s="35" t="s">
        <v>1505</v>
      </c>
      <c r="C247" s="40" t="s">
        <v>1496</v>
      </c>
      <c r="D247" s="40">
        <v>0</v>
      </c>
      <c r="E247" s="35">
        <v>0</v>
      </c>
      <c r="F247" s="40">
        <v>810</v>
      </c>
      <c r="G247" s="35">
        <v>900</v>
      </c>
      <c r="H247" s="40">
        <v>0</v>
      </c>
      <c r="I247" s="35">
        <v>0</v>
      </c>
      <c r="J247" s="40">
        <v>0</v>
      </c>
      <c r="K247" s="35">
        <v>0</v>
      </c>
      <c r="L247" s="40">
        <f>344-43.4</f>
        <v>300.60000000000002</v>
      </c>
      <c r="M247" s="35">
        <v>379</v>
      </c>
      <c r="N247" s="40">
        <f>187-187</f>
        <v>0</v>
      </c>
      <c r="O247" s="35">
        <v>0</v>
      </c>
      <c r="P247" s="35">
        <v>0</v>
      </c>
      <c r="Q247" s="35">
        <v>0</v>
      </c>
      <c r="R247" s="40">
        <f t="shared" si="6"/>
        <v>1110.5999999999999</v>
      </c>
      <c r="S247" s="35">
        <f t="shared" si="7"/>
        <v>1279</v>
      </c>
      <c r="T247" s="11">
        <v>606202</v>
      </c>
    </row>
    <row r="248" spans="1:20" hidden="1">
      <c r="A248" s="48">
        <v>45894</v>
      </c>
      <c r="B248" s="35" t="s">
        <v>1503</v>
      </c>
      <c r="C248" s="40" t="s">
        <v>1495</v>
      </c>
      <c r="D248" s="40">
        <v>0</v>
      </c>
      <c r="E248" s="35">
        <v>0</v>
      </c>
      <c r="F248" s="40">
        <f>11639.7-2598+42-162</f>
        <v>8921.7000000000007</v>
      </c>
      <c r="G248" s="35">
        <f>4483+1336+2946</f>
        <v>8765</v>
      </c>
      <c r="H248" s="40">
        <v>0</v>
      </c>
      <c r="I248" s="35">
        <v>0</v>
      </c>
      <c r="J248" s="40">
        <f>1586-588.5</f>
        <v>997.5</v>
      </c>
      <c r="K248" s="35">
        <f>1490</f>
        <v>1490</v>
      </c>
      <c r="L248" s="40">
        <f>5337.8-435+544-540</f>
        <v>4906.8</v>
      </c>
      <c r="M248" s="35">
        <f>1075+1645+1544</f>
        <v>4264</v>
      </c>
      <c r="N248" s="40">
        <f>4434-1978-94+829-1058</f>
        <v>2133</v>
      </c>
      <c r="O248" s="35">
        <f>503+2280+1040-1843</f>
        <v>1980</v>
      </c>
      <c r="P248" s="35">
        <v>0</v>
      </c>
      <c r="Q248" s="35">
        <v>0</v>
      </c>
      <c r="R248" s="40">
        <f t="shared" si="6"/>
        <v>16959</v>
      </c>
      <c r="S248" s="35">
        <f t="shared" si="7"/>
        <v>16499</v>
      </c>
      <c r="T248" s="11">
        <v>635703</v>
      </c>
    </row>
    <row r="249" spans="1:20" hidden="1">
      <c r="A249" s="48">
        <v>45894</v>
      </c>
      <c r="B249" s="35" t="s">
        <v>1460</v>
      </c>
      <c r="C249" s="40" t="s">
        <v>1497</v>
      </c>
      <c r="D249" s="40">
        <v>438</v>
      </c>
      <c r="E249" s="35">
        <v>423</v>
      </c>
      <c r="F249" s="40">
        <v>198</v>
      </c>
      <c r="G249" s="35">
        <v>116</v>
      </c>
      <c r="H249" s="40">
        <v>0</v>
      </c>
      <c r="I249" s="35">
        <v>0</v>
      </c>
      <c r="J249" s="40">
        <v>77</v>
      </c>
      <c r="K249" s="35">
        <v>74</v>
      </c>
      <c r="L249" s="40">
        <v>105</v>
      </c>
      <c r="M249" s="35">
        <v>103</v>
      </c>
      <c r="N249" s="40">
        <f>62-62</f>
        <v>0</v>
      </c>
      <c r="O249" s="35">
        <v>0</v>
      </c>
      <c r="P249" s="35">
        <v>0</v>
      </c>
      <c r="Q249" s="35">
        <v>0</v>
      </c>
      <c r="R249" s="40">
        <f t="shared" si="6"/>
        <v>818</v>
      </c>
      <c r="S249" s="35">
        <f t="shared" si="7"/>
        <v>716</v>
      </c>
      <c r="T249" s="11">
        <v>624401</v>
      </c>
    </row>
    <row r="250" spans="1:20" hidden="1">
      <c r="A250" s="48">
        <v>45894</v>
      </c>
      <c r="B250" s="35" t="s">
        <v>1459</v>
      </c>
      <c r="C250" s="40" t="s">
        <v>1497</v>
      </c>
      <c r="D250" s="40">
        <v>330</v>
      </c>
      <c r="E250" s="35">
        <v>318</v>
      </c>
      <c r="F250" s="40">
        <v>74</v>
      </c>
      <c r="G250" s="35">
        <v>44</v>
      </c>
      <c r="H250" s="40">
        <v>0</v>
      </c>
      <c r="I250" s="35">
        <v>0</v>
      </c>
      <c r="J250" s="40">
        <v>57</v>
      </c>
      <c r="K250" s="35">
        <v>54</v>
      </c>
      <c r="L250" s="40">
        <v>88</v>
      </c>
      <c r="M250" s="35">
        <v>86</v>
      </c>
      <c r="N250" s="40">
        <f>94-94</f>
        <v>0</v>
      </c>
      <c r="O250" s="35">
        <v>0</v>
      </c>
      <c r="P250" s="35">
        <v>0</v>
      </c>
      <c r="Q250" s="35">
        <v>0</v>
      </c>
      <c r="R250" s="40">
        <f t="shared" si="6"/>
        <v>549</v>
      </c>
      <c r="S250" s="35">
        <f t="shared" si="7"/>
        <v>502</v>
      </c>
      <c r="T250" s="11">
        <v>624401</v>
      </c>
    </row>
    <row r="251" spans="1:20" hidden="1">
      <c r="A251" s="48">
        <v>45895</v>
      </c>
      <c r="B251" s="35" t="s">
        <v>1503</v>
      </c>
      <c r="C251" s="40" t="s">
        <v>1495</v>
      </c>
      <c r="D251" s="40">
        <v>0</v>
      </c>
      <c r="E251" s="35">
        <v>0</v>
      </c>
      <c r="F251" s="40">
        <f>13120.5-650.5</f>
        <v>12470</v>
      </c>
      <c r="G251" s="35">
        <f>4189+3754+4250</f>
        <v>12193</v>
      </c>
      <c r="H251" s="40">
        <v>0</v>
      </c>
      <c r="I251" s="35">
        <v>0</v>
      </c>
      <c r="J251" s="40">
        <v>0</v>
      </c>
      <c r="K251" s="35">
        <v>0</v>
      </c>
      <c r="L251" s="40">
        <f>6159-620.5</f>
        <v>5538.5</v>
      </c>
      <c r="M251" s="35">
        <f>1874+1987+2170</f>
        <v>6031</v>
      </c>
      <c r="N251" s="40">
        <f>3024.84-505-2030</f>
        <v>489.84000000000015</v>
      </c>
      <c r="O251" s="35">
        <f>1228+668+1658-2030</f>
        <v>1524</v>
      </c>
      <c r="P251" s="35">
        <v>0</v>
      </c>
      <c r="Q251" s="35">
        <v>0</v>
      </c>
      <c r="R251" s="40">
        <f t="shared" si="6"/>
        <v>18498.34</v>
      </c>
      <c r="S251" s="35">
        <f t="shared" si="7"/>
        <v>19748</v>
      </c>
      <c r="T251" s="11">
        <v>635703</v>
      </c>
    </row>
    <row r="252" spans="1:20" hidden="1">
      <c r="A252" s="48">
        <v>45896</v>
      </c>
      <c r="B252" s="35" t="s">
        <v>1503</v>
      </c>
      <c r="C252" s="40" t="s">
        <v>1495</v>
      </c>
      <c r="D252" s="40">
        <v>0</v>
      </c>
      <c r="E252" s="41">
        <v>0</v>
      </c>
      <c r="F252" s="40">
        <v>11008</v>
      </c>
      <c r="G252" s="41">
        <f>4888+4276+1465</f>
        <v>10629</v>
      </c>
      <c r="H252" s="40">
        <v>0</v>
      </c>
      <c r="I252" s="41">
        <v>0</v>
      </c>
      <c r="J252" s="40">
        <v>1231.5</v>
      </c>
      <c r="K252" s="41">
        <v>0</v>
      </c>
      <c r="L252" s="40">
        <v>2837.5</v>
      </c>
      <c r="M252" s="41">
        <f>939+2284+800-100</f>
        <v>3923</v>
      </c>
      <c r="N252" s="40">
        <f>1303.5</f>
        <v>1303.5</v>
      </c>
      <c r="O252" s="41">
        <f>861+458+359</f>
        <v>1678</v>
      </c>
      <c r="P252" s="41">
        <v>0</v>
      </c>
      <c r="Q252" s="41">
        <v>0</v>
      </c>
      <c r="R252" s="40">
        <f t="shared" si="6"/>
        <v>16380.5</v>
      </c>
      <c r="S252" s="35">
        <f t="shared" si="7"/>
        <v>16230</v>
      </c>
      <c r="T252" s="11">
        <v>635703</v>
      </c>
    </row>
    <row r="253" spans="1:20" hidden="1">
      <c r="A253" s="48">
        <v>45896</v>
      </c>
      <c r="B253" s="35" t="s">
        <v>1505</v>
      </c>
      <c r="C253" s="40" t="s">
        <v>1496</v>
      </c>
      <c r="D253" s="40">
        <v>0</v>
      </c>
      <c r="E253" s="41">
        <v>0</v>
      </c>
      <c r="F253" s="40">
        <v>642.9</v>
      </c>
      <c r="G253" s="41">
        <v>597</v>
      </c>
      <c r="H253" s="40">
        <v>0</v>
      </c>
      <c r="I253" s="41">
        <v>0</v>
      </c>
      <c r="J253" s="40">
        <v>0</v>
      </c>
      <c r="K253" s="41">
        <v>0</v>
      </c>
      <c r="L253" s="40">
        <v>428.2</v>
      </c>
      <c r="M253" s="41">
        <f>354+100</f>
        <v>454</v>
      </c>
      <c r="N253" s="40">
        <v>184.4</v>
      </c>
      <c r="O253" s="41">
        <v>163</v>
      </c>
      <c r="P253" s="41">
        <v>0</v>
      </c>
      <c r="Q253" s="41">
        <v>0</v>
      </c>
      <c r="R253" s="40">
        <f t="shared" si="6"/>
        <v>1255.5</v>
      </c>
      <c r="S253" s="35">
        <f t="shared" si="7"/>
        <v>1214</v>
      </c>
      <c r="T253" s="11">
        <v>606202</v>
      </c>
    </row>
    <row r="254" spans="1:20" ht="15.75" hidden="1">
      <c r="A254" s="48">
        <v>45896</v>
      </c>
      <c r="B254" s="22" t="s">
        <v>1500</v>
      </c>
      <c r="C254" s="40" t="s">
        <v>1496</v>
      </c>
      <c r="D254" s="40">
        <v>0</v>
      </c>
      <c r="E254" s="41">
        <v>0</v>
      </c>
      <c r="F254" s="40">
        <f>103+21+34+94+64-22</f>
        <v>294</v>
      </c>
      <c r="G254" s="41">
        <v>294</v>
      </c>
      <c r="H254" s="40">
        <v>0</v>
      </c>
      <c r="I254" s="41">
        <v>0</v>
      </c>
      <c r="J254" s="40">
        <v>0</v>
      </c>
      <c r="K254" s="41">
        <v>0</v>
      </c>
      <c r="L254" s="40">
        <f>162+37+46+95+167-87</f>
        <v>420</v>
      </c>
      <c r="M254" s="41">
        <v>420</v>
      </c>
      <c r="N254" s="40">
        <f>42+4+22+26+181-32</f>
        <v>243</v>
      </c>
      <c r="O254" s="41">
        <v>243</v>
      </c>
      <c r="P254" s="40">
        <v>0</v>
      </c>
      <c r="Q254" s="41">
        <v>0</v>
      </c>
      <c r="R254" s="40">
        <f t="shared" si="6"/>
        <v>957</v>
      </c>
      <c r="S254" s="35">
        <f t="shared" si="7"/>
        <v>957</v>
      </c>
      <c r="T254" s="11">
        <v>583134</v>
      </c>
    </row>
    <row r="255" spans="1:20" hidden="1">
      <c r="A255" s="48">
        <v>45896</v>
      </c>
      <c r="B255" s="41" t="s">
        <v>1460</v>
      </c>
      <c r="C255" s="40" t="s">
        <v>1497</v>
      </c>
      <c r="D255" s="40">
        <v>367</v>
      </c>
      <c r="E255" s="41">
        <v>356</v>
      </c>
      <c r="F255" s="40">
        <v>179</v>
      </c>
      <c r="G255" s="41">
        <v>172</v>
      </c>
      <c r="H255" s="40">
        <v>0</v>
      </c>
      <c r="I255" s="41">
        <v>0</v>
      </c>
      <c r="J255" s="40">
        <v>48</v>
      </c>
      <c r="K255" s="41">
        <v>48</v>
      </c>
      <c r="L255" s="40">
        <v>87</v>
      </c>
      <c r="M255" s="41">
        <v>86</v>
      </c>
      <c r="N255" s="40">
        <v>69</v>
      </c>
      <c r="O255" s="41">
        <v>68</v>
      </c>
      <c r="P255" s="41">
        <v>0</v>
      </c>
      <c r="Q255" s="41">
        <v>0</v>
      </c>
      <c r="R255" s="40">
        <f t="shared" si="6"/>
        <v>750</v>
      </c>
      <c r="S255" s="35">
        <f t="shared" si="7"/>
        <v>730</v>
      </c>
      <c r="T255" s="11">
        <v>624401</v>
      </c>
    </row>
    <row r="256" spans="1:20" hidden="1">
      <c r="A256" s="48">
        <v>45896</v>
      </c>
      <c r="B256" s="41" t="s">
        <v>1459</v>
      </c>
      <c r="C256" s="40" t="s">
        <v>1497</v>
      </c>
      <c r="D256" s="40">
        <v>238</v>
      </c>
      <c r="E256" s="41">
        <v>241</v>
      </c>
      <c r="F256" s="40">
        <v>51</v>
      </c>
      <c r="G256" s="41">
        <v>50</v>
      </c>
      <c r="H256" s="40">
        <v>0</v>
      </c>
      <c r="I256" s="41">
        <v>0</v>
      </c>
      <c r="J256" s="40">
        <v>42</v>
      </c>
      <c r="K256" s="41">
        <v>41</v>
      </c>
      <c r="L256" s="40">
        <v>69</v>
      </c>
      <c r="M256" s="41">
        <v>100</v>
      </c>
      <c r="N256" s="40">
        <v>72</v>
      </c>
      <c r="O256" s="41">
        <v>93</v>
      </c>
      <c r="P256" s="41">
        <v>0</v>
      </c>
      <c r="Q256" s="41">
        <v>0</v>
      </c>
      <c r="R256" s="40">
        <f t="shared" si="6"/>
        <v>472</v>
      </c>
      <c r="S256" s="35">
        <f t="shared" si="7"/>
        <v>525</v>
      </c>
      <c r="T256" s="11">
        <v>624401</v>
      </c>
    </row>
    <row r="257" spans="1:20" hidden="1">
      <c r="A257" s="48">
        <v>45897</v>
      </c>
      <c r="B257" s="35" t="s">
        <v>1503</v>
      </c>
      <c r="C257" s="40" t="s">
        <v>1495</v>
      </c>
      <c r="D257" s="40">
        <v>0</v>
      </c>
      <c r="E257" s="35">
        <v>0</v>
      </c>
      <c r="F257" s="40">
        <v>16473.5</v>
      </c>
      <c r="G257" s="35">
        <f>4153+4069+4573+3412</f>
        <v>16207</v>
      </c>
      <c r="H257" s="40">
        <v>0</v>
      </c>
      <c r="I257" s="35">
        <v>0</v>
      </c>
      <c r="J257" s="40">
        <v>456.5</v>
      </c>
      <c r="K257" s="35">
        <v>0</v>
      </c>
      <c r="L257" s="40">
        <v>5665.7</v>
      </c>
      <c r="M257" s="35">
        <f>1587+2211+791+899</f>
        <v>5488</v>
      </c>
      <c r="N257" s="40">
        <v>2833.8</v>
      </c>
      <c r="O257" s="35">
        <f>733+1019+502+502</f>
        <v>2756</v>
      </c>
      <c r="P257" s="35">
        <v>0</v>
      </c>
      <c r="Q257" s="35">
        <v>0</v>
      </c>
      <c r="R257" s="40">
        <f t="shared" si="6"/>
        <v>25429.5</v>
      </c>
      <c r="S257" s="35">
        <f t="shared" si="7"/>
        <v>24451</v>
      </c>
      <c r="T257" s="11">
        <v>635703</v>
      </c>
    </row>
    <row r="258" spans="1:20" hidden="1">
      <c r="A258" s="48">
        <v>45898</v>
      </c>
      <c r="B258" s="35" t="s">
        <v>1503</v>
      </c>
      <c r="C258" s="40" t="s">
        <v>1495</v>
      </c>
      <c r="D258" s="40">
        <v>0</v>
      </c>
      <c r="E258" s="35">
        <v>0</v>
      </c>
      <c r="F258" s="40">
        <f>11654.5</f>
        <v>11654.5</v>
      </c>
      <c r="G258" s="35">
        <f>5326+2871+2842</f>
        <v>11039</v>
      </c>
      <c r="H258" s="40">
        <v>0</v>
      </c>
      <c r="I258" s="35">
        <v>0</v>
      </c>
      <c r="J258" s="40">
        <v>816.5</v>
      </c>
      <c r="K258" s="35">
        <f>275+172</f>
        <v>447</v>
      </c>
      <c r="L258" s="40">
        <v>2712</v>
      </c>
      <c r="M258" s="35">
        <f>1502+643+1150+80</f>
        <v>3375</v>
      </c>
      <c r="N258" s="40">
        <f>997</f>
        <v>997</v>
      </c>
      <c r="O258" s="35">
        <f>367+346+268</f>
        <v>981</v>
      </c>
      <c r="P258" s="35">
        <v>0</v>
      </c>
      <c r="Q258" s="35">
        <v>0</v>
      </c>
      <c r="R258" s="40">
        <f t="shared" ref="R258:R321" si="8">SUM(D258,F258,H258,J258,L258,N258,P258)</f>
        <v>16180</v>
      </c>
      <c r="S258" s="35">
        <f t="shared" ref="S258:S321" si="9">SUM(E258,G258,I258,K258,M258,O258,Q258)</f>
        <v>15842</v>
      </c>
      <c r="T258" s="11">
        <v>635703</v>
      </c>
    </row>
    <row r="259" spans="1:20" hidden="1">
      <c r="A259" s="48">
        <v>45898</v>
      </c>
      <c r="B259" s="35" t="s">
        <v>1505</v>
      </c>
      <c r="C259" s="40" t="s">
        <v>1496</v>
      </c>
      <c r="D259" s="40">
        <v>0</v>
      </c>
      <c r="E259" s="35">
        <v>0</v>
      </c>
      <c r="F259" s="40">
        <v>700.1</v>
      </c>
      <c r="G259" s="35">
        <v>645</v>
      </c>
      <c r="H259" s="40">
        <v>0</v>
      </c>
      <c r="I259" s="35">
        <v>0</v>
      </c>
      <c r="J259" s="40">
        <v>0</v>
      </c>
      <c r="K259" s="35">
        <v>0</v>
      </c>
      <c r="L259" s="40">
        <v>514.03</v>
      </c>
      <c r="M259" s="35">
        <f>611-80</f>
        <v>531</v>
      </c>
      <c r="N259" s="40">
        <f>289-289</f>
        <v>0</v>
      </c>
      <c r="O259" s="35">
        <v>299</v>
      </c>
      <c r="P259" s="35">
        <v>0</v>
      </c>
      <c r="Q259" s="35">
        <v>0</v>
      </c>
      <c r="R259" s="40">
        <f t="shared" si="8"/>
        <v>1214.1300000000001</v>
      </c>
      <c r="S259" s="35">
        <f t="shared" si="9"/>
        <v>1475</v>
      </c>
      <c r="T259" s="11">
        <v>606202</v>
      </c>
    </row>
    <row r="260" spans="1:20" ht="15.75" hidden="1">
      <c r="A260" s="48">
        <v>45898</v>
      </c>
      <c r="B260" s="22" t="s">
        <v>1500</v>
      </c>
      <c r="C260" s="40" t="s">
        <v>1496</v>
      </c>
      <c r="D260" s="40">
        <v>0</v>
      </c>
      <c r="E260" s="35">
        <v>0</v>
      </c>
      <c r="F260" s="40">
        <f>471</f>
        <v>471</v>
      </c>
      <c r="G260" s="35">
        <v>483</v>
      </c>
      <c r="H260" s="40">
        <v>0</v>
      </c>
      <c r="I260" s="35">
        <v>0</v>
      </c>
      <c r="J260" s="40">
        <v>0</v>
      </c>
      <c r="K260" s="35">
        <v>0</v>
      </c>
      <c r="L260" s="40">
        <v>488</v>
      </c>
      <c r="M260" s="35">
        <v>488</v>
      </c>
      <c r="N260" s="40">
        <f>164</f>
        <v>164</v>
      </c>
      <c r="O260" s="35">
        <v>156</v>
      </c>
      <c r="P260" s="35">
        <v>0</v>
      </c>
      <c r="Q260" s="35">
        <v>0</v>
      </c>
      <c r="R260" s="40">
        <f t="shared" si="8"/>
        <v>1123</v>
      </c>
      <c r="S260" s="35">
        <f t="shared" si="9"/>
        <v>1127</v>
      </c>
      <c r="T260" s="11">
        <v>583134</v>
      </c>
    </row>
    <row r="261" spans="1:20" hidden="1">
      <c r="A261" s="48">
        <v>45898</v>
      </c>
      <c r="B261" s="35" t="s">
        <v>1506</v>
      </c>
      <c r="C261" s="40" t="s">
        <v>1496</v>
      </c>
      <c r="D261" s="40">
        <v>0</v>
      </c>
      <c r="E261" s="35">
        <v>0</v>
      </c>
      <c r="F261" s="40">
        <f>16</f>
        <v>16</v>
      </c>
      <c r="G261" s="35">
        <v>16</v>
      </c>
      <c r="H261" s="40">
        <v>0</v>
      </c>
      <c r="I261" s="35">
        <v>0</v>
      </c>
      <c r="J261" s="40">
        <v>0</v>
      </c>
      <c r="K261" s="35">
        <v>0</v>
      </c>
      <c r="L261" s="40">
        <v>43</v>
      </c>
      <c r="M261" s="35">
        <v>43</v>
      </c>
      <c r="N261" s="40">
        <f>4</f>
        <v>4</v>
      </c>
      <c r="O261" s="35">
        <v>4</v>
      </c>
      <c r="P261" s="35">
        <v>0</v>
      </c>
      <c r="Q261" s="35">
        <v>0</v>
      </c>
      <c r="R261" s="40">
        <f t="shared" si="8"/>
        <v>63</v>
      </c>
      <c r="S261" s="35">
        <f t="shared" si="9"/>
        <v>63</v>
      </c>
      <c r="T261" s="11">
        <v>635307</v>
      </c>
    </row>
    <row r="262" spans="1:20" hidden="1">
      <c r="A262" s="48">
        <v>45898</v>
      </c>
      <c r="B262" s="35" t="s">
        <v>1460</v>
      </c>
      <c r="C262" s="40" t="s">
        <v>1497</v>
      </c>
      <c r="D262" s="40">
        <v>382</v>
      </c>
      <c r="E262" s="35">
        <v>360</v>
      </c>
      <c r="F262" s="40">
        <v>119</v>
      </c>
      <c r="G262" s="35">
        <v>117</v>
      </c>
      <c r="H262" s="40">
        <v>0</v>
      </c>
      <c r="I262" s="35">
        <v>0</v>
      </c>
      <c r="J262" s="40">
        <v>39</v>
      </c>
      <c r="K262" s="35">
        <v>28</v>
      </c>
      <c r="L262" s="40">
        <v>82</v>
      </c>
      <c r="M262" s="35">
        <v>79</v>
      </c>
      <c r="N262" s="40">
        <v>81</v>
      </c>
      <c r="O262" s="35">
        <v>70</v>
      </c>
      <c r="P262" s="35">
        <v>0</v>
      </c>
      <c r="Q262" s="35">
        <v>0</v>
      </c>
      <c r="R262" s="40">
        <f t="shared" si="8"/>
        <v>703</v>
      </c>
      <c r="S262" s="35">
        <f t="shared" si="9"/>
        <v>654</v>
      </c>
      <c r="T262" s="11">
        <v>624401</v>
      </c>
    </row>
    <row r="263" spans="1:20" hidden="1">
      <c r="A263" s="48">
        <v>45898</v>
      </c>
      <c r="B263" s="35" t="s">
        <v>1459</v>
      </c>
      <c r="C263" s="40" t="s">
        <v>1497</v>
      </c>
      <c r="D263" s="40">
        <v>211</v>
      </c>
      <c r="E263" s="35">
        <v>251</v>
      </c>
      <c r="F263" s="40">
        <v>41</v>
      </c>
      <c r="G263" s="35">
        <v>35</v>
      </c>
      <c r="H263" s="40">
        <v>0</v>
      </c>
      <c r="I263" s="35">
        <v>0</v>
      </c>
      <c r="J263" s="40">
        <v>31</v>
      </c>
      <c r="K263" s="35">
        <v>0</v>
      </c>
      <c r="L263" s="40">
        <v>63</v>
      </c>
      <c r="M263" s="35">
        <v>61</v>
      </c>
      <c r="N263" s="40">
        <v>65</v>
      </c>
      <c r="O263" s="35">
        <v>64</v>
      </c>
      <c r="P263" s="35">
        <v>0</v>
      </c>
      <c r="Q263" s="35">
        <v>0</v>
      </c>
      <c r="R263" s="40">
        <f t="shared" si="8"/>
        <v>411</v>
      </c>
      <c r="S263" s="35">
        <f t="shared" si="9"/>
        <v>411</v>
      </c>
      <c r="T263" s="11">
        <v>624401</v>
      </c>
    </row>
    <row r="264" spans="1:20" hidden="1">
      <c r="A264" s="48">
        <v>45899</v>
      </c>
      <c r="B264" s="35" t="s">
        <v>1503</v>
      </c>
      <c r="C264" s="40" t="s">
        <v>1495</v>
      </c>
      <c r="D264" s="40">
        <v>0</v>
      </c>
      <c r="E264" s="35">
        <v>0</v>
      </c>
      <c r="F264" s="40">
        <f>18039.3-1203</f>
        <v>16836.3</v>
      </c>
      <c r="G264" s="35">
        <f>3766+5212+4670+2847</f>
        <v>16495</v>
      </c>
      <c r="H264" s="40">
        <v>0</v>
      </c>
      <c r="I264" s="35">
        <v>0</v>
      </c>
      <c r="J264" s="40">
        <v>672</v>
      </c>
      <c r="K264" s="35">
        <v>0</v>
      </c>
      <c r="L264" s="40">
        <f>6166-407.3</f>
        <v>5758.7</v>
      </c>
      <c r="M264" s="35">
        <f>2386+1366+1483+1027</f>
        <v>6262</v>
      </c>
      <c r="N264" s="40">
        <f>2618.5-195</f>
        <v>2423.5</v>
      </c>
      <c r="O264" s="35">
        <f>1031+372+666+270</f>
        <v>2339</v>
      </c>
      <c r="P264" s="35">
        <v>0</v>
      </c>
      <c r="Q264" s="35">
        <v>0</v>
      </c>
      <c r="R264" s="40">
        <f t="shared" si="8"/>
        <v>25690.5</v>
      </c>
      <c r="S264" s="35">
        <f t="shared" si="9"/>
        <v>25096</v>
      </c>
      <c r="T264" s="11">
        <v>635703</v>
      </c>
    </row>
    <row r="265" spans="1:20" hidden="1">
      <c r="A265" s="48">
        <v>45900</v>
      </c>
      <c r="B265" s="35" t="s">
        <v>1503</v>
      </c>
      <c r="C265" s="40" t="s">
        <v>1495</v>
      </c>
      <c r="D265" s="40">
        <v>0</v>
      </c>
      <c r="E265" s="35">
        <v>0</v>
      </c>
      <c r="F265" s="40">
        <v>9458.2000000000007</v>
      </c>
      <c r="G265" s="35">
        <f>4151+2905+1261+919</f>
        <v>9236</v>
      </c>
      <c r="H265" s="40">
        <v>0</v>
      </c>
      <c r="I265" s="35">
        <v>0</v>
      </c>
      <c r="J265" s="40">
        <v>577</v>
      </c>
      <c r="K265" s="35">
        <v>0</v>
      </c>
      <c r="L265" s="40">
        <v>3366.9</v>
      </c>
      <c r="M265" s="35">
        <f>1113+1372+930+524</f>
        <v>3939</v>
      </c>
      <c r="N265" s="40">
        <v>1164.8</v>
      </c>
      <c r="O265" s="35">
        <f>412+369+144+164</f>
        <v>1089</v>
      </c>
      <c r="P265" s="35">
        <v>0</v>
      </c>
      <c r="Q265" s="35">
        <v>0</v>
      </c>
      <c r="R265" s="40">
        <f t="shared" si="8"/>
        <v>14566.9</v>
      </c>
      <c r="S265" s="35">
        <f t="shared" si="9"/>
        <v>14264</v>
      </c>
      <c r="T265" s="11">
        <v>635703</v>
      </c>
    </row>
    <row r="266" spans="1:20" hidden="1">
      <c r="A266" s="48">
        <v>45900</v>
      </c>
      <c r="B266" s="35" t="s">
        <v>1505</v>
      </c>
      <c r="C266" s="40" t="s">
        <v>1496</v>
      </c>
      <c r="D266" s="40">
        <v>0</v>
      </c>
      <c r="E266" s="35">
        <v>0</v>
      </c>
      <c r="F266" s="40">
        <v>194</v>
      </c>
      <c r="G266" s="35">
        <v>185</v>
      </c>
      <c r="H266" s="40">
        <v>0</v>
      </c>
      <c r="I266" s="35">
        <v>0</v>
      </c>
      <c r="J266" s="40">
        <v>0</v>
      </c>
      <c r="K266" s="35">
        <v>0</v>
      </c>
      <c r="L266" s="40">
        <v>138</v>
      </c>
      <c r="M266" s="35">
        <v>122</v>
      </c>
      <c r="N266" s="40">
        <v>51</v>
      </c>
      <c r="O266" s="35">
        <v>55</v>
      </c>
      <c r="P266" s="35">
        <v>0</v>
      </c>
      <c r="Q266" s="35">
        <v>0</v>
      </c>
      <c r="R266" s="40">
        <f t="shared" si="8"/>
        <v>383</v>
      </c>
      <c r="S266" s="35">
        <f t="shared" si="9"/>
        <v>362</v>
      </c>
      <c r="T266" s="11">
        <v>606202</v>
      </c>
    </row>
    <row r="267" spans="1:20" ht="15.75" hidden="1">
      <c r="A267" s="48">
        <v>45900</v>
      </c>
      <c r="B267" s="22" t="s">
        <v>1500</v>
      </c>
      <c r="C267" s="40" t="s">
        <v>1496</v>
      </c>
      <c r="D267" s="40">
        <v>0</v>
      </c>
      <c r="E267" s="35">
        <v>0</v>
      </c>
      <c r="F267" s="40">
        <v>720</v>
      </c>
      <c r="G267" s="35">
        <v>721</v>
      </c>
      <c r="H267" s="40">
        <v>0</v>
      </c>
      <c r="I267" s="35">
        <v>0</v>
      </c>
      <c r="J267" s="40">
        <v>0</v>
      </c>
      <c r="K267" s="35">
        <v>0</v>
      </c>
      <c r="L267" s="40">
        <v>888</v>
      </c>
      <c r="M267" s="35">
        <v>878</v>
      </c>
      <c r="N267" s="40">
        <v>202</v>
      </c>
      <c r="O267" s="35">
        <v>200</v>
      </c>
      <c r="P267" s="35">
        <v>0</v>
      </c>
      <c r="Q267" s="35">
        <v>0</v>
      </c>
      <c r="R267" s="40">
        <f t="shared" si="8"/>
        <v>1810</v>
      </c>
      <c r="S267" s="35">
        <f t="shared" si="9"/>
        <v>1799</v>
      </c>
      <c r="T267" s="11">
        <v>583134</v>
      </c>
    </row>
    <row r="268" spans="1:20" hidden="1">
      <c r="A268" s="48">
        <v>45900</v>
      </c>
      <c r="B268" s="35" t="s">
        <v>1506</v>
      </c>
      <c r="C268" s="40" t="s">
        <v>1496</v>
      </c>
      <c r="D268" s="40">
        <v>0</v>
      </c>
      <c r="E268" s="35">
        <v>0</v>
      </c>
      <c r="F268" s="40">
        <v>53</v>
      </c>
      <c r="G268" s="35">
        <v>50</v>
      </c>
      <c r="H268" s="40">
        <v>0</v>
      </c>
      <c r="I268" s="35">
        <v>0</v>
      </c>
      <c r="J268" s="40">
        <v>0</v>
      </c>
      <c r="K268" s="35">
        <v>0</v>
      </c>
      <c r="L268" s="40">
        <v>143</v>
      </c>
      <c r="M268" s="35">
        <v>136</v>
      </c>
      <c r="N268" s="40">
        <v>5</v>
      </c>
      <c r="O268" s="35">
        <v>4</v>
      </c>
      <c r="P268" s="35">
        <v>0</v>
      </c>
      <c r="Q268" s="35">
        <v>0</v>
      </c>
      <c r="R268" s="40">
        <f t="shared" si="8"/>
        <v>201</v>
      </c>
      <c r="S268" s="35">
        <f t="shared" si="9"/>
        <v>190</v>
      </c>
      <c r="T268" s="11">
        <v>635307</v>
      </c>
    </row>
    <row r="269" spans="1:20" hidden="1">
      <c r="A269" s="48">
        <v>45900</v>
      </c>
      <c r="B269" s="35" t="s">
        <v>1459</v>
      </c>
      <c r="C269" s="40" t="s">
        <v>1497</v>
      </c>
      <c r="D269" s="40">
        <v>162</v>
      </c>
      <c r="E269" s="35">
        <v>154</v>
      </c>
      <c r="F269" s="40">
        <v>36</v>
      </c>
      <c r="G269" s="35">
        <v>34</v>
      </c>
      <c r="H269" s="40">
        <v>0</v>
      </c>
      <c r="I269" s="35">
        <v>0</v>
      </c>
      <c r="J269" s="40">
        <v>31</v>
      </c>
      <c r="K269" s="35">
        <v>29</v>
      </c>
      <c r="L269" s="40">
        <v>45</v>
      </c>
      <c r="M269" s="35">
        <v>43</v>
      </c>
      <c r="N269" s="40">
        <v>60</v>
      </c>
      <c r="O269" s="35">
        <v>56</v>
      </c>
      <c r="P269" s="35">
        <v>0</v>
      </c>
      <c r="Q269" s="35">
        <v>0</v>
      </c>
      <c r="R269" s="40">
        <f t="shared" si="8"/>
        <v>334</v>
      </c>
      <c r="S269" s="35">
        <f t="shared" si="9"/>
        <v>316</v>
      </c>
      <c r="T269" s="11">
        <v>624401</v>
      </c>
    </row>
    <row r="270" spans="1:20" hidden="1">
      <c r="A270" s="48">
        <v>45900</v>
      </c>
      <c r="B270" s="35" t="s">
        <v>1460</v>
      </c>
      <c r="C270" s="40" t="s">
        <v>1497</v>
      </c>
      <c r="D270" s="40">
        <v>365</v>
      </c>
      <c r="E270" s="35">
        <v>357</v>
      </c>
      <c r="F270" s="40">
        <v>108</v>
      </c>
      <c r="G270" s="35">
        <v>122</v>
      </c>
      <c r="H270" s="40">
        <v>0</v>
      </c>
      <c r="I270" s="35">
        <v>0</v>
      </c>
      <c r="J270" s="40">
        <v>33</v>
      </c>
      <c r="K270" s="35">
        <v>30</v>
      </c>
      <c r="L270" s="40">
        <v>74</v>
      </c>
      <c r="M270" s="35">
        <v>83</v>
      </c>
      <c r="N270" s="40">
        <v>50</v>
      </c>
      <c r="O270" s="35">
        <v>47</v>
      </c>
      <c r="P270" s="35">
        <v>0</v>
      </c>
      <c r="Q270" s="35">
        <v>0</v>
      </c>
      <c r="R270" s="40">
        <f t="shared" si="8"/>
        <v>630</v>
      </c>
      <c r="S270" s="35">
        <f t="shared" si="9"/>
        <v>639</v>
      </c>
      <c r="T270" s="11">
        <v>624401</v>
      </c>
    </row>
    <row r="271" spans="1:20" hidden="1">
      <c r="A271" s="48">
        <v>45901</v>
      </c>
      <c r="B271" s="35" t="s">
        <v>1503</v>
      </c>
      <c r="C271" s="40" t="s">
        <v>1495</v>
      </c>
      <c r="D271" s="40">
        <v>0</v>
      </c>
      <c r="E271" s="35">
        <v>0</v>
      </c>
      <c r="F271" s="40">
        <f>16711-4687</f>
        <v>12024</v>
      </c>
      <c r="G271" s="35">
        <f>3436+3721+4170</f>
        <v>11327</v>
      </c>
      <c r="H271" s="40">
        <v>0</v>
      </c>
      <c r="I271" s="35">
        <v>0</v>
      </c>
      <c r="J271" s="40">
        <f>1334-453</f>
        <v>881</v>
      </c>
      <c r="K271" s="35">
        <v>544</v>
      </c>
      <c r="L271" s="40">
        <f>6368.1-1881</f>
        <v>4487.1000000000004</v>
      </c>
      <c r="M271" s="35">
        <f>2118+1780+1391</f>
        <v>5289</v>
      </c>
      <c r="N271" s="40">
        <f>2775.3-557</f>
        <v>2218.3000000000002</v>
      </c>
      <c r="O271" s="35">
        <f>890+808+582</f>
        <v>2280</v>
      </c>
      <c r="P271" s="35">
        <v>0</v>
      </c>
      <c r="Q271" s="35">
        <v>0</v>
      </c>
      <c r="R271" s="40">
        <f t="shared" si="8"/>
        <v>19610.399999999998</v>
      </c>
      <c r="S271" s="35">
        <f t="shared" si="9"/>
        <v>19440</v>
      </c>
      <c r="T271" s="11">
        <v>635703</v>
      </c>
    </row>
    <row r="272" spans="1:20" hidden="1">
      <c r="A272" s="48">
        <v>45902</v>
      </c>
      <c r="B272" s="35" t="s">
        <v>1503</v>
      </c>
      <c r="C272" s="40" t="s">
        <v>1495</v>
      </c>
      <c r="D272" s="40">
        <v>0</v>
      </c>
      <c r="E272" s="35">
        <v>0</v>
      </c>
      <c r="F272" s="40">
        <v>4496</v>
      </c>
      <c r="G272" s="35">
        <v>4325</v>
      </c>
      <c r="H272" s="40">
        <v>0</v>
      </c>
      <c r="I272" s="35">
        <v>0</v>
      </c>
      <c r="J272" s="40">
        <v>433.5</v>
      </c>
      <c r="K272" s="35">
        <v>489</v>
      </c>
      <c r="L272" s="40">
        <v>1011</v>
      </c>
      <c r="M272" s="35">
        <v>1001</v>
      </c>
      <c r="N272" s="40">
        <f>611</f>
        <v>611</v>
      </c>
      <c r="O272" s="35">
        <v>584</v>
      </c>
      <c r="P272" s="35">
        <v>0</v>
      </c>
      <c r="Q272" s="35">
        <v>0</v>
      </c>
      <c r="R272" s="40">
        <f t="shared" si="8"/>
        <v>6551.5</v>
      </c>
      <c r="S272" s="35">
        <f t="shared" si="9"/>
        <v>6399</v>
      </c>
      <c r="T272" s="11">
        <v>635703</v>
      </c>
    </row>
    <row r="273" spans="1:20" hidden="1">
      <c r="A273" s="48">
        <v>45902</v>
      </c>
      <c r="B273" s="35" t="s">
        <v>1460</v>
      </c>
      <c r="C273" s="40" t="s">
        <v>1497</v>
      </c>
      <c r="D273" s="40">
        <v>307</v>
      </c>
      <c r="E273" s="35">
        <v>296</v>
      </c>
      <c r="F273" s="40">
        <v>112</v>
      </c>
      <c r="G273" s="35">
        <v>90</v>
      </c>
      <c r="H273" s="40">
        <v>0</v>
      </c>
      <c r="I273" s="35">
        <v>0</v>
      </c>
      <c r="J273" s="40">
        <v>45</v>
      </c>
      <c r="K273" s="35">
        <v>14</v>
      </c>
      <c r="L273" s="40">
        <v>88</v>
      </c>
      <c r="M273" s="35">
        <f>86+30</f>
        <v>116</v>
      </c>
      <c r="N273" s="40">
        <v>40</v>
      </c>
      <c r="O273" s="35">
        <v>41</v>
      </c>
      <c r="P273" s="35">
        <v>0</v>
      </c>
      <c r="Q273" s="35">
        <v>0</v>
      </c>
      <c r="R273" s="40">
        <f t="shared" si="8"/>
        <v>592</v>
      </c>
      <c r="S273" s="35">
        <f t="shared" si="9"/>
        <v>557</v>
      </c>
      <c r="T273" s="11">
        <v>624401</v>
      </c>
    </row>
    <row r="274" spans="1:20" hidden="1">
      <c r="A274" s="48">
        <v>45902</v>
      </c>
      <c r="B274" s="35" t="s">
        <v>1459</v>
      </c>
      <c r="C274" s="40" t="s">
        <v>1497</v>
      </c>
      <c r="D274" s="40">
        <v>132</v>
      </c>
      <c r="E274" s="35">
        <v>132</v>
      </c>
      <c r="F274" s="40">
        <v>23</v>
      </c>
      <c r="G274" s="35">
        <v>16</v>
      </c>
      <c r="H274" s="40">
        <v>0</v>
      </c>
      <c r="I274" s="35">
        <v>0</v>
      </c>
      <c r="J274" s="40">
        <v>22</v>
      </c>
      <c r="K274" s="35">
        <v>20</v>
      </c>
      <c r="L274" s="40">
        <v>37</v>
      </c>
      <c r="M274" s="35">
        <f>72-30</f>
        <v>42</v>
      </c>
      <c r="N274" s="40">
        <v>55</v>
      </c>
      <c r="O274" s="35">
        <v>47</v>
      </c>
      <c r="P274" s="35">
        <v>0</v>
      </c>
      <c r="Q274" s="35">
        <v>0</v>
      </c>
      <c r="R274" s="40">
        <f t="shared" si="8"/>
        <v>269</v>
      </c>
      <c r="S274" s="35">
        <f t="shared" si="9"/>
        <v>257</v>
      </c>
      <c r="T274" s="11">
        <v>624401</v>
      </c>
    </row>
    <row r="275" spans="1:20" hidden="1">
      <c r="A275" s="48">
        <v>45903</v>
      </c>
      <c r="B275" s="35" t="s">
        <v>1503</v>
      </c>
      <c r="C275" s="40" t="s">
        <v>1495</v>
      </c>
      <c r="D275" s="40">
        <v>0</v>
      </c>
      <c r="E275" s="35">
        <v>0</v>
      </c>
      <c r="F275" s="40">
        <v>4848.5</v>
      </c>
      <c r="G275" s="35">
        <v>4685</v>
      </c>
      <c r="H275" s="40">
        <v>0</v>
      </c>
      <c r="I275" s="35">
        <v>0</v>
      </c>
      <c r="J275" s="40">
        <v>172</v>
      </c>
      <c r="K275" s="35">
        <v>134</v>
      </c>
      <c r="L275" s="40">
        <v>1029</v>
      </c>
      <c r="M275" s="35">
        <v>1132</v>
      </c>
      <c r="N275" s="40">
        <f>747.5</f>
        <v>747.5</v>
      </c>
      <c r="O275" s="35">
        <v>725</v>
      </c>
      <c r="P275" s="35">
        <v>0</v>
      </c>
      <c r="Q275" s="35">
        <v>0</v>
      </c>
      <c r="R275" s="40">
        <f t="shared" si="8"/>
        <v>6797</v>
      </c>
      <c r="S275" s="35">
        <f t="shared" si="9"/>
        <v>6676</v>
      </c>
      <c r="T275" s="11">
        <v>635703</v>
      </c>
    </row>
    <row r="276" spans="1:20" hidden="1">
      <c r="A276" s="48">
        <v>45904</v>
      </c>
      <c r="B276" s="35" t="s">
        <v>1503</v>
      </c>
      <c r="C276" s="40" t="s">
        <v>1495</v>
      </c>
      <c r="D276" s="40">
        <v>0</v>
      </c>
      <c r="E276" s="35">
        <v>0</v>
      </c>
      <c r="F276" s="40">
        <v>5424.4</v>
      </c>
      <c r="G276" s="35">
        <v>4917</v>
      </c>
      <c r="H276" s="40">
        <v>0</v>
      </c>
      <c r="I276" s="35">
        <v>0</v>
      </c>
      <c r="J276" s="40">
        <v>224</v>
      </c>
      <c r="K276" s="35">
        <v>200</v>
      </c>
      <c r="L276" s="40">
        <v>1022</v>
      </c>
      <c r="M276" s="35">
        <v>1234</v>
      </c>
      <c r="N276" s="40">
        <v>515.5</v>
      </c>
      <c r="O276" s="35">
        <v>741</v>
      </c>
      <c r="P276" s="35">
        <v>0</v>
      </c>
      <c r="Q276" s="35">
        <v>0</v>
      </c>
      <c r="R276" s="40">
        <f t="shared" si="8"/>
        <v>7185.9</v>
      </c>
      <c r="S276" s="35">
        <f t="shared" si="9"/>
        <v>7092</v>
      </c>
      <c r="T276" s="11">
        <v>635703</v>
      </c>
    </row>
    <row r="277" spans="1:20" hidden="1">
      <c r="A277" s="48">
        <v>45904</v>
      </c>
      <c r="B277" s="35" t="s">
        <v>1460</v>
      </c>
      <c r="C277" s="40" t="s">
        <v>1497</v>
      </c>
      <c r="D277" s="40">
        <v>270</v>
      </c>
      <c r="E277" s="35">
        <v>267</v>
      </c>
      <c r="F277" s="40">
        <v>60</v>
      </c>
      <c r="G277" s="35">
        <v>58</v>
      </c>
      <c r="H277" s="40">
        <v>0</v>
      </c>
      <c r="I277" s="35">
        <v>0</v>
      </c>
      <c r="J277" s="40">
        <v>24</v>
      </c>
      <c r="K277" s="35">
        <v>23</v>
      </c>
      <c r="L277" s="40">
        <v>57</v>
      </c>
      <c r="M277" s="35">
        <v>52</v>
      </c>
      <c r="N277" s="40">
        <v>30</v>
      </c>
      <c r="O277" s="35">
        <v>30</v>
      </c>
      <c r="P277" s="35">
        <v>0</v>
      </c>
      <c r="Q277" s="35">
        <v>0</v>
      </c>
      <c r="R277" s="40">
        <f t="shared" si="8"/>
        <v>441</v>
      </c>
      <c r="S277" s="35">
        <f t="shared" si="9"/>
        <v>430</v>
      </c>
      <c r="T277" s="11">
        <v>624401</v>
      </c>
    </row>
    <row r="278" spans="1:20" hidden="1">
      <c r="A278" s="48">
        <v>45904</v>
      </c>
      <c r="B278" s="35" t="s">
        <v>1459</v>
      </c>
      <c r="C278" s="40" t="s">
        <v>1497</v>
      </c>
      <c r="D278" s="40">
        <v>101</v>
      </c>
      <c r="E278" s="35">
        <v>100</v>
      </c>
      <c r="F278" s="40">
        <v>20</v>
      </c>
      <c r="G278" s="35">
        <v>18</v>
      </c>
      <c r="H278" s="40">
        <v>0</v>
      </c>
      <c r="I278" s="35">
        <v>0</v>
      </c>
      <c r="J278" s="40">
        <v>16</v>
      </c>
      <c r="K278" s="35">
        <v>13</v>
      </c>
      <c r="L278" s="40">
        <v>21</v>
      </c>
      <c r="M278" s="35">
        <v>18</v>
      </c>
      <c r="N278" s="40">
        <v>25</v>
      </c>
      <c r="O278" s="35">
        <v>23</v>
      </c>
      <c r="P278" s="35">
        <v>0</v>
      </c>
      <c r="Q278" s="35">
        <v>0</v>
      </c>
      <c r="R278" s="40">
        <f t="shared" si="8"/>
        <v>183</v>
      </c>
      <c r="S278" s="35">
        <f t="shared" si="9"/>
        <v>172</v>
      </c>
      <c r="T278" s="11">
        <v>624401</v>
      </c>
    </row>
    <row r="279" spans="1:20" hidden="1">
      <c r="A279" s="48">
        <v>45905</v>
      </c>
      <c r="B279" s="35" t="s">
        <v>1503</v>
      </c>
      <c r="C279" s="40" t="s">
        <v>1495</v>
      </c>
      <c r="D279" s="40">
        <v>0</v>
      </c>
      <c r="E279" s="35">
        <v>0</v>
      </c>
      <c r="F279" s="40">
        <v>5261</v>
      </c>
      <c r="G279" s="35">
        <v>5182</v>
      </c>
      <c r="H279" s="40">
        <v>0</v>
      </c>
      <c r="I279" s="35">
        <v>0</v>
      </c>
      <c r="J279" s="40">
        <v>167.5</v>
      </c>
      <c r="K279" s="35">
        <v>0</v>
      </c>
      <c r="L279" s="40">
        <v>1468</v>
      </c>
      <c r="M279" s="35">
        <v>1563</v>
      </c>
      <c r="N279" s="40">
        <v>686.3</v>
      </c>
      <c r="O279" s="35">
        <v>729</v>
      </c>
      <c r="P279" s="35">
        <v>0</v>
      </c>
      <c r="Q279" s="35">
        <v>0</v>
      </c>
      <c r="R279" s="40">
        <f t="shared" si="8"/>
        <v>7582.8</v>
      </c>
      <c r="S279" s="35">
        <f t="shared" si="9"/>
        <v>7474</v>
      </c>
      <c r="T279" s="11">
        <v>635703</v>
      </c>
    </row>
    <row r="280" spans="1:20" hidden="1">
      <c r="A280" s="48">
        <v>45906</v>
      </c>
      <c r="B280" s="35" t="s">
        <v>1503</v>
      </c>
      <c r="C280" s="40" t="s">
        <v>1495</v>
      </c>
      <c r="D280" s="40">
        <v>0</v>
      </c>
      <c r="E280" s="35">
        <v>0</v>
      </c>
      <c r="F280" s="40">
        <v>4156.2</v>
      </c>
      <c r="G280" s="35">
        <v>4026</v>
      </c>
      <c r="H280" s="40">
        <v>0</v>
      </c>
      <c r="I280" s="35">
        <v>0</v>
      </c>
      <c r="J280" s="40">
        <v>361.7</v>
      </c>
      <c r="K280" s="35">
        <v>345</v>
      </c>
      <c r="L280" s="40">
        <v>984.8</v>
      </c>
      <c r="M280" s="35">
        <v>1314</v>
      </c>
      <c r="N280" s="40">
        <v>681.4</v>
      </c>
      <c r="O280" s="35">
        <v>640</v>
      </c>
      <c r="P280" s="35">
        <v>0</v>
      </c>
      <c r="Q280" s="35">
        <v>0</v>
      </c>
      <c r="R280" s="40">
        <f t="shared" si="8"/>
        <v>6184.0999999999995</v>
      </c>
      <c r="S280" s="35">
        <f t="shared" si="9"/>
        <v>6325</v>
      </c>
      <c r="T280" s="11">
        <v>635703</v>
      </c>
    </row>
    <row r="281" spans="1:20" hidden="1">
      <c r="A281" s="48">
        <v>45906</v>
      </c>
      <c r="B281" s="35" t="s">
        <v>1459</v>
      </c>
      <c r="C281" s="40" t="s">
        <v>1497</v>
      </c>
      <c r="D281" s="40">
        <v>82</v>
      </c>
      <c r="E281" s="35">
        <v>87</v>
      </c>
      <c r="F281" s="40">
        <v>16</v>
      </c>
      <c r="G281" s="35">
        <v>16</v>
      </c>
      <c r="H281" s="40">
        <v>0</v>
      </c>
      <c r="I281" s="35">
        <v>0</v>
      </c>
      <c r="J281" s="40">
        <v>11</v>
      </c>
      <c r="K281" s="35">
        <v>16</v>
      </c>
      <c r="L281" s="40">
        <v>18</v>
      </c>
      <c r="M281" s="35">
        <v>10</v>
      </c>
      <c r="N281" s="40">
        <v>17</v>
      </c>
      <c r="O281" s="35">
        <v>16</v>
      </c>
      <c r="P281" s="35">
        <v>0</v>
      </c>
      <c r="Q281" s="35">
        <v>0</v>
      </c>
      <c r="R281" s="40">
        <f t="shared" si="8"/>
        <v>144</v>
      </c>
      <c r="S281" s="35">
        <f t="shared" si="9"/>
        <v>145</v>
      </c>
      <c r="T281" s="11">
        <v>624401</v>
      </c>
    </row>
    <row r="282" spans="1:20" hidden="1">
      <c r="A282" s="48">
        <v>45906</v>
      </c>
      <c r="B282" s="35" t="s">
        <v>1460</v>
      </c>
      <c r="C282" s="40" t="s">
        <v>1497</v>
      </c>
      <c r="D282" s="40">
        <v>225</v>
      </c>
      <c r="E282" s="35">
        <v>239</v>
      </c>
      <c r="F282" s="40">
        <v>56</v>
      </c>
      <c r="G282" s="35">
        <v>58</v>
      </c>
      <c r="H282" s="40">
        <v>0</v>
      </c>
      <c r="I282" s="35">
        <v>0</v>
      </c>
      <c r="J282" s="40">
        <v>41</v>
      </c>
      <c r="K282" s="35">
        <v>60</v>
      </c>
      <c r="L282" s="40">
        <v>25</v>
      </c>
      <c r="M282" s="35">
        <v>15</v>
      </c>
      <c r="N282" s="40">
        <v>59</v>
      </c>
      <c r="O282" s="35">
        <v>54</v>
      </c>
      <c r="P282" s="35">
        <v>0</v>
      </c>
      <c r="Q282" s="35">
        <v>0</v>
      </c>
      <c r="R282" s="40">
        <f t="shared" si="8"/>
        <v>406</v>
      </c>
      <c r="S282" s="35">
        <f t="shared" si="9"/>
        <v>426</v>
      </c>
      <c r="T282" s="11">
        <v>624401</v>
      </c>
    </row>
    <row r="283" spans="1:20" hidden="1">
      <c r="A283" s="48">
        <v>45907</v>
      </c>
      <c r="B283" s="35" t="s">
        <v>1503</v>
      </c>
      <c r="C283" s="40" t="s">
        <v>1495</v>
      </c>
      <c r="D283" s="40">
        <v>0</v>
      </c>
      <c r="E283" s="35">
        <v>0</v>
      </c>
      <c r="F283" s="40">
        <v>4919.5</v>
      </c>
      <c r="G283" s="35">
        <v>4779</v>
      </c>
      <c r="H283" s="40">
        <v>0</v>
      </c>
      <c r="I283" s="35">
        <v>0</v>
      </c>
      <c r="J283" s="40">
        <v>241</v>
      </c>
      <c r="K283" s="35">
        <v>207</v>
      </c>
      <c r="L283" s="40">
        <v>1586</v>
      </c>
      <c r="M283" s="35">
        <v>1608</v>
      </c>
      <c r="N283" s="40">
        <v>767.5</v>
      </c>
      <c r="O283" s="35">
        <v>787</v>
      </c>
      <c r="P283" s="35">
        <v>0</v>
      </c>
      <c r="Q283" s="35">
        <v>0</v>
      </c>
      <c r="R283" s="40">
        <f t="shared" si="8"/>
        <v>7514</v>
      </c>
      <c r="S283" s="35">
        <f t="shared" si="9"/>
        <v>7381</v>
      </c>
      <c r="T283" s="11">
        <v>635703</v>
      </c>
    </row>
    <row r="284" spans="1:20" hidden="1">
      <c r="A284" s="48">
        <v>45908</v>
      </c>
      <c r="B284" s="35" t="s">
        <v>1503</v>
      </c>
      <c r="C284" s="40" t="s">
        <v>1495</v>
      </c>
      <c r="D284" s="40">
        <v>0</v>
      </c>
      <c r="E284" s="35">
        <v>0</v>
      </c>
      <c r="F284" s="40">
        <v>3934.1</v>
      </c>
      <c r="G284" s="35">
        <v>3711</v>
      </c>
      <c r="H284" s="40">
        <v>0</v>
      </c>
      <c r="I284" s="35">
        <v>0</v>
      </c>
      <c r="J284" s="40">
        <v>186.3</v>
      </c>
      <c r="K284" s="35">
        <v>143</v>
      </c>
      <c r="L284" s="40">
        <v>1487.3</v>
      </c>
      <c r="M284" s="35">
        <v>1634</v>
      </c>
      <c r="N284" s="40">
        <v>1239.5999999999999</v>
      </c>
      <c r="O284" s="35">
        <v>1149</v>
      </c>
      <c r="P284" s="35">
        <v>0</v>
      </c>
      <c r="Q284" s="35">
        <v>0</v>
      </c>
      <c r="R284" s="40">
        <f t="shared" si="8"/>
        <v>6847.2999999999993</v>
      </c>
      <c r="S284" s="35">
        <f t="shared" si="9"/>
        <v>6637</v>
      </c>
      <c r="T284" s="11">
        <v>635703</v>
      </c>
    </row>
    <row r="285" spans="1:20" hidden="1">
      <c r="A285" s="48">
        <v>45908</v>
      </c>
      <c r="B285" s="35" t="s">
        <v>1460</v>
      </c>
      <c r="C285" s="40" t="s">
        <v>1497</v>
      </c>
      <c r="D285" s="40">
        <v>183</v>
      </c>
      <c r="E285" s="35">
        <v>180</v>
      </c>
      <c r="F285" s="40">
        <v>36</v>
      </c>
      <c r="G285" s="35">
        <v>35</v>
      </c>
      <c r="H285" s="40">
        <v>0</v>
      </c>
      <c r="I285" s="35">
        <v>0</v>
      </c>
      <c r="J285" s="40">
        <v>18</v>
      </c>
      <c r="K285" s="35">
        <v>18</v>
      </c>
      <c r="L285" s="40">
        <v>31</v>
      </c>
      <c r="M285" s="35">
        <v>31</v>
      </c>
      <c r="N285" s="40">
        <v>18</v>
      </c>
      <c r="O285" s="35">
        <v>17</v>
      </c>
      <c r="P285" s="35">
        <v>0</v>
      </c>
      <c r="Q285" s="35">
        <v>0</v>
      </c>
      <c r="R285" s="40">
        <f t="shared" si="8"/>
        <v>286</v>
      </c>
      <c r="S285" s="35">
        <f t="shared" si="9"/>
        <v>281</v>
      </c>
      <c r="T285" s="11">
        <v>624401</v>
      </c>
    </row>
    <row r="286" spans="1:20" hidden="1">
      <c r="A286" s="48">
        <v>45908</v>
      </c>
      <c r="B286" s="35" t="s">
        <v>1459</v>
      </c>
      <c r="C286" s="40" t="s">
        <v>1497</v>
      </c>
      <c r="D286" s="40">
        <v>64</v>
      </c>
      <c r="E286" s="35">
        <v>63</v>
      </c>
      <c r="F286" s="40">
        <v>11</v>
      </c>
      <c r="G286" s="35">
        <v>11</v>
      </c>
      <c r="H286" s="40">
        <v>0</v>
      </c>
      <c r="I286" s="35">
        <v>0</v>
      </c>
      <c r="J286" s="40">
        <v>8</v>
      </c>
      <c r="K286" s="35">
        <v>8</v>
      </c>
      <c r="L286" s="40">
        <v>11</v>
      </c>
      <c r="M286" s="35">
        <v>11</v>
      </c>
      <c r="N286" s="40">
        <v>8</v>
      </c>
      <c r="O286" s="35">
        <v>8</v>
      </c>
      <c r="P286" s="35">
        <v>0</v>
      </c>
      <c r="Q286" s="35">
        <v>0</v>
      </c>
      <c r="R286" s="40">
        <f t="shared" si="8"/>
        <v>102</v>
      </c>
      <c r="S286" s="35">
        <f t="shared" si="9"/>
        <v>101</v>
      </c>
      <c r="T286" s="11">
        <v>624401</v>
      </c>
    </row>
    <row r="287" spans="1:20" hidden="1">
      <c r="A287" s="48">
        <v>45909</v>
      </c>
      <c r="B287" s="35" t="s">
        <v>1503</v>
      </c>
      <c r="C287" s="40" t="s">
        <v>1495</v>
      </c>
      <c r="D287" s="40">
        <v>0</v>
      </c>
      <c r="E287" s="35">
        <v>0</v>
      </c>
      <c r="F287" s="40">
        <v>2757.8</v>
      </c>
      <c r="G287" s="35">
        <v>2683</v>
      </c>
      <c r="H287" s="40">
        <v>0</v>
      </c>
      <c r="I287" s="35">
        <v>0</v>
      </c>
      <c r="J287" s="40">
        <v>0</v>
      </c>
      <c r="K287" s="35">
        <v>0</v>
      </c>
      <c r="L287" s="40">
        <v>1418</v>
      </c>
      <c r="M287" s="35">
        <v>1407</v>
      </c>
      <c r="N287" s="40">
        <v>754.5</v>
      </c>
      <c r="O287" s="35">
        <v>745</v>
      </c>
      <c r="P287" s="35">
        <v>0</v>
      </c>
      <c r="Q287" s="35">
        <v>0</v>
      </c>
      <c r="R287" s="40">
        <f t="shared" si="8"/>
        <v>4930.3</v>
      </c>
      <c r="S287" s="35">
        <f t="shared" si="9"/>
        <v>4835</v>
      </c>
      <c r="T287" s="11">
        <v>635703</v>
      </c>
    </row>
    <row r="288" spans="1:20" hidden="1">
      <c r="A288" s="48">
        <v>45910</v>
      </c>
      <c r="B288" s="35" t="s">
        <v>1503</v>
      </c>
      <c r="C288" s="40" t="s">
        <v>1495</v>
      </c>
      <c r="D288" s="40">
        <v>0</v>
      </c>
      <c r="E288" s="35">
        <v>0</v>
      </c>
      <c r="F288" s="40">
        <v>4817.5</v>
      </c>
      <c r="G288" s="35">
        <v>4805</v>
      </c>
      <c r="H288" s="40">
        <v>0</v>
      </c>
      <c r="I288" s="35">
        <v>0</v>
      </c>
      <c r="J288" s="40">
        <v>317.5</v>
      </c>
      <c r="K288" s="35">
        <v>344</v>
      </c>
      <c r="L288" s="40">
        <v>1061.5</v>
      </c>
      <c r="M288" s="35">
        <v>1187</v>
      </c>
      <c r="N288" s="40">
        <v>844.5</v>
      </c>
      <c r="O288" s="35">
        <v>810</v>
      </c>
      <c r="P288" s="35">
        <v>0</v>
      </c>
      <c r="Q288" s="35">
        <v>0</v>
      </c>
      <c r="R288" s="40">
        <f t="shared" si="8"/>
        <v>7041</v>
      </c>
      <c r="S288" s="35">
        <f t="shared" si="9"/>
        <v>7146</v>
      </c>
      <c r="T288" s="11">
        <v>635703</v>
      </c>
    </row>
    <row r="289" spans="1:20" hidden="1">
      <c r="A289" s="48">
        <v>45911</v>
      </c>
      <c r="B289" s="35" t="s">
        <v>1503</v>
      </c>
      <c r="C289" s="40" t="s">
        <v>1495</v>
      </c>
      <c r="D289" s="40">
        <v>0</v>
      </c>
      <c r="E289" s="35">
        <v>0</v>
      </c>
      <c r="F289" s="40">
        <f>2514</f>
        <v>2514</v>
      </c>
      <c r="G289" s="35">
        <v>2423</v>
      </c>
      <c r="H289" s="40">
        <v>0</v>
      </c>
      <c r="I289" s="35">
        <v>0</v>
      </c>
      <c r="J289" s="40">
        <v>0</v>
      </c>
      <c r="K289" s="35">
        <v>0</v>
      </c>
      <c r="L289" s="40">
        <v>1127.5</v>
      </c>
      <c r="M289" s="35">
        <v>1069</v>
      </c>
      <c r="N289" s="40">
        <v>572.5</v>
      </c>
      <c r="O289" s="35">
        <v>545</v>
      </c>
      <c r="P289" s="35">
        <v>0</v>
      </c>
      <c r="Q289" s="35">
        <v>0</v>
      </c>
      <c r="R289" s="40">
        <f t="shared" si="8"/>
        <v>4214</v>
      </c>
      <c r="S289" s="35">
        <f t="shared" si="9"/>
        <v>4037</v>
      </c>
      <c r="T289" s="11">
        <v>635703</v>
      </c>
    </row>
    <row r="290" spans="1:20" hidden="1">
      <c r="A290" s="48">
        <v>45912</v>
      </c>
      <c r="B290" s="35" t="s">
        <v>1503</v>
      </c>
      <c r="C290" s="40" t="s">
        <v>1495</v>
      </c>
      <c r="D290" s="40">
        <v>0</v>
      </c>
      <c r="E290" s="35">
        <v>0</v>
      </c>
      <c r="F290" s="40">
        <v>4520.5</v>
      </c>
      <c r="G290" s="35">
        <v>4479</v>
      </c>
      <c r="H290" s="40">
        <v>0</v>
      </c>
      <c r="I290" s="35">
        <v>0</v>
      </c>
      <c r="J290" s="40">
        <v>172.5</v>
      </c>
      <c r="K290" s="35">
        <v>0</v>
      </c>
      <c r="L290" s="40">
        <v>1328.1</v>
      </c>
      <c r="M290" s="35">
        <v>1490</v>
      </c>
      <c r="N290" s="40">
        <v>1082</v>
      </c>
      <c r="O290" s="35">
        <v>982</v>
      </c>
      <c r="P290" s="35">
        <v>0</v>
      </c>
      <c r="Q290" s="35">
        <v>0</v>
      </c>
      <c r="R290" s="40">
        <f t="shared" si="8"/>
        <v>7103.1</v>
      </c>
      <c r="S290" s="35">
        <f t="shared" si="9"/>
        <v>6951</v>
      </c>
      <c r="T290" s="11">
        <v>635703</v>
      </c>
    </row>
    <row r="291" spans="1:20" hidden="1">
      <c r="A291" s="48">
        <v>45913</v>
      </c>
      <c r="B291" s="35" t="s">
        <v>1503</v>
      </c>
      <c r="C291" s="40" t="s">
        <v>1495</v>
      </c>
      <c r="D291" s="40">
        <v>0</v>
      </c>
      <c r="E291" s="35">
        <v>0</v>
      </c>
      <c r="F291" s="40">
        <f>5032.5</f>
        <v>5032.5</v>
      </c>
      <c r="G291" s="35">
        <v>4821</v>
      </c>
      <c r="H291" s="40">
        <v>0</v>
      </c>
      <c r="I291" s="35">
        <v>0</v>
      </c>
      <c r="J291" s="40">
        <v>126.5</v>
      </c>
      <c r="K291" s="35">
        <v>0</v>
      </c>
      <c r="L291" s="40">
        <v>1462.5</v>
      </c>
      <c r="M291" s="35">
        <v>1586</v>
      </c>
      <c r="N291" s="40">
        <v>927</v>
      </c>
      <c r="O291" s="35">
        <v>928</v>
      </c>
      <c r="P291" s="35">
        <v>0</v>
      </c>
      <c r="Q291" s="35">
        <v>0</v>
      </c>
      <c r="R291" s="40">
        <f t="shared" si="8"/>
        <v>7548.5</v>
      </c>
      <c r="S291" s="35">
        <f t="shared" si="9"/>
        <v>7335</v>
      </c>
      <c r="T291" s="11">
        <v>635703</v>
      </c>
    </row>
    <row r="292" spans="1:20" hidden="1">
      <c r="A292" s="48">
        <v>45914</v>
      </c>
      <c r="B292" s="35" t="s">
        <v>1503</v>
      </c>
      <c r="C292" s="40" t="s">
        <v>1495</v>
      </c>
      <c r="D292" s="40">
        <v>0</v>
      </c>
      <c r="E292" s="35">
        <v>0</v>
      </c>
      <c r="F292" s="40">
        <v>3424.5</v>
      </c>
      <c r="G292" s="35">
        <v>3345</v>
      </c>
      <c r="H292" s="40">
        <v>0</v>
      </c>
      <c r="I292" s="35">
        <v>0</v>
      </c>
      <c r="J292" s="40">
        <v>229.5</v>
      </c>
      <c r="K292" s="35">
        <v>0</v>
      </c>
      <c r="L292" s="40">
        <v>1072.5</v>
      </c>
      <c r="M292" s="35">
        <v>1275</v>
      </c>
      <c r="N292" s="40">
        <v>879</v>
      </c>
      <c r="O292" s="35">
        <v>898</v>
      </c>
      <c r="P292" s="35">
        <v>0</v>
      </c>
      <c r="Q292" s="35">
        <v>0</v>
      </c>
      <c r="R292" s="40">
        <f t="shared" si="8"/>
        <v>5605.5</v>
      </c>
      <c r="S292" s="35">
        <f t="shared" si="9"/>
        <v>5518</v>
      </c>
      <c r="T292" s="11">
        <v>635703</v>
      </c>
    </row>
    <row r="293" spans="1:20" hidden="1">
      <c r="A293" s="48">
        <v>45915</v>
      </c>
      <c r="B293" s="35" t="s">
        <v>1503</v>
      </c>
      <c r="C293" s="40" t="s">
        <v>1495</v>
      </c>
      <c r="D293" s="40">
        <v>0</v>
      </c>
      <c r="E293" s="35">
        <v>0</v>
      </c>
      <c r="F293" s="40">
        <v>4613</v>
      </c>
      <c r="G293" s="35">
        <v>4179</v>
      </c>
      <c r="H293" s="40">
        <v>0</v>
      </c>
      <c r="I293" s="35">
        <v>0</v>
      </c>
      <c r="J293" s="40">
        <v>296</v>
      </c>
      <c r="K293" s="35">
        <v>346</v>
      </c>
      <c r="L293" s="40">
        <v>1540.5</v>
      </c>
      <c r="M293" s="35">
        <v>1788</v>
      </c>
      <c r="N293" s="40">
        <f>1196</f>
        <v>1196</v>
      </c>
      <c r="O293" s="35">
        <v>1175</v>
      </c>
      <c r="P293" s="35">
        <v>0</v>
      </c>
      <c r="Q293" s="35">
        <v>0</v>
      </c>
      <c r="R293" s="40">
        <f t="shared" si="8"/>
        <v>7645.5</v>
      </c>
      <c r="S293" s="35">
        <f t="shared" si="9"/>
        <v>7488</v>
      </c>
      <c r="T293" s="11">
        <v>635703</v>
      </c>
    </row>
    <row r="294" spans="1:20" hidden="1">
      <c r="A294" s="48">
        <v>45928</v>
      </c>
      <c r="B294" s="35" t="s">
        <v>1506</v>
      </c>
      <c r="C294" s="40" t="s">
        <v>1496</v>
      </c>
      <c r="D294" s="42">
        <v>0</v>
      </c>
      <c r="E294" s="35">
        <v>0</v>
      </c>
      <c r="F294" s="42">
        <v>283</v>
      </c>
      <c r="G294" s="35">
        <v>263</v>
      </c>
      <c r="H294" s="42">
        <v>0</v>
      </c>
      <c r="I294" s="35">
        <v>0</v>
      </c>
      <c r="J294" s="42">
        <v>0</v>
      </c>
      <c r="K294" s="35">
        <v>0</v>
      </c>
      <c r="L294" s="42">
        <v>400</v>
      </c>
      <c r="M294" s="35">
        <v>363</v>
      </c>
      <c r="N294" s="42">
        <v>68</v>
      </c>
      <c r="O294" s="35">
        <v>75</v>
      </c>
      <c r="P294" s="35">
        <v>0</v>
      </c>
      <c r="Q294" s="35">
        <v>0</v>
      </c>
      <c r="R294" s="40">
        <f t="shared" si="8"/>
        <v>751</v>
      </c>
      <c r="S294" s="35">
        <f t="shared" si="9"/>
        <v>701</v>
      </c>
      <c r="T294" s="11">
        <v>635307</v>
      </c>
    </row>
    <row r="295" spans="1:20" ht="15.75" hidden="1">
      <c r="A295" s="48">
        <v>45928</v>
      </c>
      <c r="B295" s="22" t="s">
        <v>1500</v>
      </c>
      <c r="C295" s="40" t="s">
        <v>1496</v>
      </c>
      <c r="D295" s="42">
        <v>0</v>
      </c>
      <c r="E295" s="35">
        <v>0</v>
      </c>
      <c r="F295" s="42">
        <v>584</v>
      </c>
      <c r="G295" s="35">
        <v>543</v>
      </c>
      <c r="H295" s="42">
        <v>0</v>
      </c>
      <c r="I295" s="35">
        <v>0</v>
      </c>
      <c r="J295" s="42">
        <v>0</v>
      </c>
      <c r="K295" s="35">
        <v>0</v>
      </c>
      <c r="L295" s="42">
        <v>602</v>
      </c>
      <c r="M295" s="35">
        <v>546</v>
      </c>
      <c r="N295" s="42">
        <v>283</v>
      </c>
      <c r="O295" s="35">
        <v>314</v>
      </c>
      <c r="P295" s="35">
        <v>0</v>
      </c>
      <c r="Q295" s="35">
        <v>0</v>
      </c>
      <c r="R295" s="40">
        <f t="shared" si="8"/>
        <v>1469</v>
      </c>
      <c r="S295" s="35">
        <f t="shared" si="9"/>
        <v>1403</v>
      </c>
      <c r="T295" s="11">
        <v>583134</v>
      </c>
    </row>
    <row r="296" spans="1:20" hidden="1">
      <c r="A296" s="48">
        <v>45930</v>
      </c>
      <c r="B296" s="35" t="s">
        <v>1506</v>
      </c>
      <c r="C296" s="40" t="s">
        <v>1496</v>
      </c>
      <c r="D296" s="42">
        <v>0</v>
      </c>
      <c r="E296" s="35">
        <v>0</v>
      </c>
      <c r="F296" s="42">
        <v>243</v>
      </c>
      <c r="G296" s="35">
        <v>229</v>
      </c>
      <c r="H296" s="42">
        <v>0</v>
      </c>
      <c r="I296" s="35">
        <v>0</v>
      </c>
      <c r="J296" s="42">
        <v>0</v>
      </c>
      <c r="K296" s="35">
        <v>0</v>
      </c>
      <c r="L296" s="42">
        <v>314</v>
      </c>
      <c r="M296" s="35">
        <v>315</v>
      </c>
      <c r="N296" s="42">
        <v>20</v>
      </c>
      <c r="O296" s="35">
        <v>20</v>
      </c>
      <c r="P296" s="35">
        <v>0</v>
      </c>
      <c r="Q296" s="35">
        <v>0</v>
      </c>
      <c r="R296" s="40">
        <f t="shared" si="8"/>
        <v>577</v>
      </c>
      <c r="S296" s="35">
        <f t="shared" si="9"/>
        <v>564</v>
      </c>
      <c r="T296" s="11">
        <v>635307</v>
      </c>
    </row>
    <row r="297" spans="1:20" ht="15.75" hidden="1">
      <c r="A297" s="48">
        <v>45930</v>
      </c>
      <c r="B297" s="22" t="s">
        <v>1500</v>
      </c>
      <c r="C297" s="40" t="s">
        <v>1496</v>
      </c>
      <c r="D297" s="42">
        <v>0</v>
      </c>
      <c r="E297" s="35">
        <v>0</v>
      </c>
      <c r="F297" s="42">
        <v>429</v>
      </c>
      <c r="G297" s="35">
        <v>404</v>
      </c>
      <c r="H297" s="42">
        <v>0</v>
      </c>
      <c r="I297" s="35">
        <v>0</v>
      </c>
      <c r="J297" s="42">
        <v>0</v>
      </c>
      <c r="K297" s="35">
        <v>0</v>
      </c>
      <c r="L297" s="42">
        <v>538</v>
      </c>
      <c r="M297" s="35">
        <v>540</v>
      </c>
      <c r="N297" s="42">
        <v>271</v>
      </c>
      <c r="O297" s="35">
        <v>270</v>
      </c>
      <c r="P297" s="35">
        <v>0</v>
      </c>
      <c r="Q297" s="35">
        <v>0</v>
      </c>
      <c r="R297" s="40">
        <f t="shared" si="8"/>
        <v>1238</v>
      </c>
      <c r="S297" s="35">
        <f t="shared" si="9"/>
        <v>1214</v>
      </c>
      <c r="T297" s="11">
        <v>583134</v>
      </c>
    </row>
    <row r="298" spans="1:20" hidden="1">
      <c r="A298" s="48">
        <v>45930</v>
      </c>
      <c r="B298" s="35" t="s">
        <v>1503</v>
      </c>
      <c r="C298" s="40" t="s">
        <v>1495</v>
      </c>
      <c r="D298" s="42">
        <v>0</v>
      </c>
      <c r="E298" s="35">
        <v>0</v>
      </c>
      <c r="F298" s="42">
        <v>152.4</v>
      </c>
      <c r="G298" s="35">
        <v>143</v>
      </c>
      <c r="H298" s="42">
        <v>0</v>
      </c>
      <c r="I298" s="35">
        <v>0</v>
      </c>
      <c r="J298" s="42">
        <v>20.5</v>
      </c>
      <c r="K298" s="35">
        <v>0</v>
      </c>
      <c r="L298" s="42">
        <v>37.5</v>
      </c>
      <c r="M298" s="35">
        <v>38</v>
      </c>
      <c r="N298" s="42">
        <v>37.5</v>
      </c>
      <c r="O298" s="35">
        <v>36</v>
      </c>
      <c r="P298" s="35">
        <v>0</v>
      </c>
      <c r="Q298" s="35">
        <v>0</v>
      </c>
      <c r="R298" s="40">
        <f t="shared" si="8"/>
        <v>247.9</v>
      </c>
      <c r="S298" s="35">
        <f t="shared" si="9"/>
        <v>217</v>
      </c>
      <c r="T298" s="11">
        <v>635703</v>
      </c>
    </row>
    <row r="299" spans="1:20">
      <c r="A299" s="48">
        <v>45933</v>
      </c>
      <c r="B299" s="35" t="s">
        <v>1506</v>
      </c>
      <c r="C299" s="40" t="s">
        <v>1496</v>
      </c>
      <c r="D299" s="42">
        <v>0</v>
      </c>
      <c r="E299" s="35">
        <v>0</v>
      </c>
      <c r="F299" s="42">
        <v>121</v>
      </c>
      <c r="G299" s="35">
        <v>116</v>
      </c>
      <c r="H299" s="42">
        <v>0</v>
      </c>
      <c r="I299" s="35">
        <v>0</v>
      </c>
      <c r="J299" s="42">
        <v>0</v>
      </c>
      <c r="K299" s="35">
        <v>0</v>
      </c>
      <c r="L299" s="42">
        <v>299</v>
      </c>
      <c r="M299" s="35">
        <v>281</v>
      </c>
      <c r="N299" s="42">
        <v>92</v>
      </c>
      <c r="O299" s="35">
        <v>80</v>
      </c>
      <c r="P299" s="35">
        <v>0</v>
      </c>
      <c r="Q299" s="35">
        <v>0</v>
      </c>
      <c r="R299" s="40">
        <f t="shared" si="8"/>
        <v>512</v>
      </c>
      <c r="S299" s="35">
        <f t="shared" si="9"/>
        <v>477</v>
      </c>
      <c r="T299" s="11">
        <v>635307</v>
      </c>
    </row>
    <row r="300" spans="1:20" ht="15.75">
      <c r="A300" s="48">
        <v>45933</v>
      </c>
      <c r="B300" s="22" t="s">
        <v>1500</v>
      </c>
      <c r="C300" s="40" t="s">
        <v>1496</v>
      </c>
      <c r="D300" s="42">
        <v>0</v>
      </c>
      <c r="E300" s="35">
        <v>0</v>
      </c>
      <c r="F300" s="42">
        <v>327</v>
      </c>
      <c r="G300" s="35">
        <v>314</v>
      </c>
      <c r="H300" s="42">
        <v>0</v>
      </c>
      <c r="I300" s="35">
        <v>0</v>
      </c>
      <c r="J300" s="42">
        <v>0</v>
      </c>
      <c r="K300" s="35">
        <v>0</v>
      </c>
      <c r="L300" s="42">
        <v>666</v>
      </c>
      <c r="M300" s="35">
        <v>647</v>
      </c>
      <c r="N300" s="42">
        <v>476</v>
      </c>
      <c r="O300" s="35">
        <v>463</v>
      </c>
      <c r="P300" s="35">
        <v>0</v>
      </c>
      <c r="Q300" s="35">
        <v>0</v>
      </c>
      <c r="R300" s="40">
        <f t="shared" si="8"/>
        <v>1469</v>
      </c>
      <c r="S300" s="35">
        <f t="shared" si="9"/>
        <v>1424</v>
      </c>
      <c r="T300" s="11">
        <v>583134</v>
      </c>
    </row>
    <row r="301" spans="1:20">
      <c r="A301" s="48">
        <v>45935</v>
      </c>
      <c r="B301" s="35" t="s">
        <v>1506</v>
      </c>
      <c r="C301" s="40" t="s">
        <v>1496</v>
      </c>
      <c r="D301" s="40">
        <v>0</v>
      </c>
      <c r="E301" s="35">
        <v>0</v>
      </c>
      <c r="F301" s="40">
        <v>50</v>
      </c>
      <c r="G301" s="35">
        <v>48</v>
      </c>
      <c r="H301" s="40">
        <v>0</v>
      </c>
      <c r="I301" s="35">
        <v>0</v>
      </c>
      <c r="J301" s="40">
        <v>0</v>
      </c>
      <c r="K301" s="35">
        <v>0</v>
      </c>
      <c r="L301" s="40">
        <v>105</v>
      </c>
      <c r="M301" s="35">
        <v>102</v>
      </c>
      <c r="N301" s="40">
        <v>59</v>
      </c>
      <c r="O301" s="35">
        <v>56</v>
      </c>
      <c r="P301" s="35">
        <v>0</v>
      </c>
      <c r="Q301" s="35">
        <v>0</v>
      </c>
      <c r="R301" s="40">
        <f t="shared" si="8"/>
        <v>214</v>
      </c>
      <c r="S301" s="35">
        <f t="shared" si="9"/>
        <v>206</v>
      </c>
      <c r="T301" s="11">
        <v>635307</v>
      </c>
    </row>
    <row r="302" spans="1:20" ht="15.75">
      <c r="A302" s="48">
        <v>45935</v>
      </c>
      <c r="B302" s="22" t="s">
        <v>1500</v>
      </c>
      <c r="C302" s="40" t="s">
        <v>1496</v>
      </c>
      <c r="D302" s="40">
        <v>0</v>
      </c>
      <c r="E302" s="35">
        <v>0</v>
      </c>
      <c r="F302" s="40">
        <v>117</v>
      </c>
      <c r="G302" s="35">
        <v>113</v>
      </c>
      <c r="H302" s="40">
        <v>0</v>
      </c>
      <c r="I302" s="35">
        <v>0</v>
      </c>
      <c r="J302" s="40">
        <v>0</v>
      </c>
      <c r="K302" s="35">
        <v>0</v>
      </c>
      <c r="L302" s="40">
        <v>195</v>
      </c>
      <c r="M302" s="35">
        <v>189</v>
      </c>
      <c r="N302" s="40">
        <v>85</v>
      </c>
      <c r="O302" s="35">
        <v>80</v>
      </c>
      <c r="P302" s="35">
        <v>0</v>
      </c>
      <c r="Q302" s="35">
        <v>0</v>
      </c>
      <c r="R302" s="40">
        <f t="shared" si="8"/>
        <v>397</v>
      </c>
      <c r="S302" s="35">
        <f t="shared" si="9"/>
        <v>382</v>
      </c>
      <c r="T302" s="11">
        <v>583134</v>
      </c>
    </row>
    <row r="303" spans="1:20">
      <c r="A303" s="48">
        <v>45937</v>
      </c>
      <c r="B303" s="35" t="s">
        <v>1458</v>
      </c>
      <c r="C303" s="40" t="s">
        <v>1494</v>
      </c>
      <c r="D303" s="40">
        <v>0</v>
      </c>
      <c r="E303" s="35">
        <v>0</v>
      </c>
      <c r="F303" s="40">
        <v>1819</v>
      </c>
      <c r="G303" s="35">
        <v>1789</v>
      </c>
      <c r="H303" s="40">
        <v>0</v>
      </c>
      <c r="I303" s="35">
        <v>0</v>
      </c>
      <c r="J303" s="40">
        <v>0</v>
      </c>
      <c r="K303" s="35">
        <v>0</v>
      </c>
      <c r="L303" s="40">
        <v>3715</v>
      </c>
      <c r="M303" s="35">
        <v>3626</v>
      </c>
      <c r="N303" s="40">
        <v>469</v>
      </c>
      <c r="O303" s="35">
        <v>460</v>
      </c>
      <c r="P303" s="35">
        <v>0</v>
      </c>
      <c r="Q303" s="35">
        <v>0</v>
      </c>
      <c r="R303" s="40">
        <f t="shared" si="8"/>
        <v>6003</v>
      </c>
      <c r="S303" s="35">
        <f t="shared" si="9"/>
        <v>5875</v>
      </c>
      <c r="T303" s="11">
        <v>517561</v>
      </c>
    </row>
    <row r="304" spans="1:20" ht="15.75">
      <c r="A304" s="48">
        <v>45937</v>
      </c>
      <c r="B304" s="56" t="s">
        <v>33</v>
      </c>
      <c r="C304" s="40" t="s">
        <v>1493</v>
      </c>
      <c r="D304" s="40">
        <v>0</v>
      </c>
      <c r="E304" s="35">
        <v>0</v>
      </c>
      <c r="F304" s="40">
        <f>5213.5-390</f>
        <v>4823.5</v>
      </c>
      <c r="G304" s="35">
        <v>4597</v>
      </c>
      <c r="H304" s="40">
        <v>0</v>
      </c>
      <c r="I304" s="35">
        <v>0</v>
      </c>
      <c r="J304" s="40">
        <v>0</v>
      </c>
      <c r="K304" s="35">
        <v>0</v>
      </c>
      <c r="L304" s="40">
        <f>2844-557</f>
        <v>2287</v>
      </c>
      <c r="M304" s="35">
        <v>2400</v>
      </c>
      <c r="N304" s="40">
        <f>353.5-32</f>
        <v>321.5</v>
      </c>
      <c r="O304" s="35">
        <v>407</v>
      </c>
      <c r="P304" s="35">
        <v>0</v>
      </c>
      <c r="Q304" s="35">
        <v>0</v>
      </c>
      <c r="R304" s="40">
        <f t="shared" si="8"/>
        <v>7432</v>
      </c>
      <c r="S304" s="35">
        <f t="shared" si="9"/>
        <v>7404</v>
      </c>
      <c r="T304" s="11">
        <v>583131</v>
      </c>
    </row>
    <row r="305" spans="1:20">
      <c r="A305" s="48">
        <v>45938</v>
      </c>
      <c r="B305" s="35" t="s">
        <v>1458</v>
      </c>
      <c r="C305" s="40" t="s">
        <v>1494</v>
      </c>
      <c r="D305" s="40">
        <v>0</v>
      </c>
      <c r="E305" s="35">
        <v>0</v>
      </c>
      <c r="F305" s="40">
        <v>1053</v>
      </c>
      <c r="G305" s="35">
        <v>1047</v>
      </c>
      <c r="H305" s="40">
        <v>0</v>
      </c>
      <c r="I305" s="35">
        <v>0</v>
      </c>
      <c r="J305" s="40">
        <v>0</v>
      </c>
      <c r="K305" s="35">
        <v>0</v>
      </c>
      <c r="L305" s="40">
        <v>2395</v>
      </c>
      <c r="M305" s="35">
        <v>2422</v>
      </c>
      <c r="N305" s="40">
        <v>1405</v>
      </c>
      <c r="O305" s="35">
        <v>1357</v>
      </c>
      <c r="P305" s="35">
        <v>0</v>
      </c>
      <c r="Q305" s="35">
        <v>0</v>
      </c>
      <c r="R305" s="40">
        <f t="shared" si="8"/>
        <v>4853</v>
      </c>
      <c r="S305" s="35">
        <f t="shared" si="9"/>
        <v>4826</v>
      </c>
      <c r="T305" s="11">
        <v>517561</v>
      </c>
    </row>
    <row r="306" spans="1:20">
      <c r="A306" s="48">
        <v>45938</v>
      </c>
      <c r="B306" s="35" t="s">
        <v>1504</v>
      </c>
      <c r="C306" s="40" t="s">
        <v>1495</v>
      </c>
      <c r="D306" s="40">
        <v>0</v>
      </c>
      <c r="E306" s="35">
        <v>0</v>
      </c>
      <c r="F306" s="40">
        <v>2074</v>
      </c>
      <c r="G306" s="35">
        <v>1951</v>
      </c>
      <c r="H306" s="40">
        <v>0</v>
      </c>
      <c r="I306" s="35">
        <v>0</v>
      </c>
      <c r="J306" s="40">
        <v>0</v>
      </c>
      <c r="K306" s="35">
        <v>0</v>
      </c>
      <c r="L306" s="40">
        <v>2347</v>
      </c>
      <c r="M306" s="35">
        <v>2301</v>
      </c>
      <c r="N306" s="40">
        <f>2219-2219</f>
        <v>0</v>
      </c>
      <c r="O306" s="35">
        <v>2271</v>
      </c>
      <c r="P306" s="35">
        <v>0</v>
      </c>
      <c r="Q306" s="35">
        <v>0</v>
      </c>
      <c r="R306" s="40">
        <f t="shared" si="8"/>
        <v>4421</v>
      </c>
      <c r="S306" s="35">
        <f t="shared" si="9"/>
        <v>6523</v>
      </c>
      <c r="T306" s="11">
        <v>583277</v>
      </c>
    </row>
    <row r="307" spans="1:20" ht="15.75">
      <c r="A307" s="48">
        <v>45938</v>
      </c>
      <c r="B307" s="56" t="s">
        <v>33</v>
      </c>
      <c r="C307" s="40" t="s">
        <v>1493</v>
      </c>
      <c r="D307" s="40">
        <v>0</v>
      </c>
      <c r="E307" s="35">
        <v>0</v>
      </c>
      <c r="F307" s="40">
        <v>4275</v>
      </c>
      <c r="G307" s="35">
        <v>4067</v>
      </c>
      <c r="H307" s="40">
        <v>0</v>
      </c>
      <c r="I307" s="35">
        <v>0</v>
      </c>
      <c r="J307" s="40">
        <v>0</v>
      </c>
      <c r="K307" s="35">
        <v>0</v>
      </c>
      <c r="L307" s="40">
        <v>1653</v>
      </c>
      <c r="M307" s="35">
        <v>1630</v>
      </c>
      <c r="N307" s="40">
        <f>331-331</f>
        <v>0</v>
      </c>
      <c r="O307" s="35">
        <v>294</v>
      </c>
      <c r="P307" s="35">
        <v>0</v>
      </c>
      <c r="Q307" s="35">
        <v>0</v>
      </c>
      <c r="R307" s="40">
        <f t="shared" si="8"/>
        <v>5928</v>
      </c>
      <c r="S307" s="35">
        <f t="shared" si="9"/>
        <v>5991</v>
      </c>
      <c r="T307" s="11">
        <v>583131</v>
      </c>
    </row>
    <row r="308" spans="1:20">
      <c r="A308" s="48">
        <v>45939</v>
      </c>
      <c r="B308" s="35" t="s">
        <v>1458</v>
      </c>
      <c r="C308" s="40" t="s">
        <v>1494</v>
      </c>
      <c r="D308" s="40">
        <v>0</v>
      </c>
      <c r="E308" s="35">
        <v>0</v>
      </c>
      <c r="F308" s="40">
        <v>2176</v>
      </c>
      <c r="G308" s="35">
        <v>2166</v>
      </c>
      <c r="H308" s="40">
        <v>0</v>
      </c>
      <c r="I308" s="35">
        <v>0</v>
      </c>
      <c r="J308" s="40">
        <v>0</v>
      </c>
      <c r="K308" s="35">
        <v>0</v>
      </c>
      <c r="L308" s="40">
        <v>3667</v>
      </c>
      <c r="M308" s="35">
        <v>3642</v>
      </c>
      <c r="N308" s="40">
        <v>955</v>
      </c>
      <c r="O308" s="35">
        <v>948</v>
      </c>
      <c r="P308" s="35">
        <v>0</v>
      </c>
      <c r="Q308" s="35">
        <v>0</v>
      </c>
      <c r="R308" s="40">
        <f t="shared" si="8"/>
        <v>6798</v>
      </c>
      <c r="S308" s="35">
        <f t="shared" si="9"/>
        <v>6756</v>
      </c>
      <c r="T308" s="11">
        <v>517561</v>
      </c>
    </row>
    <row r="309" spans="1:20" ht="15.75">
      <c r="A309" s="48">
        <v>45939</v>
      </c>
      <c r="B309" s="56" t="s">
        <v>33</v>
      </c>
      <c r="C309" s="40" t="s">
        <v>1493</v>
      </c>
      <c r="D309" s="40">
        <v>0</v>
      </c>
      <c r="E309" s="35">
        <v>0</v>
      </c>
      <c r="F309" s="40">
        <v>5100.5</v>
      </c>
      <c r="G309" s="35">
        <f>4937+209</f>
        <v>5146</v>
      </c>
      <c r="H309" s="40">
        <v>0</v>
      </c>
      <c r="I309" s="35">
        <v>0</v>
      </c>
      <c r="J309" s="40">
        <v>0</v>
      </c>
      <c r="K309" s="35">
        <v>0</v>
      </c>
      <c r="L309" s="40">
        <f>2587-356</f>
        <v>2231</v>
      </c>
      <c r="M309" s="35">
        <f>2182</f>
        <v>2182</v>
      </c>
      <c r="N309" s="40">
        <f>453-48-405</f>
        <v>0</v>
      </c>
      <c r="O309" s="35">
        <f>347</f>
        <v>347</v>
      </c>
      <c r="P309" s="35">
        <v>0</v>
      </c>
      <c r="Q309" s="35">
        <v>0</v>
      </c>
      <c r="R309" s="40">
        <f t="shared" si="8"/>
        <v>7331.5</v>
      </c>
      <c r="S309" s="35">
        <f t="shared" si="9"/>
        <v>7675</v>
      </c>
      <c r="T309" s="11">
        <v>583131</v>
      </c>
    </row>
    <row r="310" spans="1:20">
      <c r="A310" s="48">
        <v>45940</v>
      </c>
      <c r="B310" s="35" t="s">
        <v>1458</v>
      </c>
      <c r="C310" s="40" t="s">
        <v>1494</v>
      </c>
      <c r="D310" s="40">
        <v>0</v>
      </c>
      <c r="E310" s="35">
        <v>0</v>
      </c>
      <c r="F310" s="40">
        <v>2398</v>
      </c>
      <c r="G310" s="35">
        <v>2427</v>
      </c>
      <c r="H310" s="40">
        <v>0</v>
      </c>
      <c r="I310" s="35">
        <v>0</v>
      </c>
      <c r="J310" s="40">
        <v>0</v>
      </c>
      <c r="K310" s="35">
        <v>0</v>
      </c>
      <c r="L310" s="40">
        <v>4160</v>
      </c>
      <c r="M310" s="35">
        <v>4146</v>
      </c>
      <c r="N310" s="40">
        <v>742</v>
      </c>
      <c r="O310" s="35">
        <v>758</v>
      </c>
      <c r="P310" s="35">
        <v>0</v>
      </c>
      <c r="Q310" s="35">
        <v>0</v>
      </c>
      <c r="R310" s="40">
        <f t="shared" si="8"/>
        <v>7300</v>
      </c>
      <c r="S310" s="35">
        <f t="shared" si="9"/>
        <v>7331</v>
      </c>
      <c r="T310" s="11">
        <v>517561</v>
      </c>
    </row>
    <row r="311" spans="1:20" ht="15.75">
      <c r="A311" s="48">
        <v>45940</v>
      </c>
      <c r="B311" s="56" t="s">
        <v>33</v>
      </c>
      <c r="C311" s="40" t="s">
        <v>1493</v>
      </c>
      <c r="D311" s="40">
        <v>0</v>
      </c>
      <c r="E311" s="35">
        <v>0</v>
      </c>
      <c r="F311" s="40">
        <v>4121.5</v>
      </c>
      <c r="G311" s="35">
        <v>3964</v>
      </c>
      <c r="H311" s="40">
        <v>0</v>
      </c>
      <c r="I311" s="35">
        <v>0</v>
      </c>
      <c r="J311" s="40">
        <v>0</v>
      </c>
      <c r="K311" s="35">
        <v>0</v>
      </c>
      <c r="L311" s="40">
        <f>2720+356</f>
        <v>3076</v>
      </c>
      <c r="M311" s="35">
        <v>2930</v>
      </c>
      <c r="N311" s="40">
        <f>458.5+48</f>
        <v>506.5</v>
      </c>
      <c r="O311" s="35">
        <v>533</v>
      </c>
      <c r="P311" s="35">
        <v>0</v>
      </c>
      <c r="Q311" s="35">
        <v>0</v>
      </c>
      <c r="R311" s="40">
        <f t="shared" si="8"/>
        <v>7704</v>
      </c>
      <c r="S311" s="35">
        <f t="shared" si="9"/>
        <v>7427</v>
      </c>
      <c r="T311" s="11">
        <v>583131</v>
      </c>
    </row>
    <row r="312" spans="1:20">
      <c r="A312" s="48">
        <v>45940</v>
      </c>
      <c r="B312" s="35" t="s">
        <v>1504</v>
      </c>
      <c r="C312" s="40" t="s">
        <v>1495</v>
      </c>
      <c r="D312" s="40">
        <v>0</v>
      </c>
      <c r="E312" s="35">
        <v>0</v>
      </c>
      <c r="F312" s="40">
        <v>3437</v>
      </c>
      <c r="G312" s="35">
        <v>2611</v>
      </c>
      <c r="H312" s="40">
        <v>0</v>
      </c>
      <c r="I312" s="35">
        <v>0</v>
      </c>
      <c r="J312" s="40">
        <v>0</v>
      </c>
      <c r="K312" s="35">
        <v>0</v>
      </c>
      <c r="L312" s="40">
        <v>3304</v>
      </c>
      <c r="M312" s="35">
        <v>3894</v>
      </c>
      <c r="N312" s="40">
        <v>633</v>
      </c>
      <c r="O312" s="35">
        <v>622</v>
      </c>
      <c r="P312" s="35">
        <v>0</v>
      </c>
      <c r="Q312" s="35">
        <v>0</v>
      </c>
      <c r="R312" s="40">
        <f t="shared" si="8"/>
        <v>7374</v>
      </c>
      <c r="S312" s="35">
        <f t="shared" si="9"/>
        <v>7127</v>
      </c>
      <c r="T312" s="11">
        <v>583277</v>
      </c>
    </row>
    <row r="313" spans="1:20" ht="15.75">
      <c r="A313" s="48">
        <v>45940</v>
      </c>
      <c r="B313" s="8" t="s">
        <v>109</v>
      </c>
      <c r="C313" s="40" t="s">
        <v>1493</v>
      </c>
      <c r="D313" s="40">
        <v>0</v>
      </c>
      <c r="E313" s="35">
        <v>0</v>
      </c>
      <c r="F313" s="40">
        <v>1729</v>
      </c>
      <c r="G313" s="35">
        <v>1657</v>
      </c>
      <c r="H313" s="40">
        <v>0</v>
      </c>
      <c r="I313" s="35">
        <v>0</v>
      </c>
      <c r="J313" s="40">
        <v>0</v>
      </c>
      <c r="K313" s="35">
        <v>0</v>
      </c>
      <c r="L313" s="40">
        <v>1904</v>
      </c>
      <c r="M313" s="35">
        <v>1873</v>
      </c>
      <c r="N313" s="40">
        <v>813</v>
      </c>
      <c r="O313" s="35">
        <v>891</v>
      </c>
      <c r="P313" s="35">
        <v>0</v>
      </c>
      <c r="Q313" s="35">
        <v>0</v>
      </c>
      <c r="R313" s="40">
        <f t="shared" si="8"/>
        <v>4446</v>
      </c>
      <c r="S313" s="35">
        <f t="shared" si="9"/>
        <v>4421</v>
      </c>
      <c r="T313" s="11">
        <v>582114</v>
      </c>
    </row>
    <row r="314" spans="1:20" ht="15.75">
      <c r="A314" s="48">
        <v>45941</v>
      </c>
      <c r="B314" s="56" t="s">
        <v>33</v>
      </c>
      <c r="C314" s="40" t="s">
        <v>1493</v>
      </c>
      <c r="D314" s="40">
        <v>0</v>
      </c>
      <c r="E314" s="35">
        <v>0</v>
      </c>
      <c r="F314" s="40">
        <v>4467</v>
      </c>
      <c r="G314" s="35">
        <v>4363</v>
      </c>
      <c r="H314" s="40">
        <v>0</v>
      </c>
      <c r="I314" s="35">
        <v>0</v>
      </c>
      <c r="J314" s="40">
        <v>0</v>
      </c>
      <c r="K314" s="35">
        <v>0</v>
      </c>
      <c r="L314" s="40">
        <v>2672</v>
      </c>
      <c r="M314" s="35">
        <v>2506</v>
      </c>
      <c r="N314" s="40">
        <f>657-657</f>
        <v>0</v>
      </c>
      <c r="O314" s="35">
        <v>703</v>
      </c>
      <c r="P314" s="35">
        <v>0</v>
      </c>
      <c r="Q314" s="35">
        <v>0</v>
      </c>
      <c r="R314" s="40">
        <f t="shared" si="8"/>
        <v>7139</v>
      </c>
      <c r="S314" s="35">
        <f t="shared" si="9"/>
        <v>7572</v>
      </c>
      <c r="T314" s="11">
        <v>583131</v>
      </c>
    </row>
    <row r="315" spans="1:20">
      <c r="A315" s="48">
        <v>45941</v>
      </c>
      <c r="B315" s="35" t="s">
        <v>1504</v>
      </c>
      <c r="C315" s="40" t="s">
        <v>1495</v>
      </c>
      <c r="D315" s="40">
        <v>0</v>
      </c>
      <c r="E315" s="35">
        <v>0</v>
      </c>
      <c r="F315" s="40">
        <v>2629</v>
      </c>
      <c r="G315" s="35">
        <v>2551</v>
      </c>
      <c r="H315" s="40">
        <v>0</v>
      </c>
      <c r="I315" s="35">
        <v>0</v>
      </c>
      <c r="J315" s="40">
        <v>0</v>
      </c>
      <c r="K315" s="35">
        <v>0</v>
      </c>
      <c r="L315" s="40">
        <v>3353</v>
      </c>
      <c r="M315" s="35">
        <v>3333</v>
      </c>
      <c r="N315" s="40">
        <v>0</v>
      </c>
      <c r="O315" s="35">
        <v>0</v>
      </c>
      <c r="P315" s="35">
        <v>0</v>
      </c>
      <c r="Q315" s="35">
        <v>0</v>
      </c>
      <c r="R315" s="40">
        <f t="shared" si="8"/>
        <v>5982</v>
      </c>
      <c r="S315" s="35">
        <f t="shared" si="9"/>
        <v>5884</v>
      </c>
      <c r="T315" s="11">
        <v>583277</v>
      </c>
    </row>
    <row r="316" spans="1:20" ht="15.75">
      <c r="A316" s="48">
        <v>45941</v>
      </c>
      <c r="B316" s="8" t="s">
        <v>109</v>
      </c>
      <c r="C316" s="40" t="s">
        <v>1493</v>
      </c>
      <c r="D316" s="40">
        <v>0</v>
      </c>
      <c r="E316" s="35">
        <v>0</v>
      </c>
      <c r="F316" s="40">
        <v>659</v>
      </c>
      <c r="G316" s="35">
        <v>640</v>
      </c>
      <c r="H316" s="40">
        <v>0</v>
      </c>
      <c r="I316" s="35">
        <v>0</v>
      </c>
      <c r="J316" s="40">
        <v>0</v>
      </c>
      <c r="K316" s="35">
        <v>0</v>
      </c>
      <c r="L316" s="40">
        <v>936</v>
      </c>
      <c r="M316" s="35">
        <v>931</v>
      </c>
      <c r="N316" s="40">
        <f>586-586</f>
        <v>0</v>
      </c>
      <c r="O316" s="35">
        <v>0</v>
      </c>
      <c r="P316" s="35">
        <v>0</v>
      </c>
      <c r="Q316" s="35">
        <v>0</v>
      </c>
      <c r="R316" s="40">
        <f t="shared" si="8"/>
        <v>1595</v>
      </c>
      <c r="S316" s="35">
        <f t="shared" si="9"/>
        <v>1571</v>
      </c>
      <c r="T316" s="11">
        <v>582114</v>
      </c>
    </row>
    <row r="317" spans="1:20" ht="15.75">
      <c r="A317" s="48">
        <v>45942</v>
      </c>
      <c r="B317" s="56" t="s">
        <v>33</v>
      </c>
      <c r="C317" s="40" t="s">
        <v>1493</v>
      </c>
      <c r="D317" s="40">
        <v>0</v>
      </c>
      <c r="E317" s="35">
        <v>0</v>
      </c>
      <c r="F317" s="40">
        <v>4242.5</v>
      </c>
      <c r="G317" s="35">
        <v>4074</v>
      </c>
      <c r="H317" s="40">
        <v>0</v>
      </c>
      <c r="I317" s="35">
        <v>0</v>
      </c>
      <c r="J317" s="40">
        <v>0</v>
      </c>
      <c r="K317" s="35">
        <v>0</v>
      </c>
      <c r="L317" s="40">
        <v>2013</v>
      </c>
      <c r="M317" s="35">
        <v>1983</v>
      </c>
      <c r="N317" s="40">
        <f>450.5-450.5</f>
        <v>0</v>
      </c>
      <c r="O317" s="35">
        <v>443</v>
      </c>
      <c r="P317" s="35">
        <v>0</v>
      </c>
      <c r="Q317" s="35">
        <v>0</v>
      </c>
      <c r="R317" s="40">
        <f t="shared" si="8"/>
        <v>6255.5</v>
      </c>
      <c r="S317" s="35">
        <f t="shared" si="9"/>
        <v>6500</v>
      </c>
      <c r="T317" s="11">
        <v>583131</v>
      </c>
    </row>
    <row r="318" spans="1:20">
      <c r="A318" s="48">
        <v>45942</v>
      </c>
      <c r="B318" s="35" t="s">
        <v>1504</v>
      </c>
      <c r="C318" s="40" t="s">
        <v>1495</v>
      </c>
      <c r="D318" s="40">
        <v>0</v>
      </c>
      <c r="E318" s="35">
        <v>0</v>
      </c>
      <c r="F318" s="40">
        <v>4015</v>
      </c>
      <c r="G318" s="35">
        <f>3174+605</f>
        <v>3779</v>
      </c>
      <c r="H318" s="40">
        <v>0</v>
      </c>
      <c r="I318" s="35">
        <v>0</v>
      </c>
      <c r="J318" s="40">
        <v>0</v>
      </c>
      <c r="K318" s="35">
        <v>0</v>
      </c>
      <c r="L318" s="40">
        <f>3802-3802</f>
        <v>0</v>
      </c>
      <c r="M318" s="35">
        <f>2960+797</f>
        <v>3757</v>
      </c>
      <c r="N318" s="40">
        <f>1229-1229</f>
        <v>0</v>
      </c>
      <c r="O318" s="35">
        <v>1124</v>
      </c>
      <c r="P318" s="35">
        <v>0</v>
      </c>
      <c r="Q318" s="35">
        <v>0</v>
      </c>
      <c r="R318" s="40">
        <f t="shared" si="8"/>
        <v>4015</v>
      </c>
      <c r="S318" s="35">
        <f t="shared" si="9"/>
        <v>8660</v>
      </c>
      <c r="T318" s="11">
        <v>583277</v>
      </c>
    </row>
    <row r="319" spans="1:20" ht="15.75">
      <c r="A319" s="48">
        <v>45942</v>
      </c>
      <c r="B319" s="8" t="s">
        <v>109</v>
      </c>
      <c r="C319" s="40" t="s">
        <v>1493</v>
      </c>
      <c r="D319" s="40">
        <v>0</v>
      </c>
      <c r="E319" s="35">
        <v>0</v>
      </c>
      <c r="F319" s="40">
        <v>1698</v>
      </c>
      <c r="G319" s="35">
        <v>1528</v>
      </c>
      <c r="H319" s="40">
        <v>0</v>
      </c>
      <c r="I319" s="35">
        <v>0</v>
      </c>
      <c r="J319" s="40">
        <v>0</v>
      </c>
      <c r="K319" s="35">
        <v>0</v>
      </c>
      <c r="L319" s="40">
        <v>1662</v>
      </c>
      <c r="M319" s="35">
        <v>1566</v>
      </c>
      <c r="N319" s="40">
        <f>998+586-1584</f>
        <v>0</v>
      </c>
      <c r="O319" s="35">
        <v>1417</v>
      </c>
      <c r="P319" s="35">
        <v>0</v>
      </c>
      <c r="Q319" s="35">
        <v>0</v>
      </c>
      <c r="R319" s="40">
        <f t="shared" si="8"/>
        <v>3360</v>
      </c>
      <c r="S319" s="35">
        <f t="shared" si="9"/>
        <v>4511</v>
      </c>
      <c r="T319" s="11">
        <v>582114</v>
      </c>
    </row>
    <row r="320" spans="1:20" ht="15.75">
      <c r="A320" s="48">
        <v>45943</v>
      </c>
      <c r="B320" s="56" t="s">
        <v>33</v>
      </c>
      <c r="C320" s="40" t="s">
        <v>1493</v>
      </c>
      <c r="D320" s="40">
        <v>0</v>
      </c>
      <c r="E320" s="35">
        <v>0</v>
      </c>
      <c r="F320" s="40">
        <v>3795.5</v>
      </c>
      <c r="G320" s="35">
        <v>3680</v>
      </c>
      <c r="H320" s="40">
        <v>0</v>
      </c>
      <c r="I320" s="35">
        <v>0</v>
      </c>
      <c r="J320" s="40">
        <v>0</v>
      </c>
      <c r="K320" s="35">
        <v>0</v>
      </c>
      <c r="L320" s="40">
        <f>1481-1481</f>
        <v>0</v>
      </c>
      <c r="M320" s="41">
        <f>1441</f>
        <v>1441</v>
      </c>
      <c r="N320" s="40">
        <f>361-361</f>
        <v>0</v>
      </c>
      <c r="O320" s="41">
        <f>359</f>
        <v>359</v>
      </c>
      <c r="P320" s="35">
        <v>0</v>
      </c>
      <c r="Q320" s="35">
        <v>0</v>
      </c>
      <c r="R320" s="40">
        <f t="shared" si="8"/>
        <v>3795.5</v>
      </c>
      <c r="S320" s="35">
        <f t="shared" si="9"/>
        <v>5480</v>
      </c>
      <c r="T320" s="11">
        <v>583131</v>
      </c>
    </row>
    <row r="321" spans="1:20">
      <c r="A321" s="48">
        <v>45943</v>
      </c>
      <c r="B321" s="35" t="s">
        <v>1504</v>
      </c>
      <c r="C321" s="40" t="s">
        <v>1495</v>
      </c>
      <c r="D321" s="40">
        <v>0</v>
      </c>
      <c r="E321" s="35">
        <v>0</v>
      </c>
      <c r="F321" s="40">
        <v>3264</v>
      </c>
      <c r="G321" s="35">
        <v>3111</v>
      </c>
      <c r="H321" s="40">
        <v>0</v>
      </c>
      <c r="I321" s="35">
        <v>0</v>
      </c>
      <c r="J321" s="40">
        <v>0</v>
      </c>
      <c r="K321" s="35">
        <v>0</v>
      </c>
      <c r="L321" s="40">
        <v>1990</v>
      </c>
      <c r="M321" s="41">
        <v>2098</v>
      </c>
      <c r="N321" s="40">
        <f>498-498</f>
        <v>0</v>
      </c>
      <c r="O321" s="41">
        <f>329</f>
        <v>329</v>
      </c>
      <c r="P321" s="35">
        <v>0</v>
      </c>
      <c r="Q321" s="35">
        <v>0</v>
      </c>
      <c r="R321" s="40">
        <f t="shared" si="8"/>
        <v>5254</v>
      </c>
      <c r="S321" s="35">
        <f t="shared" si="9"/>
        <v>5538</v>
      </c>
      <c r="T321" s="11">
        <v>583277</v>
      </c>
    </row>
    <row r="322" spans="1:20" ht="15.75">
      <c r="A322" s="48">
        <v>45944</v>
      </c>
      <c r="B322" s="56" t="s">
        <v>33</v>
      </c>
      <c r="C322" s="40" t="s">
        <v>1493</v>
      </c>
      <c r="D322" s="40">
        <v>0</v>
      </c>
      <c r="E322" s="35">
        <v>0</v>
      </c>
      <c r="F322" s="40">
        <v>3148</v>
      </c>
      <c r="G322" s="35">
        <v>2986</v>
      </c>
      <c r="H322" s="40">
        <v>0</v>
      </c>
      <c r="I322" s="35">
        <v>0</v>
      </c>
      <c r="J322" s="40">
        <v>0</v>
      </c>
      <c r="K322" s="35">
        <v>0</v>
      </c>
      <c r="L322" s="40">
        <v>1138</v>
      </c>
      <c r="M322" s="35">
        <v>1132</v>
      </c>
      <c r="N322" s="40">
        <f>261-261</f>
        <v>0</v>
      </c>
      <c r="O322" s="35">
        <v>259</v>
      </c>
      <c r="P322" s="35">
        <v>0</v>
      </c>
      <c r="Q322" s="35">
        <v>0</v>
      </c>
      <c r="R322" s="40">
        <f t="shared" ref="R322:R385" si="10">SUM(D322,F322,H322,J322,L322,N322,P322)</f>
        <v>4286</v>
      </c>
      <c r="S322" s="35">
        <f t="shared" ref="S322:S385" si="11">SUM(E322,G322,I322,K322,M322,O322,Q322)</f>
        <v>4377</v>
      </c>
      <c r="T322" s="11">
        <v>583131</v>
      </c>
    </row>
    <row r="323" spans="1:20">
      <c r="A323" s="48">
        <v>45944</v>
      </c>
      <c r="B323" s="35" t="s">
        <v>1504</v>
      </c>
      <c r="C323" s="40" t="s">
        <v>1495</v>
      </c>
      <c r="D323" s="40">
        <v>0</v>
      </c>
      <c r="E323" s="35">
        <v>0</v>
      </c>
      <c r="F323" s="40">
        <f>3952-67</f>
        <v>3885</v>
      </c>
      <c r="G323" s="35">
        <v>3674</v>
      </c>
      <c r="H323" s="40">
        <v>0</v>
      </c>
      <c r="I323" s="35">
        <v>0</v>
      </c>
      <c r="J323" s="40">
        <v>0</v>
      </c>
      <c r="K323" s="35">
        <v>0</v>
      </c>
      <c r="L323" s="40">
        <f>3251-172</f>
        <v>3079</v>
      </c>
      <c r="M323" s="35">
        <v>2909</v>
      </c>
      <c r="N323" s="40">
        <f>875-76</f>
        <v>799</v>
      </c>
      <c r="O323" s="35">
        <v>899</v>
      </c>
      <c r="P323" s="35">
        <v>0</v>
      </c>
      <c r="Q323" s="35">
        <v>0</v>
      </c>
      <c r="R323" s="40">
        <f t="shared" si="10"/>
        <v>7763</v>
      </c>
      <c r="S323" s="35">
        <f t="shared" si="11"/>
        <v>7482</v>
      </c>
      <c r="T323" s="11">
        <v>583277</v>
      </c>
    </row>
    <row r="324" spans="1:20" ht="15.75">
      <c r="A324" s="48">
        <v>45945</v>
      </c>
      <c r="B324" s="8" t="s">
        <v>109</v>
      </c>
      <c r="C324" s="40" t="s">
        <v>1493</v>
      </c>
      <c r="D324" s="40">
        <v>0</v>
      </c>
      <c r="E324" s="35">
        <v>0</v>
      </c>
      <c r="F324" s="40">
        <v>2030</v>
      </c>
      <c r="G324" s="35">
        <v>2004</v>
      </c>
      <c r="H324" s="40">
        <v>0</v>
      </c>
      <c r="I324" s="35">
        <v>0</v>
      </c>
      <c r="J324" s="40">
        <v>0</v>
      </c>
      <c r="K324" s="35">
        <v>0</v>
      </c>
      <c r="L324" s="40">
        <v>1823</v>
      </c>
      <c r="M324" s="35">
        <v>1791</v>
      </c>
      <c r="N324" s="40">
        <v>1090</v>
      </c>
      <c r="O324" s="35">
        <v>1085</v>
      </c>
      <c r="P324" s="35">
        <v>0</v>
      </c>
      <c r="Q324" s="35">
        <v>0</v>
      </c>
      <c r="R324" s="40">
        <f t="shared" si="10"/>
        <v>4943</v>
      </c>
      <c r="S324" s="35">
        <f t="shared" si="11"/>
        <v>4880</v>
      </c>
      <c r="T324" s="11">
        <v>582114</v>
      </c>
    </row>
    <row r="325" spans="1:20" ht="15.75">
      <c r="A325" s="48">
        <v>45945</v>
      </c>
      <c r="B325" s="56" t="s">
        <v>33</v>
      </c>
      <c r="C325" s="40" t="s">
        <v>1493</v>
      </c>
      <c r="D325" s="40">
        <v>0</v>
      </c>
      <c r="E325" s="35">
        <v>0</v>
      </c>
      <c r="F325" s="40">
        <f>5178-500</f>
        <v>4678</v>
      </c>
      <c r="G325" s="35">
        <f>880+3619</f>
        <v>4499</v>
      </c>
      <c r="H325" s="40">
        <v>0</v>
      </c>
      <c r="I325" s="35">
        <v>0</v>
      </c>
      <c r="J325" s="40">
        <v>0</v>
      </c>
      <c r="K325" s="35">
        <v>0</v>
      </c>
      <c r="L325" s="40">
        <v>3418</v>
      </c>
      <c r="M325" s="35">
        <f>896+2341</f>
        <v>3237</v>
      </c>
      <c r="N325" s="40">
        <f>1015-832</f>
        <v>183</v>
      </c>
      <c r="O325" s="35">
        <f>165+802</f>
        <v>967</v>
      </c>
      <c r="P325" s="35">
        <v>0</v>
      </c>
      <c r="Q325" s="35">
        <v>0</v>
      </c>
      <c r="R325" s="40">
        <f t="shared" si="10"/>
        <v>8279</v>
      </c>
      <c r="S325" s="35">
        <f t="shared" si="11"/>
        <v>8703</v>
      </c>
      <c r="T325" s="11">
        <v>583131</v>
      </c>
    </row>
    <row r="326" spans="1:20" ht="15.75">
      <c r="A326" s="48">
        <v>45946</v>
      </c>
      <c r="B326" s="56" t="s">
        <v>33</v>
      </c>
      <c r="C326" s="40" t="s">
        <v>1493</v>
      </c>
      <c r="D326" s="40">
        <v>0</v>
      </c>
      <c r="E326" s="35">
        <v>0</v>
      </c>
      <c r="F326" s="40">
        <v>3942</v>
      </c>
      <c r="G326" s="35">
        <v>3842</v>
      </c>
      <c r="H326" s="40">
        <v>0</v>
      </c>
      <c r="I326" s="35">
        <v>0</v>
      </c>
      <c r="J326" s="40">
        <v>0</v>
      </c>
      <c r="K326" s="35">
        <v>0</v>
      </c>
      <c r="L326" s="40">
        <v>1921</v>
      </c>
      <c r="M326" s="35">
        <v>1903</v>
      </c>
      <c r="N326" s="40">
        <f>599-599</f>
        <v>0</v>
      </c>
      <c r="O326" s="40">
        <f>599</f>
        <v>599</v>
      </c>
      <c r="P326" s="35">
        <v>0</v>
      </c>
      <c r="Q326" s="35">
        <v>0</v>
      </c>
      <c r="R326" s="40">
        <f t="shared" si="10"/>
        <v>5863</v>
      </c>
      <c r="S326" s="35">
        <f t="shared" si="11"/>
        <v>6344</v>
      </c>
      <c r="T326" s="11">
        <v>583131</v>
      </c>
    </row>
    <row r="327" spans="1:20">
      <c r="A327" s="48">
        <v>45946</v>
      </c>
      <c r="B327" s="35" t="s">
        <v>1504</v>
      </c>
      <c r="C327" s="40" t="s">
        <v>1495</v>
      </c>
      <c r="D327" s="40">
        <v>0</v>
      </c>
      <c r="E327" s="35">
        <v>0</v>
      </c>
      <c r="F327" s="40">
        <v>3978</v>
      </c>
      <c r="G327" s="35">
        <v>3827</v>
      </c>
      <c r="H327" s="40">
        <v>0</v>
      </c>
      <c r="I327" s="35">
        <v>0</v>
      </c>
      <c r="J327" s="40">
        <v>0</v>
      </c>
      <c r="K327" s="35">
        <v>0</v>
      </c>
      <c r="L327" s="40">
        <v>3244</v>
      </c>
      <c r="M327" s="35">
        <v>3212</v>
      </c>
      <c r="N327" s="40">
        <v>562</v>
      </c>
      <c r="O327" s="35">
        <v>559</v>
      </c>
      <c r="P327" s="35">
        <v>0</v>
      </c>
      <c r="Q327" s="35">
        <v>0</v>
      </c>
      <c r="R327" s="40">
        <f t="shared" si="10"/>
        <v>7784</v>
      </c>
      <c r="S327" s="35">
        <f t="shared" si="11"/>
        <v>7598</v>
      </c>
      <c r="T327" s="11">
        <v>583277</v>
      </c>
    </row>
    <row r="328" spans="1:20" ht="15.75">
      <c r="A328" s="48">
        <v>45947</v>
      </c>
      <c r="B328" s="56" t="s">
        <v>33</v>
      </c>
      <c r="C328" s="40" t="s">
        <v>1493</v>
      </c>
      <c r="D328" s="40">
        <v>0</v>
      </c>
      <c r="E328" s="35">
        <v>0</v>
      </c>
      <c r="F328" s="40">
        <v>5284</v>
      </c>
      <c r="G328" s="35">
        <f>713+4426</f>
        <v>5139</v>
      </c>
      <c r="H328" s="40">
        <v>0</v>
      </c>
      <c r="I328" s="35">
        <v>0</v>
      </c>
      <c r="J328" s="40">
        <v>0</v>
      </c>
      <c r="K328" s="35">
        <v>0</v>
      </c>
      <c r="L328" s="40">
        <v>2581</v>
      </c>
      <c r="M328" s="35">
        <f>253+2231</f>
        <v>2484</v>
      </c>
      <c r="N328" s="40">
        <f>727.5-134</f>
        <v>593.5</v>
      </c>
      <c r="O328" s="35">
        <f>130+568</f>
        <v>698</v>
      </c>
      <c r="P328" s="35">
        <v>0</v>
      </c>
      <c r="Q328" s="35">
        <v>0</v>
      </c>
      <c r="R328" s="40">
        <f t="shared" si="10"/>
        <v>8458.5</v>
      </c>
      <c r="S328" s="35">
        <f t="shared" si="11"/>
        <v>8321</v>
      </c>
      <c r="T328" s="11">
        <v>583131</v>
      </c>
    </row>
    <row r="329" spans="1:20">
      <c r="A329" s="48">
        <v>45947</v>
      </c>
      <c r="B329" s="35" t="s">
        <v>1504</v>
      </c>
      <c r="C329" s="40" t="s">
        <v>1495</v>
      </c>
      <c r="D329" s="40">
        <v>0</v>
      </c>
      <c r="E329" s="35">
        <v>0</v>
      </c>
      <c r="F329" s="40">
        <v>5851</v>
      </c>
      <c r="G329" s="35">
        <f>3492+2204</f>
        <v>5696</v>
      </c>
      <c r="H329" s="40">
        <v>0</v>
      </c>
      <c r="I329" s="35">
        <v>0</v>
      </c>
      <c r="J329" s="40">
        <v>0</v>
      </c>
      <c r="K329" s="35">
        <v>0</v>
      </c>
      <c r="L329" s="40">
        <v>4787</v>
      </c>
      <c r="M329" s="35">
        <f>3425+1360</f>
        <v>4785</v>
      </c>
      <c r="N329" s="40">
        <f>558+249</f>
        <v>807</v>
      </c>
      <c r="O329" s="35">
        <f>536+315</f>
        <v>851</v>
      </c>
      <c r="P329" s="35">
        <v>0</v>
      </c>
      <c r="Q329" s="35">
        <v>0</v>
      </c>
      <c r="R329" s="40">
        <f t="shared" si="10"/>
        <v>11445</v>
      </c>
      <c r="S329" s="35">
        <f t="shared" si="11"/>
        <v>11332</v>
      </c>
      <c r="T329" s="11">
        <v>583277</v>
      </c>
    </row>
    <row r="330" spans="1:20">
      <c r="A330" s="48">
        <v>45948</v>
      </c>
      <c r="B330" s="35" t="s">
        <v>1504</v>
      </c>
      <c r="C330" s="40" t="s">
        <v>1495</v>
      </c>
      <c r="D330" s="40">
        <v>0</v>
      </c>
      <c r="E330" s="35">
        <v>0</v>
      </c>
      <c r="F330" s="40">
        <v>6309</v>
      </c>
      <c r="G330" s="35">
        <f>4247+1878</f>
        <v>6125</v>
      </c>
      <c r="H330" s="40">
        <v>0</v>
      </c>
      <c r="I330" s="35">
        <v>0</v>
      </c>
      <c r="J330" s="40">
        <v>0</v>
      </c>
      <c r="K330" s="35">
        <v>0</v>
      </c>
      <c r="L330" s="40">
        <v>4714</v>
      </c>
      <c r="M330" s="35">
        <f>2723+1881</f>
        <v>4604</v>
      </c>
      <c r="N330" s="40">
        <f>769-769</f>
        <v>0</v>
      </c>
      <c r="O330" s="35">
        <f>377+395</f>
        <v>772</v>
      </c>
      <c r="P330" s="35">
        <v>0</v>
      </c>
      <c r="Q330" s="35">
        <v>0</v>
      </c>
      <c r="R330" s="40">
        <f t="shared" si="10"/>
        <v>11023</v>
      </c>
      <c r="S330" s="35">
        <f t="shared" si="11"/>
        <v>11501</v>
      </c>
      <c r="T330" s="11">
        <v>583277</v>
      </c>
    </row>
    <row r="331" spans="1:20" ht="15.75">
      <c r="A331" s="48">
        <v>45948</v>
      </c>
      <c r="B331" s="8" t="s">
        <v>109</v>
      </c>
      <c r="C331" s="40" t="s">
        <v>1493</v>
      </c>
      <c r="D331" s="40">
        <v>0</v>
      </c>
      <c r="E331" s="35">
        <v>0</v>
      </c>
      <c r="F331" s="40">
        <f>4118-53</f>
        <v>4065</v>
      </c>
      <c r="G331" s="35">
        <f>3232+700</f>
        <v>3932</v>
      </c>
      <c r="H331" s="40">
        <v>0</v>
      </c>
      <c r="I331" s="35">
        <v>0</v>
      </c>
      <c r="J331" s="40">
        <v>0</v>
      </c>
      <c r="K331" s="35">
        <v>0</v>
      </c>
      <c r="L331" s="40">
        <f>3522-82</f>
        <v>3440</v>
      </c>
      <c r="M331" s="35">
        <f>2926+466</f>
        <v>3392</v>
      </c>
      <c r="N331" s="40">
        <f>1259-47-1212</f>
        <v>0</v>
      </c>
      <c r="O331" s="35">
        <f>1263+9</f>
        <v>1272</v>
      </c>
      <c r="P331" s="35">
        <v>0</v>
      </c>
      <c r="Q331" s="35">
        <v>0</v>
      </c>
      <c r="R331" s="40">
        <f t="shared" si="10"/>
        <v>7505</v>
      </c>
      <c r="S331" s="35">
        <f t="shared" si="11"/>
        <v>8596</v>
      </c>
      <c r="T331" s="11">
        <v>582114</v>
      </c>
    </row>
    <row r="332" spans="1:20" ht="15.75">
      <c r="A332" s="48">
        <v>45948</v>
      </c>
      <c r="B332" s="56" t="s">
        <v>33</v>
      </c>
      <c r="C332" s="40" t="s">
        <v>1493</v>
      </c>
      <c r="D332" s="40">
        <v>0</v>
      </c>
      <c r="E332" s="35">
        <v>0</v>
      </c>
      <c r="F332" s="40">
        <v>3288.5</v>
      </c>
      <c r="G332" s="35">
        <v>3254</v>
      </c>
      <c r="H332" s="40">
        <v>0</v>
      </c>
      <c r="I332" s="35">
        <v>0</v>
      </c>
      <c r="J332" s="40">
        <v>0</v>
      </c>
      <c r="K332" s="35">
        <v>0</v>
      </c>
      <c r="L332" s="40">
        <v>2100</v>
      </c>
      <c r="M332" s="35">
        <v>1897</v>
      </c>
      <c r="N332" s="40">
        <f>605-605</f>
        <v>0</v>
      </c>
      <c r="O332" s="35">
        <v>661</v>
      </c>
      <c r="P332" s="35">
        <v>0</v>
      </c>
      <c r="Q332" s="35">
        <v>0</v>
      </c>
      <c r="R332" s="40">
        <f t="shared" si="10"/>
        <v>5388.5</v>
      </c>
      <c r="S332" s="35">
        <f t="shared" si="11"/>
        <v>5812</v>
      </c>
      <c r="T332" s="11">
        <v>583131</v>
      </c>
    </row>
    <row r="333" spans="1:20" ht="15.75">
      <c r="A333" s="48">
        <v>45948</v>
      </c>
      <c r="B333" s="22" t="s">
        <v>1500</v>
      </c>
      <c r="C333" s="40" t="s">
        <v>1493</v>
      </c>
      <c r="D333" s="40">
        <v>0</v>
      </c>
      <c r="E333" s="35">
        <v>0</v>
      </c>
      <c r="F333" s="40">
        <v>53</v>
      </c>
      <c r="G333" s="35">
        <v>52</v>
      </c>
      <c r="H333" s="40">
        <v>0</v>
      </c>
      <c r="I333" s="35">
        <v>0</v>
      </c>
      <c r="J333" s="40">
        <v>0</v>
      </c>
      <c r="K333" s="35">
        <v>0</v>
      </c>
      <c r="L333" s="40">
        <v>82</v>
      </c>
      <c r="M333" s="35">
        <v>74</v>
      </c>
      <c r="N333" s="40">
        <f>47-47</f>
        <v>0</v>
      </c>
      <c r="O333" s="35">
        <v>51</v>
      </c>
      <c r="P333" s="35">
        <v>0</v>
      </c>
      <c r="Q333" s="35">
        <v>0</v>
      </c>
      <c r="R333" s="40">
        <f t="shared" si="10"/>
        <v>135</v>
      </c>
      <c r="S333" s="179">
        <f t="shared" si="11"/>
        <v>177</v>
      </c>
      <c r="T333" s="11">
        <v>583134</v>
      </c>
    </row>
    <row r="334" spans="1:20" ht="15.75">
      <c r="A334" s="48">
        <v>45949</v>
      </c>
      <c r="B334" s="8" t="s">
        <v>109</v>
      </c>
      <c r="C334" s="40" t="s">
        <v>1493</v>
      </c>
      <c r="D334" s="40">
        <v>0</v>
      </c>
      <c r="E334" s="35">
        <v>0</v>
      </c>
      <c r="F334" s="40">
        <v>3674</v>
      </c>
      <c r="G334" s="35">
        <v>3570</v>
      </c>
      <c r="H334" s="40">
        <v>0</v>
      </c>
      <c r="I334" s="35">
        <v>0</v>
      </c>
      <c r="J334" s="40">
        <v>0</v>
      </c>
      <c r="K334" s="35">
        <v>0</v>
      </c>
      <c r="L334" s="40">
        <v>3134</v>
      </c>
      <c r="M334" s="35">
        <v>3073</v>
      </c>
      <c r="N334" s="40">
        <v>792</v>
      </c>
      <c r="O334" s="35">
        <v>812</v>
      </c>
      <c r="P334" s="35">
        <v>0</v>
      </c>
      <c r="Q334" s="35">
        <v>0</v>
      </c>
      <c r="R334" s="40">
        <f t="shared" si="10"/>
        <v>7600</v>
      </c>
      <c r="S334" s="35">
        <f t="shared" si="11"/>
        <v>7455</v>
      </c>
      <c r="T334" s="11">
        <v>582114</v>
      </c>
    </row>
    <row r="335" spans="1:20">
      <c r="A335" s="48">
        <v>45949</v>
      </c>
      <c r="B335" s="35" t="s">
        <v>1504</v>
      </c>
      <c r="C335" s="40" t="s">
        <v>1495</v>
      </c>
      <c r="D335" s="40">
        <v>0</v>
      </c>
      <c r="E335" s="35">
        <v>0</v>
      </c>
      <c r="F335" s="40">
        <v>3411</v>
      </c>
      <c r="G335" s="35">
        <v>3350</v>
      </c>
      <c r="H335" s="40">
        <v>0</v>
      </c>
      <c r="I335" s="35">
        <v>0</v>
      </c>
      <c r="J335" s="40">
        <v>0</v>
      </c>
      <c r="K335" s="35">
        <v>0</v>
      </c>
      <c r="L335" s="40">
        <v>2840</v>
      </c>
      <c r="M335" s="35">
        <v>2835</v>
      </c>
      <c r="N335" s="40">
        <v>717</v>
      </c>
      <c r="O335" s="35">
        <v>755</v>
      </c>
      <c r="P335" s="35">
        <v>0</v>
      </c>
      <c r="Q335" s="35">
        <v>0</v>
      </c>
      <c r="R335" s="40">
        <f t="shared" si="10"/>
        <v>6968</v>
      </c>
      <c r="S335" s="35">
        <f t="shared" si="11"/>
        <v>6940</v>
      </c>
      <c r="T335" s="11">
        <v>583277</v>
      </c>
    </row>
    <row r="336" spans="1:20" ht="15.75">
      <c r="A336" s="48">
        <v>45949</v>
      </c>
      <c r="B336" s="56" t="s">
        <v>33</v>
      </c>
      <c r="C336" s="40" t="s">
        <v>1493</v>
      </c>
      <c r="D336" s="40">
        <v>0</v>
      </c>
      <c r="E336" s="35">
        <v>0</v>
      </c>
      <c r="F336" s="40">
        <v>3093.5</v>
      </c>
      <c r="G336" s="35">
        <v>3003</v>
      </c>
      <c r="H336" s="40">
        <v>0</v>
      </c>
      <c r="I336" s="35">
        <v>0</v>
      </c>
      <c r="J336" s="40">
        <v>0</v>
      </c>
      <c r="K336" s="35">
        <v>0</v>
      </c>
      <c r="L336" s="40">
        <v>2045.5</v>
      </c>
      <c r="M336" s="35">
        <v>1988</v>
      </c>
      <c r="N336" s="40">
        <v>637.5</v>
      </c>
      <c r="O336" s="35">
        <v>639</v>
      </c>
      <c r="P336" s="35">
        <v>0</v>
      </c>
      <c r="Q336" s="35">
        <v>0</v>
      </c>
      <c r="R336" s="40">
        <f t="shared" si="10"/>
        <v>5776.5</v>
      </c>
      <c r="S336" s="35">
        <f t="shared" si="11"/>
        <v>5630</v>
      </c>
      <c r="T336" s="11">
        <v>583131</v>
      </c>
    </row>
    <row r="337" spans="1:20" ht="15.75">
      <c r="A337" s="48">
        <v>45949</v>
      </c>
      <c r="B337" s="55" t="s">
        <v>1501</v>
      </c>
      <c r="C337" s="40" t="s">
        <v>1494</v>
      </c>
      <c r="D337" s="40">
        <v>0</v>
      </c>
      <c r="E337" s="35">
        <v>0</v>
      </c>
      <c r="F337" s="40">
        <v>2193</v>
      </c>
      <c r="G337" s="35">
        <v>2021</v>
      </c>
      <c r="H337" s="40">
        <v>0</v>
      </c>
      <c r="I337" s="35">
        <v>0</v>
      </c>
      <c r="J337" s="40">
        <v>0</v>
      </c>
      <c r="K337" s="35">
        <v>0</v>
      </c>
      <c r="L337" s="40">
        <v>2854</v>
      </c>
      <c r="M337" s="35">
        <v>3088</v>
      </c>
      <c r="N337" s="40">
        <v>174</v>
      </c>
      <c r="O337" s="35">
        <v>168</v>
      </c>
      <c r="P337" s="35">
        <v>0</v>
      </c>
      <c r="Q337" s="35">
        <v>0</v>
      </c>
      <c r="R337" s="40">
        <f t="shared" si="10"/>
        <v>5221</v>
      </c>
      <c r="S337" s="35">
        <f t="shared" si="11"/>
        <v>5277</v>
      </c>
      <c r="T337" s="11">
        <v>583219</v>
      </c>
    </row>
    <row r="338" spans="1:20" ht="15.75">
      <c r="A338" s="48">
        <v>45950</v>
      </c>
      <c r="B338" s="8" t="s">
        <v>109</v>
      </c>
      <c r="C338" s="40" t="s">
        <v>1493</v>
      </c>
      <c r="D338" s="40">
        <v>0</v>
      </c>
      <c r="E338" s="35">
        <v>0</v>
      </c>
      <c r="F338" s="40">
        <v>3244</v>
      </c>
      <c r="G338" s="35">
        <v>3154</v>
      </c>
      <c r="H338" s="40">
        <v>0</v>
      </c>
      <c r="I338" s="35">
        <v>0</v>
      </c>
      <c r="J338" s="40">
        <v>0</v>
      </c>
      <c r="K338" s="35">
        <v>0</v>
      </c>
      <c r="L338" s="40">
        <v>2547</v>
      </c>
      <c r="M338" s="35">
        <v>2547</v>
      </c>
      <c r="N338" s="40">
        <v>976</v>
      </c>
      <c r="O338" s="35">
        <v>970</v>
      </c>
      <c r="P338" s="35">
        <v>0</v>
      </c>
      <c r="Q338" s="35">
        <v>0</v>
      </c>
      <c r="R338" s="40">
        <f t="shared" si="10"/>
        <v>6767</v>
      </c>
      <c r="S338" s="35">
        <f t="shared" si="11"/>
        <v>6671</v>
      </c>
      <c r="T338" s="11">
        <v>582114</v>
      </c>
    </row>
    <row r="339" spans="1:20">
      <c r="A339" s="48">
        <v>45950</v>
      </c>
      <c r="B339" s="35" t="s">
        <v>1504</v>
      </c>
      <c r="C339" s="40" t="s">
        <v>1495</v>
      </c>
      <c r="D339" s="40">
        <v>0</v>
      </c>
      <c r="E339" s="35">
        <v>0</v>
      </c>
      <c r="F339" s="40">
        <v>3387</v>
      </c>
      <c r="G339" s="35">
        <v>3307</v>
      </c>
      <c r="H339" s="40">
        <v>0</v>
      </c>
      <c r="I339" s="35">
        <v>0</v>
      </c>
      <c r="J339" s="40">
        <v>0</v>
      </c>
      <c r="K339" s="35">
        <v>0</v>
      </c>
      <c r="L339" s="40">
        <v>2807</v>
      </c>
      <c r="M339" s="35">
        <v>2881</v>
      </c>
      <c r="N339" s="40">
        <v>504</v>
      </c>
      <c r="O339" s="35">
        <v>472</v>
      </c>
      <c r="P339" s="35">
        <v>0</v>
      </c>
      <c r="Q339" s="35">
        <v>0</v>
      </c>
      <c r="R339" s="40">
        <f t="shared" si="10"/>
        <v>6698</v>
      </c>
      <c r="S339" s="35">
        <f t="shared" si="11"/>
        <v>6660</v>
      </c>
      <c r="T339" s="11">
        <v>583277</v>
      </c>
    </row>
    <row r="340" spans="1:20" ht="15.75">
      <c r="A340" s="48">
        <v>45950</v>
      </c>
      <c r="B340" s="22" t="s">
        <v>1500</v>
      </c>
      <c r="C340" s="40" t="s">
        <v>1493</v>
      </c>
      <c r="D340" s="40">
        <v>0</v>
      </c>
      <c r="E340" s="35">
        <v>0</v>
      </c>
      <c r="F340" s="40">
        <v>85</v>
      </c>
      <c r="G340" s="35">
        <v>83</v>
      </c>
      <c r="H340" s="40">
        <v>0</v>
      </c>
      <c r="I340" s="35">
        <v>0</v>
      </c>
      <c r="J340" s="40">
        <v>0</v>
      </c>
      <c r="K340" s="35">
        <v>0</v>
      </c>
      <c r="L340" s="40">
        <v>184</v>
      </c>
      <c r="M340" s="35">
        <v>184</v>
      </c>
      <c r="N340" s="40">
        <v>93</v>
      </c>
      <c r="O340" s="35">
        <f>103-15</f>
        <v>88</v>
      </c>
      <c r="P340" s="35">
        <v>81</v>
      </c>
      <c r="Q340" s="35">
        <f>62+15</f>
        <v>77</v>
      </c>
      <c r="R340" s="40">
        <f t="shared" si="10"/>
        <v>443</v>
      </c>
      <c r="S340" s="35">
        <f t="shared" si="11"/>
        <v>432</v>
      </c>
      <c r="T340" s="11">
        <v>583134</v>
      </c>
    </row>
    <row r="341" spans="1:20" ht="15.75">
      <c r="A341" s="48">
        <v>45950</v>
      </c>
      <c r="B341" s="56" t="s">
        <v>33</v>
      </c>
      <c r="C341" s="40" t="s">
        <v>1493</v>
      </c>
      <c r="D341" s="40">
        <v>0</v>
      </c>
      <c r="E341" s="35">
        <v>0</v>
      </c>
      <c r="F341" s="40">
        <v>3411.25</v>
      </c>
      <c r="G341" s="35">
        <v>3334</v>
      </c>
      <c r="H341" s="40">
        <v>0</v>
      </c>
      <c r="I341" s="35">
        <v>0</v>
      </c>
      <c r="J341" s="40">
        <v>0</v>
      </c>
      <c r="K341" s="35">
        <v>0</v>
      </c>
      <c r="L341" s="40">
        <v>2176.4499999999998</v>
      </c>
      <c r="M341" s="35">
        <v>2180</v>
      </c>
      <c r="N341" s="40">
        <f>590-590</f>
        <v>0</v>
      </c>
      <c r="O341" s="40">
        <f>652-62</f>
        <v>590</v>
      </c>
      <c r="P341" s="35">
        <v>0</v>
      </c>
      <c r="Q341" s="35">
        <v>0</v>
      </c>
      <c r="R341" s="40">
        <f t="shared" si="10"/>
        <v>5587.7</v>
      </c>
      <c r="S341" s="35">
        <f t="shared" si="11"/>
        <v>6104</v>
      </c>
      <c r="T341" s="11">
        <v>583131</v>
      </c>
    </row>
    <row r="342" spans="1:20">
      <c r="A342" s="48">
        <v>45951</v>
      </c>
      <c r="B342" s="35" t="s">
        <v>1504</v>
      </c>
      <c r="C342" s="40" t="s">
        <v>1495</v>
      </c>
      <c r="D342" s="40">
        <v>0</v>
      </c>
      <c r="E342" s="35">
        <v>0</v>
      </c>
      <c r="F342" s="40">
        <v>7119</v>
      </c>
      <c r="G342" s="35">
        <f>4005+2976</f>
        <v>6981</v>
      </c>
      <c r="H342" s="40">
        <v>0</v>
      </c>
      <c r="I342" s="35">
        <v>0</v>
      </c>
      <c r="J342" s="40">
        <v>0</v>
      </c>
      <c r="K342" s="35">
        <v>0</v>
      </c>
      <c r="L342" s="40">
        <f>4696-368</f>
        <v>4328</v>
      </c>
      <c r="M342" s="35">
        <f>2717+1406</f>
        <v>4123</v>
      </c>
      <c r="N342" s="40">
        <f>750-73</f>
        <v>677</v>
      </c>
      <c r="O342" s="35">
        <f>652+183</f>
        <v>835</v>
      </c>
      <c r="P342" s="35">
        <v>0</v>
      </c>
      <c r="Q342" s="35">
        <v>0</v>
      </c>
      <c r="R342" s="40">
        <f t="shared" si="10"/>
        <v>12124</v>
      </c>
      <c r="S342" s="35">
        <f t="shared" si="11"/>
        <v>11939</v>
      </c>
      <c r="T342" s="11">
        <v>583277</v>
      </c>
    </row>
    <row r="343" spans="1:20" ht="15.75">
      <c r="A343" s="48">
        <v>45951</v>
      </c>
      <c r="B343" s="8" t="s">
        <v>109</v>
      </c>
      <c r="C343" s="40" t="s">
        <v>1493</v>
      </c>
      <c r="D343" s="40">
        <v>0</v>
      </c>
      <c r="E343" s="35">
        <v>0</v>
      </c>
      <c r="F343" s="40">
        <v>6067</v>
      </c>
      <c r="G343" s="35">
        <f>4176+1812</f>
        <v>5988</v>
      </c>
      <c r="H343" s="40">
        <v>0</v>
      </c>
      <c r="I343" s="35">
        <v>0</v>
      </c>
      <c r="J343" s="40">
        <v>0</v>
      </c>
      <c r="K343" s="35">
        <v>0</v>
      </c>
      <c r="L343" s="40">
        <v>4084</v>
      </c>
      <c r="M343" s="35">
        <f>2927+1155</f>
        <v>4082</v>
      </c>
      <c r="N343" s="40">
        <v>749</v>
      </c>
      <c r="O343" s="35">
        <f>297+431</f>
        <v>728</v>
      </c>
      <c r="P343" s="35">
        <v>0</v>
      </c>
      <c r="Q343" s="35">
        <v>0</v>
      </c>
      <c r="R343" s="40">
        <f t="shared" si="10"/>
        <v>10900</v>
      </c>
      <c r="S343" s="35">
        <f t="shared" si="11"/>
        <v>10798</v>
      </c>
      <c r="T343" s="11">
        <v>582114</v>
      </c>
    </row>
    <row r="344" spans="1:20" ht="15.75">
      <c r="A344" s="48">
        <v>45951</v>
      </c>
      <c r="B344" s="56" t="s">
        <v>33</v>
      </c>
      <c r="C344" s="40" t="s">
        <v>1493</v>
      </c>
      <c r="D344" s="40">
        <v>0</v>
      </c>
      <c r="E344" s="35">
        <v>0</v>
      </c>
      <c r="F344" s="40">
        <v>2412</v>
      </c>
      <c r="G344" s="35">
        <v>2404</v>
      </c>
      <c r="H344" s="40">
        <v>0</v>
      </c>
      <c r="I344" s="35">
        <v>0</v>
      </c>
      <c r="J344" s="40">
        <v>0</v>
      </c>
      <c r="K344" s="35">
        <v>0</v>
      </c>
      <c r="L344" s="40">
        <v>1426</v>
      </c>
      <c r="M344" s="35">
        <v>1444</v>
      </c>
      <c r="N344" s="40">
        <v>472</v>
      </c>
      <c r="O344" s="35">
        <v>474</v>
      </c>
      <c r="P344" s="35">
        <v>0</v>
      </c>
      <c r="Q344" s="35">
        <v>0</v>
      </c>
      <c r="R344" s="40">
        <f t="shared" si="10"/>
        <v>4310</v>
      </c>
      <c r="S344" s="35">
        <f t="shared" si="11"/>
        <v>4322</v>
      </c>
      <c r="T344" s="11">
        <v>583131</v>
      </c>
    </row>
    <row r="345" spans="1:20" ht="15.75">
      <c r="A345" s="48">
        <v>45952</v>
      </c>
      <c r="B345" s="22" t="s">
        <v>1500</v>
      </c>
      <c r="C345" s="40" t="s">
        <v>1493</v>
      </c>
      <c r="D345" s="40">
        <v>0</v>
      </c>
      <c r="E345" s="35">
        <v>0</v>
      </c>
      <c r="F345" s="40">
        <v>181</v>
      </c>
      <c r="G345" s="35">
        <v>179</v>
      </c>
      <c r="H345" s="40">
        <v>0</v>
      </c>
      <c r="I345" s="35">
        <v>0</v>
      </c>
      <c r="J345" s="40">
        <v>0</v>
      </c>
      <c r="K345" s="35">
        <v>0</v>
      </c>
      <c r="L345" s="40">
        <v>380</v>
      </c>
      <c r="M345" s="35">
        <v>407</v>
      </c>
      <c r="N345" s="40">
        <v>357</v>
      </c>
      <c r="O345" s="35">
        <v>290</v>
      </c>
      <c r="P345" s="35">
        <v>401</v>
      </c>
      <c r="Q345" s="35">
        <v>402</v>
      </c>
      <c r="R345" s="40">
        <f t="shared" si="10"/>
        <v>1319</v>
      </c>
      <c r="S345" s="35">
        <f t="shared" si="11"/>
        <v>1278</v>
      </c>
      <c r="T345" s="11">
        <v>583134</v>
      </c>
    </row>
    <row r="346" spans="1:20" ht="15.75">
      <c r="A346" s="48">
        <v>45952</v>
      </c>
      <c r="B346" s="56" t="s">
        <v>33</v>
      </c>
      <c r="C346" s="40" t="s">
        <v>1493</v>
      </c>
      <c r="D346" s="40">
        <v>0</v>
      </c>
      <c r="E346" s="35">
        <v>0</v>
      </c>
      <c r="F346" s="40">
        <v>2825.5</v>
      </c>
      <c r="G346" s="35">
        <v>2801</v>
      </c>
      <c r="H346" s="40">
        <v>0</v>
      </c>
      <c r="I346" s="35">
        <v>0</v>
      </c>
      <c r="J346" s="40">
        <v>0</v>
      </c>
      <c r="K346" s="35">
        <v>0</v>
      </c>
      <c r="L346" s="40">
        <v>1534</v>
      </c>
      <c r="M346" s="35">
        <v>1644</v>
      </c>
      <c r="N346" s="40">
        <f>434.3-434.3</f>
        <v>0</v>
      </c>
      <c r="O346" s="35">
        <v>352</v>
      </c>
      <c r="P346" s="35">
        <v>0</v>
      </c>
      <c r="Q346" s="35">
        <v>0</v>
      </c>
      <c r="R346" s="40">
        <f t="shared" si="10"/>
        <v>4359.5</v>
      </c>
      <c r="S346" s="35">
        <f t="shared" si="11"/>
        <v>4797</v>
      </c>
      <c r="T346" s="11">
        <v>583131</v>
      </c>
    </row>
    <row r="347" spans="1:20">
      <c r="A347" s="48">
        <v>45952</v>
      </c>
      <c r="B347" s="35" t="s">
        <v>1504</v>
      </c>
      <c r="C347" s="40" t="s">
        <v>1495</v>
      </c>
      <c r="D347" s="40">
        <v>0</v>
      </c>
      <c r="E347" s="35">
        <v>0</v>
      </c>
      <c r="F347" s="40">
        <f>6151-1300</f>
        <v>4851</v>
      </c>
      <c r="G347" s="35">
        <f>4144+372</f>
        <v>4516</v>
      </c>
      <c r="H347" s="40">
        <v>0</v>
      </c>
      <c r="I347" s="35">
        <v>0</v>
      </c>
      <c r="J347" s="40">
        <v>0</v>
      </c>
      <c r="K347" s="35">
        <v>0</v>
      </c>
      <c r="L347" s="40">
        <f>3913-1490+368</f>
        <v>2791</v>
      </c>
      <c r="M347" s="35">
        <f>2495+241</f>
        <v>2736</v>
      </c>
      <c r="N347" s="40">
        <f>516-400+73</f>
        <v>189</v>
      </c>
      <c r="O347" s="35">
        <f>263+40</f>
        <v>303</v>
      </c>
      <c r="P347" s="35">
        <v>0</v>
      </c>
      <c r="Q347" s="35">
        <v>0</v>
      </c>
      <c r="R347" s="40">
        <f t="shared" si="10"/>
        <v>7831</v>
      </c>
      <c r="S347" s="35">
        <f t="shared" si="11"/>
        <v>7555</v>
      </c>
      <c r="T347" s="11">
        <v>583277</v>
      </c>
    </row>
    <row r="348" spans="1:20" ht="15.75">
      <c r="A348" s="48">
        <v>45952</v>
      </c>
      <c r="B348" s="8" t="s">
        <v>109</v>
      </c>
      <c r="C348" s="40" t="s">
        <v>1493</v>
      </c>
      <c r="D348" s="40">
        <v>0</v>
      </c>
      <c r="E348" s="35">
        <v>0</v>
      </c>
      <c r="F348" s="40">
        <v>3780</v>
      </c>
      <c r="G348" s="35">
        <f>3586</f>
        <v>3586</v>
      </c>
      <c r="H348" s="40">
        <v>0</v>
      </c>
      <c r="I348" s="35">
        <v>0</v>
      </c>
      <c r="J348" s="40">
        <v>0</v>
      </c>
      <c r="K348" s="35">
        <v>0</v>
      </c>
      <c r="L348" s="40">
        <f>2540+98</f>
        <v>2638</v>
      </c>
      <c r="M348" s="35">
        <f>2808</f>
        <v>2808</v>
      </c>
      <c r="N348" s="40">
        <v>230</v>
      </c>
      <c r="O348" s="35">
        <f>218</f>
        <v>218</v>
      </c>
      <c r="P348" s="35">
        <v>0</v>
      </c>
      <c r="Q348" s="35">
        <v>0</v>
      </c>
      <c r="R348" s="40">
        <f t="shared" si="10"/>
        <v>6648</v>
      </c>
      <c r="S348" s="35">
        <f t="shared" si="11"/>
        <v>6612</v>
      </c>
      <c r="T348" s="11">
        <v>582114</v>
      </c>
    </row>
    <row r="349" spans="1:20" ht="15.75">
      <c r="A349" s="48">
        <v>45953</v>
      </c>
      <c r="B349" s="8" t="s">
        <v>109</v>
      </c>
      <c r="C349" s="40" t="s">
        <v>1493</v>
      </c>
      <c r="D349" s="40">
        <v>0</v>
      </c>
      <c r="E349" s="35">
        <v>0</v>
      </c>
      <c r="F349" s="40">
        <f>6788-2174</f>
        <v>4614</v>
      </c>
      <c r="G349" s="35">
        <f>1297+3296</f>
        <v>4593</v>
      </c>
      <c r="H349" s="40">
        <v>0</v>
      </c>
      <c r="I349" s="35">
        <v>0</v>
      </c>
      <c r="J349" s="40">
        <v>0</v>
      </c>
      <c r="K349" s="35">
        <v>0</v>
      </c>
      <c r="L349" s="40">
        <f>6073-1691</f>
        <v>4382</v>
      </c>
      <c r="M349" s="35">
        <f>1342+3092</f>
        <v>4434</v>
      </c>
      <c r="N349" s="40">
        <f>1070-18-217-98</f>
        <v>737</v>
      </c>
      <c r="O349" s="35">
        <f>96+722</f>
        <v>818</v>
      </c>
      <c r="P349" s="35">
        <v>0</v>
      </c>
      <c r="Q349" s="35">
        <v>0</v>
      </c>
      <c r="R349" s="40">
        <f t="shared" si="10"/>
        <v>9733</v>
      </c>
      <c r="S349" s="35">
        <f t="shared" si="11"/>
        <v>9845</v>
      </c>
      <c r="T349" s="11">
        <v>582114</v>
      </c>
    </row>
    <row r="350" spans="1:20">
      <c r="A350" s="48">
        <v>45953</v>
      </c>
      <c r="B350" s="35" t="s">
        <v>1504</v>
      </c>
      <c r="C350" s="40" t="s">
        <v>1495</v>
      </c>
      <c r="D350" s="40">
        <v>0</v>
      </c>
      <c r="E350" s="35">
        <v>0</v>
      </c>
      <c r="F350" s="40">
        <v>6799</v>
      </c>
      <c r="G350" s="35">
        <f>2246+4200</f>
        <v>6446</v>
      </c>
      <c r="H350" s="40">
        <v>0</v>
      </c>
      <c r="I350" s="35">
        <v>0</v>
      </c>
      <c r="J350" s="40">
        <v>0</v>
      </c>
      <c r="K350" s="35">
        <v>0</v>
      </c>
      <c r="L350" s="40">
        <v>4551</v>
      </c>
      <c r="M350" s="35">
        <f>1796+2745</f>
        <v>4541</v>
      </c>
      <c r="N350" s="40">
        <f>612-612</f>
        <v>0</v>
      </c>
      <c r="O350" s="35">
        <f>198+394</f>
        <v>592</v>
      </c>
      <c r="P350" s="35">
        <v>0</v>
      </c>
      <c r="Q350" s="35">
        <v>0</v>
      </c>
      <c r="R350" s="40">
        <f t="shared" si="10"/>
        <v>11350</v>
      </c>
      <c r="S350" s="35">
        <f t="shared" si="11"/>
        <v>11579</v>
      </c>
      <c r="T350" s="11">
        <v>583277</v>
      </c>
    </row>
    <row r="351" spans="1:20" ht="15.75">
      <c r="A351" s="48">
        <v>45954</v>
      </c>
      <c r="B351" s="8" t="s">
        <v>109</v>
      </c>
      <c r="C351" s="40" t="s">
        <v>1493</v>
      </c>
      <c r="D351" s="40">
        <v>0</v>
      </c>
      <c r="E351" s="35">
        <v>0</v>
      </c>
      <c r="F351" s="40">
        <v>903</v>
      </c>
      <c r="G351" s="35">
        <v>896</v>
      </c>
      <c r="H351" s="40">
        <v>0</v>
      </c>
      <c r="I351" s="35">
        <v>0</v>
      </c>
      <c r="J351" s="40">
        <v>0</v>
      </c>
      <c r="K351" s="35">
        <v>0</v>
      </c>
      <c r="L351" s="40">
        <v>720</v>
      </c>
      <c r="M351" s="35">
        <v>690</v>
      </c>
      <c r="N351" s="40">
        <v>265</v>
      </c>
      <c r="O351" s="35">
        <v>289</v>
      </c>
      <c r="P351" s="35">
        <v>0</v>
      </c>
      <c r="Q351" s="35">
        <v>0</v>
      </c>
      <c r="R351" s="40">
        <f t="shared" si="10"/>
        <v>1888</v>
      </c>
      <c r="S351" s="35">
        <f t="shared" si="11"/>
        <v>1875</v>
      </c>
      <c r="T351" s="11">
        <v>582114</v>
      </c>
    </row>
    <row r="352" spans="1:20">
      <c r="A352" s="48">
        <v>45954</v>
      </c>
      <c r="B352" s="35" t="s">
        <v>1504</v>
      </c>
      <c r="C352" s="40" t="s">
        <v>1495</v>
      </c>
      <c r="D352" s="40">
        <v>0</v>
      </c>
      <c r="E352" s="35">
        <v>0</v>
      </c>
      <c r="F352" s="40">
        <v>6086</v>
      </c>
      <c r="G352" s="35">
        <f>2924+3019</f>
        <v>5943</v>
      </c>
      <c r="H352" s="40">
        <v>0</v>
      </c>
      <c r="I352" s="35">
        <v>0</v>
      </c>
      <c r="J352" s="40">
        <v>0</v>
      </c>
      <c r="K352" s="35">
        <v>0</v>
      </c>
      <c r="L352" s="40">
        <v>6397</v>
      </c>
      <c r="M352" s="35">
        <f>4058+2283</f>
        <v>6341</v>
      </c>
      <c r="N352" s="40">
        <f>757-547</f>
        <v>210</v>
      </c>
      <c r="O352" s="35">
        <f>603+226</f>
        <v>829</v>
      </c>
      <c r="P352" s="35">
        <v>0</v>
      </c>
      <c r="Q352" s="35">
        <v>0</v>
      </c>
      <c r="R352" s="40">
        <f t="shared" si="10"/>
        <v>12693</v>
      </c>
      <c r="S352" s="35">
        <f t="shared" si="11"/>
        <v>13113</v>
      </c>
      <c r="T352" s="11">
        <v>583277</v>
      </c>
    </row>
    <row r="353" spans="1:20" ht="15.75">
      <c r="A353" s="48">
        <v>45954</v>
      </c>
      <c r="B353" s="56" t="s">
        <v>33</v>
      </c>
      <c r="C353" s="40" t="s">
        <v>1493</v>
      </c>
      <c r="D353" s="40">
        <v>0</v>
      </c>
      <c r="E353" s="35">
        <v>0</v>
      </c>
      <c r="F353" s="40">
        <v>3438</v>
      </c>
      <c r="G353" s="35">
        <f>2743+539</f>
        <v>3282</v>
      </c>
      <c r="H353" s="40">
        <v>0</v>
      </c>
      <c r="I353" s="35">
        <v>0</v>
      </c>
      <c r="J353" s="40">
        <v>0</v>
      </c>
      <c r="K353" s="35">
        <v>0</v>
      </c>
      <c r="L353" s="40">
        <v>3842</v>
      </c>
      <c r="M353" s="35">
        <f>3173+629+188</f>
        <v>3990</v>
      </c>
      <c r="N353" s="40">
        <f>1729-1611-118</f>
        <v>0</v>
      </c>
      <c r="O353" s="35">
        <f>1529+88</f>
        <v>1617</v>
      </c>
      <c r="P353" s="35">
        <v>0</v>
      </c>
      <c r="Q353" s="35">
        <v>0</v>
      </c>
      <c r="R353" s="40">
        <f t="shared" si="10"/>
        <v>7280</v>
      </c>
      <c r="S353" s="35">
        <f t="shared" si="11"/>
        <v>8889</v>
      </c>
      <c r="T353" s="11">
        <v>583131</v>
      </c>
    </row>
    <row r="354" spans="1:20" ht="15.75">
      <c r="A354" s="48">
        <v>45954</v>
      </c>
      <c r="B354" s="22" t="s">
        <v>1500</v>
      </c>
      <c r="C354" s="40" t="s">
        <v>1493</v>
      </c>
      <c r="D354" s="40">
        <v>0</v>
      </c>
      <c r="E354" s="35">
        <v>0</v>
      </c>
      <c r="F354" s="40">
        <v>184</v>
      </c>
      <c r="G354" s="35">
        <f>31+151</f>
        <v>182</v>
      </c>
      <c r="H354" s="40">
        <v>0</v>
      </c>
      <c r="I354" s="35">
        <v>0</v>
      </c>
      <c r="J354" s="40">
        <v>0</v>
      </c>
      <c r="K354" s="35">
        <v>0</v>
      </c>
      <c r="L354" s="40">
        <v>304</v>
      </c>
      <c r="M354" s="35">
        <f>22+280</f>
        <v>302</v>
      </c>
      <c r="N354" s="40">
        <v>471</v>
      </c>
      <c r="O354" s="35">
        <v>365</v>
      </c>
      <c r="P354" s="35">
        <v>985</v>
      </c>
      <c r="Q354" s="35">
        <f>290+716</f>
        <v>1006</v>
      </c>
      <c r="R354" s="40">
        <f t="shared" si="10"/>
        <v>1944</v>
      </c>
      <c r="S354" s="35">
        <f t="shared" si="11"/>
        <v>1855</v>
      </c>
      <c r="T354" s="11">
        <v>583134</v>
      </c>
    </row>
    <row r="355" spans="1:20" ht="15.75">
      <c r="A355" s="48">
        <v>45954</v>
      </c>
      <c r="B355" s="56" t="s">
        <v>33</v>
      </c>
      <c r="C355" s="40" t="s">
        <v>1494</v>
      </c>
      <c r="D355" s="40">
        <v>0</v>
      </c>
      <c r="E355" s="35">
        <v>0</v>
      </c>
      <c r="F355" s="40">
        <v>1427</v>
      </c>
      <c r="G355" s="35">
        <v>1425</v>
      </c>
      <c r="H355" s="40">
        <v>0</v>
      </c>
      <c r="I355" s="35">
        <v>0</v>
      </c>
      <c r="J355" s="40">
        <v>0</v>
      </c>
      <c r="K355" s="35">
        <v>0</v>
      </c>
      <c r="L355" s="40">
        <v>4338</v>
      </c>
      <c r="M355" s="35">
        <v>4191</v>
      </c>
      <c r="N355" s="40">
        <v>433</v>
      </c>
      <c r="O355" s="35">
        <v>463</v>
      </c>
      <c r="P355" s="35">
        <v>0</v>
      </c>
      <c r="Q355" s="35">
        <v>0</v>
      </c>
      <c r="R355" s="40">
        <f t="shared" si="10"/>
        <v>6198</v>
      </c>
      <c r="S355" s="35">
        <f t="shared" si="11"/>
        <v>6079</v>
      </c>
      <c r="T355" s="11">
        <v>583131</v>
      </c>
    </row>
    <row r="356" spans="1:20" ht="15.75">
      <c r="A356" s="48">
        <v>45954</v>
      </c>
      <c r="B356" s="55" t="s">
        <v>1501</v>
      </c>
      <c r="C356" s="40" t="s">
        <v>1494</v>
      </c>
      <c r="D356" s="40">
        <v>0</v>
      </c>
      <c r="E356" s="35">
        <v>0</v>
      </c>
      <c r="F356" s="40">
        <v>1189</v>
      </c>
      <c r="G356" s="35">
        <v>1149</v>
      </c>
      <c r="H356" s="40">
        <v>0</v>
      </c>
      <c r="I356" s="35">
        <v>0</v>
      </c>
      <c r="J356" s="40">
        <v>0</v>
      </c>
      <c r="K356" s="35">
        <v>0</v>
      </c>
      <c r="L356" s="40">
        <v>3222</v>
      </c>
      <c r="M356" s="35">
        <v>3222</v>
      </c>
      <c r="N356" s="40">
        <v>98</v>
      </c>
      <c r="O356" s="35">
        <v>94</v>
      </c>
      <c r="P356" s="35">
        <v>0</v>
      </c>
      <c r="Q356" s="35">
        <v>0</v>
      </c>
      <c r="R356" s="40">
        <f t="shared" si="10"/>
        <v>4509</v>
      </c>
      <c r="S356" s="35">
        <f t="shared" si="11"/>
        <v>4465</v>
      </c>
      <c r="T356" s="11">
        <v>583219</v>
      </c>
    </row>
    <row r="357" spans="1:20">
      <c r="A357" s="48">
        <v>45955</v>
      </c>
      <c r="B357" s="35" t="s">
        <v>1504</v>
      </c>
      <c r="C357" s="40" t="s">
        <v>1495</v>
      </c>
      <c r="D357" s="40">
        <v>0</v>
      </c>
      <c r="E357" s="35">
        <v>0</v>
      </c>
      <c r="F357" s="40">
        <v>2874</v>
      </c>
      <c r="G357" s="35">
        <v>2801</v>
      </c>
      <c r="H357" s="40">
        <v>0</v>
      </c>
      <c r="I357" s="35">
        <v>0</v>
      </c>
      <c r="J357" s="40">
        <v>0</v>
      </c>
      <c r="K357" s="35">
        <v>0</v>
      </c>
      <c r="L357" s="40">
        <v>2910</v>
      </c>
      <c r="M357" s="35">
        <v>3505</v>
      </c>
      <c r="N357" s="40">
        <v>1527</v>
      </c>
      <c r="O357" s="35">
        <v>1006</v>
      </c>
      <c r="P357" s="35">
        <v>0</v>
      </c>
      <c r="Q357" s="35">
        <v>0</v>
      </c>
      <c r="R357" s="40">
        <f t="shared" si="10"/>
        <v>7311</v>
      </c>
      <c r="S357" s="35">
        <f t="shared" si="11"/>
        <v>7312</v>
      </c>
      <c r="T357" s="11">
        <v>583277</v>
      </c>
    </row>
    <row r="358" spans="1:20" ht="15.75">
      <c r="A358" s="48">
        <v>45955</v>
      </c>
      <c r="B358" s="8" t="s">
        <v>109</v>
      </c>
      <c r="C358" s="40" t="s">
        <v>1493</v>
      </c>
      <c r="D358" s="40">
        <v>0</v>
      </c>
      <c r="E358" s="35">
        <v>0</v>
      </c>
      <c r="F358" s="40">
        <v>3150</v>
      </c>
      <c r="G358" s="35">
        <v>2947</v>
      </c>
      <c r="H358" s="40">
        <v>0</v>
      </c>
      <c r="I358" s="35">
        <v>0</v>
      </c>
      <c r="J358" s="40">
        <v>0</v>
      </c>
      <c r="K358" s="35">
        <v>0</v>
      </c>
      <c r="L358" s="40">
        <v>3050</v>
      </c>
      <c r="M358" s="35">
        <v>3048</v>
      </c>
      <c r="N358" s="40">
        <v>1507</v>
      </c>
      <c r="O358" s="35">
        <v>1459</v>
      </c>
      <c r="P358" s="35">
        <v>0</v>
      </c>
      <c r="Q358" s="35">
        <v>0</v>
      </c>
      <c r="R358" s="40">
        <f t="shared" si="10"/>
        <v>7707</v>
      </c>
      <c r="S358" s="35">
        <f t="shared" si="11"/>
        <v>7454</v>
      </c>
      <c r="T358" s="11">
        <v>582114</v>
      </c>
    </row>
    <row r="359" spans="1:20" ht="15.75">
      <c r="A359" s="48">
        <v>45955</v>
      </c>
      <c r="B359" s="56" t="s">
        <v>33</v>
      </c>
      <c r="C359" s="40" t="s">
        <v>1493</v>
      </c>
      <c r="D359" s="40">
        <v>0</v>
      </c>
      <c r="E359" s="35">
        <v>0</v>
      </c>
      <c r="F359" s="40">
        <v>1118</v>
      </c>
      <c r="G359" s="35">
        <v>1033</v>
      </c>
      <c r="H359" s="40">
        <v>0</v>
      </c>
      <c r="I359" s="35">
        <v>0</v>
      </c>
      <c r="J359" s="40">
        <v>0</v>
      </c>
      <c r="K359" s="35">
        <v>0</v>
      </c>
      <c r="L359" s="40">
        <v>921</v>
      </c>
      <c r="M359" s="35">
        <v>931</v>
      </c>
      <c r="N359" s="40">
        <v>447</v>
      </c>
      <c r="O359" s="35">
        <v>430</v>
      </c>
      <c r="P359" s="35">
        <v>0</v>
      </c>
      <c r="Q359" s="35">
        <v>0</v>
      </c>
      <c r="R359" s="40">
        <f t="shared" si="10"/>
        <v>2486</v>
      </c>
      <c r="S359" s="35">
        <f t="shared" si="11"/>
        <v>2394</v>
      </c>
      <c r="T359" s="11">
        <v>583131</v>
      </c>
    </row>
    <row r="360" spans="1:20" ht="15.75">
      <c r="A360" s="48">
        <v>45955</v>
      </c>
      <c r="B360" s="56" t="s">
        <v>33</v>
      </c>
      <c r="C360" s="40" t="s">
        <v>1494</v>
      </c>
      <c r="D360" s="40">
        <v>0</v>
      </c>
      <c r="E360" s="35">
        <v>0</v>
      </c>
      <c r="F360" s="40">
        <v>1029</v>
      </c>
      <c r="G360" s="35">
        <v>884</v>
      </c>
      <c r="H360" s="40">
        <v>0</v>
      </c>
      <c r="I360" s="35">
        <v>0</v>
      </c>
      <c r="J360" s="40">
        <v>0</v>
      </c>
      <c r="K360" s="35">
        <v>0</v>
      </c>
      <c r="L360" s="40">
        <v>2626</v>
      </c>
      <c r="M360" s="35">
        <v>2677</v>
      </c>
      <c r="N360" s="40">
        <v>1207</v>
      </c>
      <c r="O360" s="35">
        <v>1217</v>
      </c>
      <c r="P360" s="35">
        <v>0</v>
      </c>
      <c r="Q360" s="35">
        <v>0</v>
      </c>
      <c r="R360" s="40">
        <f t="shared" si="10"/>
        <v>4862</v>
      </c>
      <c r="S360" s="35">
        <f t="shared" si="11"/>
        <v>4778</v>
      </c>
      <c r="T360" s="11">
        <v>583131</v>
      </c>
    </row>
    <row r="361" spans="1:20" ht="15.75">
      <c r="A361" s="48">
        <v>45955</v>
      </c>
      <c r="B361" s="55" t="s">
        <v>1501</v>
      </c>
      <c r="C361" s="40" t="s">
        <v>1494</v>
      </c>
      <c r="D361" s="40">
        <v>0</v>
      </c>
      <c r="E361" s="35">
        <v>0</v>
      </c>
      <c r="F361" s="40">
        <v>523</v>
      </c>
      <c r="G361" s="35">
        <v>643</v>
      </c>
      <c r="H361" s="40">
        <v>46</v>
      </c>
      <c r="I361" s="35">
        <v>0</v>
      </c>
      <c r="J361" s="40">
        <v>0</v>
      </c>
      <c r="K361" s="35">
        <v>0</v>
      </c>
      <c r="L361" s="40">
        <v>1725</v>
      </c>
      <c r="M361" s="35">
        <v>1607</v>
      </c>
      <c r="N361" s="40">
        <v>0</v>
      </c>
      <c r="O361" s="35">
        <v>0</v>
      </c>
      <c r="P361" s="35">
        <v>0</v>
      </c>
      <c r="Q361" s="35">
        <v>0</v>
      </c>
      <c r="R361" s="40">
        <f t="shared" si="10"/>
        <v>2294</v>
      </c>
      <c r="S361" s="35">
        <f t="shared" si="11"/>
        <v>2250</v>
      </c>
      <c r="T361" s="11">
        <v>583219</v>
      </c>
    </row>
    <row r="362" spans="1:20" ht="15.75">
      <c r="A362" s="48">
        <v>45956</v>
      </c>
      <c r="B362" s="22" t="s">
        <v>1500</v>
      </c>
      <c r="C362" s="40" t="s">
        <v>1493</v>
      </c>
      <c r="D362" s="40">
        <v>0</v>
      </c>
      <c r="E362" s="35">
        <v>0</v>
      </c>
      <c r="F362" s="40">
        <v>327</v>
      </c>
      <c r="G362" s="35">
        <v>265</v>
      </c>
      <c r="H362" s="40">
        <v>0</v>
      </c>
      <c r="I362" s="35">
        <v>0</v>
      </c>
      <c r="J362" s="40">
        <v>0</v>
      </c>
      <c r="K362" s="35">
        <v>0</v>
      </c>
      <c r="L362" s="40">
        <v>336</v>
      </c>
      <c r="M362" s="35">
        <v>320</v>
      </c>
      <c r="N362" s="40">
        <v>235</v>
      </c>
      <c r="O362" s="35">
        <v>287</v>
      </c>
      <c r="P362" s="35">
        <v>0</v>
      </c>
      <c r="Q362" s="35">
        <v>0</v>
      </c>
      <c r="R362" s="40">
        <f t="shared" si="10"/>
        <v>898</v>
      </c>
      <c r="S362" s="35">
        <f t="shared" si="11"/>
        <v>872</v>
      </c>
      <c r="T362" s="11">
        <v>583134</v>
      </c>
    </row>
    <row r="363" spans="1:20" ht="15.75">
      <c r="A363" s="48">
        <v>45956</v>
      </c>
      <c r="B363" s="56" t="s">
        <v>33</v>
      </c>
      <c r="C363" s="40" t="s">
        <v>1493</v>
      </c>
      <c r="D363" s="40">
        <v>0</v>
      </c>
      <c r="E363" s="35">
        <v>0</v>
      </c>
      <c r="F363" s="40">
        <v>1446</v>
      </c>
      <c r="G363" s="35">
        <v>1422</v>
      </c>
      <c r="H363" s="40">
        <v>0</v>
      </c>
      <c r="I363" s="35">
        <v>0</v>
      </c>
      <c r="J363" s="40">
        <v>0</v>
      </c>
      <c r="K363" s="35">
        <v>0</v>
      </c>
      <c r="L363" s="40">
        <v>1157</v>
      </c>
      <c r="M363" s="35">
        <v>1115</v>
      </c>
      <c r="N363" s="40">
        <f>523-523</f>
        <v>0</v>
      </c>
      <c r="O363" s="35">
        <v>395</v>
      </c>
      <c r="P363" s="35">
        <v>0</v>
      </c>
      <c r="Q363" s="35">
        <v>0</v>
      </c>
      <c r="R363" s="40">
        <f t="shared" si="10"/>
        <v>2603</v>
      </c>
      <c r="S363" s="35">
        <f t="shared" si="11"/>
        <v>2932</v>
      </c>
      <c r="T363" s="11">
        <v>583131</v>
      </c>
    </row>
    <row r="364" spans="1:20" ht="15.75">
      <c r="A364" s="48">
        <v>45956</v>
      </c>
      <c r="B364" s="8" t="s">
        <v>109</v>
      </c>
      <c r="C364" s="40" t="s">
        <v>1493</v>
      </c>
      <c r="D364" s="40">
        <v>0</v>
      </c>
      <c r="E364" s="35">
        <v>0</v>
      </c>
      <c r="F364" s="40">
        <f>5081-1433</f>
        <v>3648</v>
      </c>
      <c r="G364" s="35">
        <v>3456</v>
      </c>
      <c r="H364" s="40">
        <v>0</v>
      </c>
      <c r="I364" s="35">
        <v>0</v>
      </c>
      <c r="J364" s="40">
        <v>0</v>
      </c>
      <c r="K364" s="35">
        <v>0</v>
      </c>
      <c r="L364" s="40">
        <f>4261-1801</f>
        <v>2460</v>
      </c>
      <c r="M364" s="35">
        <v>2422</v>
      </c>
      <c r="N364" s="40">
        <f>1265-550+261</f>
        <v>976</v>
      </c>
      <c r="O364" s="35">
        <v>951</v>
      </c>
      <c r="P364" s="35">
        <v>0</v>
      </c>
      <c r="Q364" s="35">
        <v>0</v>
      </c>
      <c r="R364" s="40">
        <f t="shared" si="10"/>
        <v>7084</v>
      </c>
      <c r="S364" s="35">
        <f t="shared" si="11"/>
        <v>6829</v>
      </c>
      <c r="T364" s="11">
        <v>582114</v>
      </c>
    </row>
    <row r="365" spans="1:20">
      <c r="A365" s="48">
        <v>45956</v>
      </c>
      <c r="B365" s="35" t="s">
        <v>1504</v>
      </c>
      <c r="C365" s="40" t="s">
        <v>1495</v>
      </c>
      <c r="D365" s="40">
        <v>0</v>
      </c>
      <c r="E365" s="35">
        <v>0</v>
      </c>
      <c r="F365" s="40">
        <f>6535-2029</f>
        <v>4506</v>
      </c>
      <c r="G365" s="35">
        <f>1047+3223</f>
        <v>4270</v>
      </c>
      <c r="H365" s="40">
        <v>0</v>
      </c>
      <c r="I365" s="35">
        <v>0</v>
      </c>
      <c r="J365" s="40">
        <v>0</v>
      </c>
      <c r="K365" s="35">
        <v>0</v>
      </c>
      <c r="L365" s="40">
        <f>5173-1503</f>
        <v>3670</v>
      </c>
      <c r="M365" s="35">
        <f>603+2883</f>
        <v>3486</v>
      </c>
      <c r="N365" s="40">
        <f>1765-364-1027</f>
        <v>374</v>
      </c>
      <c r="O365" s="35">
        <f>352+1070</f>
        <v>1422</v>
      </c>
      <c r="P365" s="35">
        <v>0</v>
      </c>
      <c r="Q365" s="35">
        <v>0</v>
      </c>
      <c r="R365" s="40">
        <f t="shared" si="10"/>
        <v>8550</v>
      </c>
      <c r="S365" s="35">
        <f t="shared" si="11"/>
        <v>9178</v>
      </c>
      <c r="T365" s="11">
        <v>583277</v>
      </c>
    </row>
    <row r="366" spans="1:20" ht="15.75">
      <c r="A366" s="48">
        <v>45956</v>
      </c>
      <c r="B366" s="56" t="s">
        <v>33</v>
      </c>
      <c r="C366" s="40" t="s">
        <v>1494</v>
      </c>
      <c r="D366" s="40">
        <v>0</v>
      </c>
      <c r="E366" s="35">
        <v>0</v>
      </c>
      <c r="F366" s="40">
        <v>995</v>
      </c>
      <c r="G366" s="35">
        <v>864</v>
      </c>
      <c r="H366" s="40">
        <v>0</v>
      </c>
      <c r="I366" s="35">
        <v>0</v>
      </c>
      <c r="J366" s="40">
        <v>0</v>
      </c>
      <c r="K366" s="35">
        <v>0</v>
      </c>
      <c r="L366" s="40">
        <v>2164</v>
      </c>
      <c r="M366" s="35">
        <v>2225</v>
      </c>
      <c r="N366" s="40">
        <v>304</v>
      </c>
      <c r="O366" s="35">
        <v>307</v>
      </c>
      <c r="P366" s="35">
        <v>0</v>
      </c>
      <c r="Q366" s="35">
        <v>0</v>
      </c>
      <c r="R366" s="40">
        <f t="shared" si="10"/>
        <v>3463</v>
      </c>
      <c r="S366" s="35">
        <f t="shared" si="11"/>
        <v>3396</v>
      </c>
      <c r="T366" s="11">
        <v>583131</v>
      </c>
    </row>
    <row r="367" spans="1:20" ht="15.75">
      <c r="A367" s="48">
        <v>45956</v>
      </c>
      <c r="B367" s="55" t="s">
        <v>1501</v>
      </c>
      <c r="C367" s="40" t="s">
        <v>1494</v>
      </c>
      <c r="D367" s="40">
        <v>0</v>
      </c>
      <c r="E367" s="35">
        <v>0</v>
      </c>
      <c r="F367" s="40">
        <v>954</v>
      </c>
      <c r="G367" s="35">
        <v>958</v>
      </c>
      <c r="H367" s="40">
        <v>0</v>
      </c>
      <c r="I367" s="35">
        <v>0</v>
      </c>
      <c r="J367" s="40">
        <v>0</v>
      </c>
      <c r="K367" s="35">
        <v>0</v>
      </c>
      <c r="L367" s="40">
        <v>2384</v>
      </c>
      <c r="M367" s="35">
        <v>2371</v>
      </c>
      <c r="N367" s="40">
        <v>0</v>
      </c>
      <c r="O367" s="35">
        <v>0</v>
      </c>
      <c r="P367" s="35">
        <v>0</v>
      </c>
      <c r="Q367" s="35">
        <v>0</v>
      </c>
      <c r="R367" s="40">
        <f t="shared" si="10"/>
        <v>3338</v>
      </c>
      <c r="S367" s="35">
        <f t="shared" si="11"/>
        <v>3329</v>
      </c>
      <c r="T367" s="11">
        <v>583219</v>
      </c>
    </row>
    <row r="368" spans="1:20" ht="15.75">
      <c r="A368" s="48">
        <v>45957</v>
      </c>
      <c r="B368" s="56" t="s">
        <v>33</v>
      </c>
      <c r="C368" s="40" t="s">
        <v>1493</v>
      </c>
      <c r="D368" s="40">
        <v>0</v>
      </c>
      <c r="E368" s="35">
        <v>0</v>
      </c>
      <c r="F368" s="40">
        <v>860</v>
      </c>
      <c r="G368" s="35">
        <v>825</v>
      </c>
      <c r="H368" s="40">
        <v>0</v>
      </c>
      <c r="I368" s="35">
        <v>0</v>
      </c>
      <c r="J368" s="40">
        <v>0</v>
      </c>
      <c r="K368" s="35">
        <v>0</v>
      </c>
      <c r="L368" s="40">
        <v>698</v>
      </c>
      <c r="M368" s="35">
        <v>681</v>
      </c>
      <c r="N368" s="40">
        <f>319-319</f>
        <v>0</v>
      </c>
      <c r="O368" s="35">
        <v>312</v>
      </c>
      <c r="P368" s="35">
        <v>0</v>
      </c>
      <c r="Q368" s="35">
        <v>0</v>
      </c>
      <c r="R368" s="40">
        <f t="shared" si="10"/>
        <v>1558</v>
      </c>
      <c r="S368" s="35">
        <f t="shared" si="11"/>
        <v>1818</v>
      </c>
      <c r="T368" s="11">
        <v>583131</v>
      </c>
    </row>
    <row r="369" spans="1:20" ht="15.75">
      <c r="A369" s="48">
        <v>45957</v>
      </c>
      <c r="B369" s="8" t="s">
        <v>109</v>
      </c>
      <c r="C369" s="40" t="s">
        <v>1493</v>
      </c>
      <c r="D369" s="40">
        <v>0</v>
      </c>
      <c r="E369" s="35">
        <v>0</v>
      </c>
      <c r="F369" s="40">
        <v>4477</v>
      </c>
      <c r="G369" s="35">
        <v>4380</v>
      </c>
      <c r="H369" s="40">
        <v>0</v>
      </c>
      <c r="I369" s="35">
        <v>0</v>
      </c>
      <c r="J369" s="40">
        <v>0</v>
      </c>
      <c r="K369" s="35">
        <v>0</v>
      </c>
      <c r="L369" s="40">
        <v>3082</v>
      </c>
      <c r="M369" s="35">
        <v>3016</v>
      </c>
      <c r="N369" s="40">
        <f>238-238</f>
        <v>0</v>
      </c>
      <c r="O369" s="35">
        <v>249</v>
      </c>
      <c r="P369" s="35">
        <v>0</v>
      </c>
      <c r="Q369" s="35">
        <v>0</v>
      </c>
      <c r="R369" s="40">
        <f t="shared" si="10"/>
        <v>7559</v>
      </c>
      <c r="S369" s="35">
        <f t="shared" si="11"/>
        <v>7645</v>
      </c>
      <c r="T369" s="11">
        <v>582114</v>
      </c>
    </row>
    <row r="370" spans="1:20">
      <c r="A370" s="48">
        <v>45957</v>
      </c>
      <c r="B370" s="35" t="s">
        <v>1504</v>
      </c>
      <c r="C370" s="40" t="s">
        <v>1495</v>
      </c>
      <c r="D370" s="40">
        <v>0</v>
      </c>
      <c r="E370" s="35">
        <v>0</v>
      </c>
      <c r="F370" s="40">
        <v>328</v>
      </c>
      <c r="G370" s="35">
        <v>317</v>
      </c>
      <c r="H370" s="40">
        <v>0</v>
      </c>
      <c r="I370" s="35">
        <v>0</v>
      </c>
      <c r="J370" s="40">
        <v>0</v>
      </c>
      <c r="K370" s="35">
        <v>0</v>
      </c>
      <c r="L370" s="40">
        <v>747</v>
      </c>
      <c r="M370" s="35">
        <v>765</v>
      </c>
      <c r="N370" s="40">
        <f>140-140</f>
        <v>0</v>
      </c>
      <c r="O370" s="35">
        <v>117</v>
      </c>
      <c r="P370" s="35">
        <v>0</v>
      </c>
      <c r="Q370" s="35">
        <v>0</v>
      </c>
      <c r="R370" s="40">
        <f t="shared" si="10"/>
        <v>1075</v>
      </c>
      <c r="S370" s="35">
        <f t="shared" si="11"/>
        <v>1199</v>
      </c>
      <c r="T370" s="11">
        <v>583277</v>
      </c>
    </row>
    <row r="371" spans="1:20" ht="15.75">
      <c r="A371" s="48">
        <v>45957</v>
      </c>
      <c r="B371" s="56" t="s">
        <v>33</v>
      </c>
      <c r="C371" s="40" t="s">
        <v>1494</v>
      </c>
      <c r="D371" s="40">
        <v>0</v>
      </c>
      <c r="E371" s="35">
        <v>0</v>
      </c>
      <c r="F371" s="40">
        <v>1256</v>
      </c>
      <c r="G371" s="35">
        <v>1287</v>
      </c>
      <c r="H371" s="40">
        <v>0</v>
      </c>
      <c r="I371" s="35">
        <v>0</v>
      </c>
      <c r="J371" s="40">
        <v>0</v>
      </c>
      <c r="K371" s="35">
        <v>0</v>
      </c>
      <c r="L371" s="40">
        <v>2419</v>
      </c>
      <c r="M371" s="35">
        <v>2355</v>
      </c>
      <c r="N371" s="40">
        <v>1055</v>
      </c>
      <c r="O371" s="35">
        <v>1054</v>
      </c>
      <c r="P371" s="35">
        <v>0</v>
      </c>
      <c r="Q371" s="35">
        <v>0</v>
      </c>
      <c r="R371" s="40">
        <f t="shared" si="10"/>
        <v>4730</v>
      </c>
      <c r="S371" s="35">
        <f t="shared" si="11"/>
        <v>4696</v>
      </c>
      <c r="T371" s="11">
        <v>583131</v>
      </c>
    </row>
    <row r="372" spans="1:20" ht="15.75">
      <c r="A372" s="48">
        <v>45957</v>
      </c>
      <c r="B372" s="55" t="s">
        <v>1501</v>
      </c>
      <c r="C372" s="40" t="s">
        <v>1494</v>
      </c>
      <c r="D372" s="40">
        <v>0</v>
      </c>
      <c r="E372" s="35">
        <v>0</v>
      </c>
      <c r="F372" s="40">
        <v>1131</v>
      </c>
      <c r="G372" s="35">
        <v>1045</v>
      </c>
      <c r="H372" s="40">
        <v>0</v>
      </c>
      <c r="I372" s="35">
        <v>0</v>
      </c>
      <c r="J372" s="40">
        <v>0</v>
      </c>
      <c r="K372" s="35">
        <v>0</v>
      </c>
      <c r="L372" s="40">
        <v>2630</v>
      </c>
      <c r="M372" s="35">
        <v>2618</v>
      </c>
      <c r="N372" s="40">
        <v>170</v>
      </c>
      <c r="O372" s="35">
        <v>169</v>
      </c>
      <c r="P372" s="35">
        <v>0</v>
      </c>
      <c r="Q372" s="35">
        <v>0</v>
      </c>
      <c r="R372" s="40">
        <f t="shared" si="10"/>
        <v>3931</v>
      </c>
      <c r="S372" s="35">
        <f t="shared" si="11"/>
        <v>3832</v>
      </c>
      <c r="T372" s="11">
        <v>583219</v>
      </c>
    </row>
    <row r="373" spans="1:20" ht="15.75">
      <c r="A373" s="48">
        <v>45958</v>
      </c>
      <c r="B373" s="8" t="s">
        <v>109</v>
      </c>
      <c r="C373" s="40" t="s">
        <v>1493</v>
      </c>
      <c r="D373" s="40">
        <v>0</v>
      </c>
      <c r="E373" s="35">
        <v>0</v>
      </c>
      <c r="F373" s="40">
        <f>5972-1796</f>
        <v>4176</v>
      </c>
      <c r="G373" s="35">
        <v>4079</v>
      </c>
      <c r="H373" s="40">
        <v>0</v>
      </c>
      <c r="I373" s="35">
        <v>0</v>
      </c>
      <c r="J373" s="40">
        <v>0</v>
      </c>
      <c r="K373" s="35">
        <v>0</v>
      </c>
      <c r="L373" s="40">
        <f>4279-1229</f>
        <v>3050</v>
      </c>
      <c r="M373" s="35">
        <v>3082</v>
      </c>
      <c r="N373" s="40">
        <f>490-143-347</f>
        <v>0</v>
      </c>
      <c r="O373" s="35">
        <v>318</v>
      </c>
      <c r="P373" s="35">
        <v>0</v>
      </c>
      <c r="Q373" s="35">
        <v>0</v>
      </c>
      <c r="R373" s="40">
        <f t="shared" si="10"/>
        <v>7226</v>
      </c>
      <c r="S373" s="35">
        <f t="shared" si="11"/>
        <v>7479</v>
      </c>
      <c r="T373" s="11">
        <v>582114</v>
      </c>
    </row>
    <row r="374" spans="1:20">
      <c r="A374" s="48">
        <v>45958</v>
      </c>
      <c r="B374" s="35" t="s">
        <v>1504</v>
      </c>
      <c r="C374" s="40" t="s">
        <v>1495</v>
      </c>
      <c r="D374" s="40">
        <v>0</v>
      </c>
      <c r="E374" s="35">
        <v>0</v>
      </c>
      <c r="F374" s="40">
        <v>3547</v>
      </c>
      <c r="G374" s="35">
        <v>3480</v>
      </c>
      <c r="H374" s="40">
        <v>0</v>
      </c>
      <c r="I374" s="35">
        <v>0</v>
      </c>
      <c r="J374" s="40">
        <v>0</v>
      </c>
      <c r="K374" s="35">
        <v>0</v>
      </c>
      <c r="L374" s="40">
        <v>2689</v>
      </c>
      <c r="M374" s="35">
        <v>2680</v>
      </c>
      <c r="N374" s="40">
        <f>775-775</f>
        <v>0</v>
      </c>
      <c r="O374" s="35">
        <v>905</v>
      </c>
      <c r="P374" s="35">
        <v>0</v>
      </c>
      <c r="Q374" s="35">
        <v>0</v>
      </c>
      <c r="R374" s="40">
        <f t="shared" si="10"/>
        <v>6236</v>
      </c>
      <c r="S374" s="35">
        <f t="shared" si="11"/>
        <v>7065</v>
      </c>
      <c r="T374" s="11">
        <v>583277</v>
      </c>
    </row>
    <row r="375" spans="1:20" ht="15.75">
      <c r="A375" s="48">
        <v>45958</v>
      </c>
      <c r="B375" s="56" t="s">
        <v>33</v>
      </c>
      <c r="C375" s="40" t="s">
        <v>1493</v>
      </c>
      <c r="D375" s="40">
        <v>0</v>
      </c>
      <c r="E375" s="35">
        <v>0</v>
      </c>
      <c r="F375" s="40">
        <v>1373</v>
      </c>
      <c r="G375" s="35">
        <v>1240</v>
      </c>
      <c r="H375" s="40">
        <v>0</v>
      </c>
      <c r="I375" s="35">
        <v>0</v>
      </c>
      <c r="J375" s="40">
        <v>0</v>
      </c>
      <c r="K375" s="35">
        <v>0</v>
      </c>
      <c r="L375" s="40">
        <f>950-433</f>
        <v>517</v>
      </c>
      <c r="M375" s="35">
        <v>640</v>
      </c>
      <c r="N375" s="40">
        <f>380-380</f>
        <v>0</v>
      </c>
      <c r="O375" s="35">
        <v>0</v>
      </c>
      <c r="P375" s="35">
        <v>0</v>
      </c>
      <c r="Q375" s="35">
        <v>0</v>
      </c>
      <c r="R375" s="40">
        <f t="shared" si="10"/>
        <v>1890</v>
      </c>
      <c r="S375" s="35">
        <f t="shared" si="11"/>
        <v>1880</v>
      </c>
      <c r="T375" s="11">
        <v>583131</v>
      </c>
    </row>
    <row r="376" spans="1:20" ht="15.75">
      <c r="A376" s="48">
        <v>45958</v>
      </c>
      <c r="B376" s="22" t="s">
        <v>1500</v>
      </c>
      <c r="C376" s="40" t="s">
        <v>1494</v>
      </c>
      <c r="D376" s="40">
        <v>0</v>
      </c>
      <c r="E376" s="35">
        <v>0</v>
      </c>
      <c r="F376" s="40">
        <v>548</v>
      </c>
      <c r="G376" s="35">
        <v>542</v>
      </c>
      <c r="H376" s="40">
        <v>0</v>
      </c>
      <c r="I376" s="35">
        <v>0</v>
      </c>
      <c r="J376" s="40">
        <v>0</v>
      </c>
      <c r="K376" s="35">
        <v>0</v>
      </c>
      <c r="L376" s="40">
        <v>2670</v>
      </c>
      <c r="M376" s="35">
        <v>2439</v>
      </c>
      <c r="N376" s="40">
        <f>815-320</f>
        <v>495</v>
      </c>
      <c r="O376" s="35">
        <v>527</v>
      </c>
      <c r="P376" s="35">
        <v>0</v>
      </c>
      <c r="Q376" s="35">
        <v>0</v>
      </c>
      <c r="R376" s="40">
        <f t="shared" si="10"/>
        <v>3713</v>
      </c>
      <c r="S376" s="35">
        <f t="shared" si="11"/>
        <v>3508</v>
      </c>
      <c r="T376" s="11">
        <v>583134</v>
      </c>
    </row>
    <row r="377" spans="1:20" ht="15.75">
      <c r="A377" s="48">
        <v>45959</v>
      </c>
      <c r="B377" s="22" t="s">
        <v>1500</v>
      </c>
      <c r="C377" s="40" t="s">
        <v>1494</v>
      </c>
      <c r="D377" s="40">
        <v>0</v>
      </c>
      <c r="E377" s="35">
        <v>0</v>
      </c>
      <c r="F377" s="40">
        <v>1232</v>
      </c>
      <c r="G377" s="35">
        <v>1173</v>
      </c>
      <c r="H377" s="40">
        <v>0</v>
      </c>
      <c r="I377" s="35">
        <v>0</v>
      </c>
      <c r="J377" s="40">
        <v>0</v>
      </c>
      <c r="K377" s="35">
        <v>0</v>
      </c>
      <c r="L377" s="40">
        <v>1917</v>
      </c>
      <c r="M377" s="35">
        <v>1981</v>
      </c>
      <c r="N377" s="40">
        <v>1060</v>
      </c>
      <c r="O377" s="35">
        <v>940</v>
      </c>
      <c r="P377" s="35">
        <v>0</v>
      </c>
      <c r="Q377" s="35">
        <v>0</v>
      </c>
      <c r="R377" s="40">
        <f t="shared" si="10"/>
        <v>4209</v>
      </c>
      <c r="S377" s="35">
        <f t="shared" si="11"/>
        <v>4094</v>
      </c>
      <c r="T377" s="11">
        <v>583134</v>
      </c>
    </row>
    <row r="378" spans="1:20" ht="15.75">
      <c r="A378" s="48">
        <v>45959</v>
      </c>
      <c r="B378" s="56" t="s">
        <v>33</v>
      </c>
      <c r="C378" s="40" t="s">
        <v>1493</v>
      </c>
      <c r="D378" s="40">
        <v>0</v>
      </c>
      <c r="E378" s="35">
        <v>0</v>
      </c>
      <c r="F378" s="40">
        <v>661</v>
      </c>
      <c r="G378" s="35">
        <v>630</v>
      </c>
      <c r="H378" s="40">
        <v>0</v>
      </c>
      <c r="I378" s="35">
        <v>0</v>
      </c>
      <c r="J378" s="40">
        <v>0</v>
      </c>
      <c r="K378" s="35">
        <v>0</v>
      </c>
      <c r="L378" s="40">
        <f>484+433</f>
        <v>917</v>
      </c>
      <c r="M378" s="35">
        <v>948</v>
      </c>
      <c r="N378" s="40">
        <v>131</v>
      </c>
      <c r="O378" s="35">
        <v>116</v>
      </c>
      <c r="P378" s="35">
        <v>0</v>
      </c>
      <c r="Q378" s="35">
        <v>0</v>
      </c>
      <c r="R378" s="40">
        <f t="shared" si="10"/>
        <v>1709</v>
      </c>
      <c r="S378" s="35">
        <f t="shared" si="11"/>
        <v>1694</v>
      </c>
      <c r="T378" s="11">
        <v>583131</v>
      </c>
    </row>
    <row r="379" spans="1:20" ht="15.75">
      <c r="A379" s="48">
        <v>45959</v>
      </c>
      <c r="B379" s="8" t="s">
        <v>109</v>
      </c>
      <c r="C379" s="40" t="s">
        <v>1493</v>
      </c>
      <c r="D379" s="40">
        <v>0</v>
      </c>
      <c r="E379" s="35">
        <v>0</v>
      </c>
      <c r="F379" s="40">
        <v>4464</v>
      </c>
      <c r="G379" s="35">
        <v>4323</v>
      </c>
      <c r="H379" s="40">
        <v>0</v>
      </c>
      <c r="I379" s="35">
        <v>0</v>
      </c>
      <c r="J379" s="40">
        <v>0</v>
      </c>
      <c r="K379" s="35">
        <v>0</v>
      </c>
      <c r="L379" s="40">
        <v>3303</v>
      </c>
      <c r="M379" s="35">
        <v>3336</v>
      </c>
      <c r="N379" s="40">
        <f>392-392</f>
        <v>0</v>
      </c>
      <c r="O379" s="35">
        <v>291</v>
      </c>
      <c r="P379" s="35">
        <v>0</v>
      </c>
      <c r="Q379" s="35">
        <v>0</v>
      </c>
      <c r="R379" s="40">
        <f t="shared" si="10"/>
        <v>7767</v>
      </c>
      <c r="S379" s="35">
        <f t="shared" si="11"/>
        <v>7950</v>
      </c>
      <c r="T379" s="11">
        <v>582114</v>
      </c>
    </row>
    <row r="380" spans="1:20">
      <c r="A380" s="48">
        <v>45959</v>
      </c>
      <c r="B380" s="35" t="s">
        <v>1504</v>
      </c>
      <c r="C380" s="40" t="s">
        <v>1495</v>
      </c>
      <c r="D380" s="40">
        <v>0</v>
      </c>
      <c r="E380" s="35">
        <v>0</v>
      </c>
      <c r="F380" s="40">
        <v>3441</v>
      </c>
      <c r="G380" s="35">
        <v>3368</v>
      </c>
      <c r="H380" s="40">
        <v>0</v>
      </c>
      <c r="I380" s="35">
        <v>0</v>
      </c>
      <c r="J380" s="40">
        <v>0</v>
      </c>
      <c r="K380" s="35">
        <v>0</v>
      </c>
      <c r="L380" s="40">
        <v>2834</v>
      </c>
      <c r="M380" s="35">
        <v>2767</v>
      </c>
      <c r="N380" s="40">
        <f>919-919</f>
        <v>0</v>
      </c>
      <c r="O380" s="35">
        <v>948</v>
      </c>
      <c r="P380" s="35">
        <v>0</v>
      </c>
      <c r="Q380" s="35">
        <v>0</v>
      </c>
      <c r="R380" s="40">
        <f t="shared" si="10"/>
        <v>6275</v>
      </c>
      <c r="S380" s="35">
        <f t="shared" si="11"/>
        <v>7083</v>
      </c>
      <c r="T380" s="11">
        <v>583277</v>
      </c>
    </row>
    <row r="381" spans="1:20" ht="15.75">
      <c r="A381" s="48">
        <v>45960</v>
      </c>
      <c r="B381" s="22" t="s">
        <v>1500</v>
      </c>
      <c r="C381" s="40" t="s">
        <v>1494</v>
      </c>
      <c r="D381" s="40">
        <v>0</v>
      </c>
      <c r="E381" s="35">
        <v>0</v>
      </c>
      <c r="F381" s="40">
        <v>1071</v>
      </c>
      <c r="G381" s="35">
        <v>1069</v>
      </c>
      <c r="H381" s="40">
        <v>0</v>
      </c>
      <c r="I381" s="35">
        <v>0</v>
      </c>
      <c r="J381" s="40">
        <v>0</v>
      </c>
      <c r="K381" s="35">
        <v>0</v>
      </c>
      <c r="L381" s="40">
        <v>1196</v>
      </c>
      <c r="M381" s="35">
        <v>1166</v>
      </c>
      <c r="N381" s="40">
        <v>267</v>
      </c>
      <c r="O381" s="35">
        <v>259</v>
      </c>
      <c r="P381" s="35">
        <v>0</v>
      </c>
      <c r="Q381" s="35">
        <v>0</v>
      </c>
      <c r="R381" s="40">
        <f t="shared" si="10"/>
        <v>2534</v>
      </c>
      <c r="S381" s="35">
        <f t="shared" si="11"/>
        <v>2494</v>
      </c>
      <c r="T381" s="11">
        <v>583134</v>
      </c>
    </row>
    <row r="382" spans="1:20" ht="15.75">
      <c r="A382" s="48">
        <v>45960</v>
      </c>
      <c r="B382" s="22" t="s">
        <v>1500</v>
      </c>
      <c r="C382" s="40" t="s">
        <v>1493</v>
      </c>
      <c r="D382" s="40">
        <v>0</v>
      </c>
      <c r="E382" s="35">
        <v>0</v>
      </c>
      <c r="F382" s="40">
        <v>0</v>
      </c>
      <c r="G382" s="35">
        <v>0</v>
      </c>
      <c r="H382" s="40">
        <v>0</v>
      </c>
      <c r="I382" s="35">
        <v>0</v>
      </c>
      <c r="J382" s="40">
        <v>0</v>
      </c>
      <c r="K382" s="35">
        <v>0</v>
      </c>
      <c r="L382" s="40">
        <v>0</v>
      </c>
      <c r="M382" s="35">
        <v>0</v>
      </c>
      <c r="N382" s="40">
        <v>478</v>
      </c>
      <c r="O382" s="35">
        <v>0</v>
      </c>
      <c r="P382" s="35">
        <v>1285</v>
      </c>
      <c r="Q382" s="35">
        <v>1627</v>
      </c>
      <c r="R382" s="40">
        <f t="shared" si="10"/>
        <v>1763</v>
      </c>
      <c r="S382" s="35">
        <f t="shared" si="11"/>
        <v>1627</v>
      </c>
      <c r="T382" s="11">
        <v>583134</v>
      </c>
    </row>
    <row r="383" spans="1:20" ht="15.75">
      <c r="A383" s="48">
        <v>45960</v>
      </c>
      <c r="B383" s="22" t="s">
        <v>1500</v>
      </c>
      <c r="C383" s="40" t="s">
        <v>1493</v>
      </c>
      <c r="D383" s="40">
        <v>0</v>
      </c>
      <c r="E383" s="35">
        <v>0</v>
      </c>
      <c r="F383" s="40">
        <v>682</v>
      </c>
      <c r="G383" s="35">
        <f>649-20</f>
        <v>629</v>
      </c>
      <c r="H383" s="40">
        <v>0</v>
      </c>
      <c r="I383" s="35">
        <v>0</v>
      </c>
      <c r="J383" s="40">
        <v>0</v>
      </c>
      <c r="K383" s="35">
        <v>0</v>
      </c>
      <c r="L383" s="40">
        <v>470</v>
      </c>
      <c r="M383" s="35">
        <f>461-10</f>
        <v>451</v>
      </c>
      <c r="N383" s="40">
        <v>130</v>
      </c>
      <c r="O383" s="35">
        <f>229-20</f>
        <v>209</v>
      </c>
      <c r="P383" s="35">
        <v>0</v>
      </c>
      <c r="Q383" s="35">
        <v>0</v>
      </c>
      <c r="R383" s="40">
        <f t="shared" si="10"/>
        <v>1282</v>
      </c>
      <c r="S383" s="35">
        <f t="shared" si="11"/>
        <v>1289</v>
      </c>
      <c r="T383" s="11">
        <v>583134</v>
      </c>
    </row>
    <row r="384" spans="1:20" ht="15.75">
      <c r="A384" s="48">
        <v>45960</v>
      </c>
      <c r="B384" s="56" t="s">
        <v>33</v>
      </c>
      <c r="C384" s="40" t="s">
        <v>1493</v>
      </c>
      <c r="D384" s="40">
        <v>0</v>
      </c>
      <c r="E384" s="35">
        <v>0</v>
      </c>
      <c r="F384" s="40">
        <v>839</v>
      </c>
      <c r="G384" s="35">
        <f>798+20</f>
        <v>818</v>
      </c>
      <c r="H384" s="40">
        <v>0</v>
      </c>
      <c r="I384" s="35">
        <v>0</v>
      </c>
      <c r="J384" s="40">
        <v>0</v>
      </c>
      <c r="K384" s="35">
        <v>0</v>
      </c>
      <c r="L384" s="40">
        <v>791</v>
      </c>
      <c r="M384" s="35">
        <f>777+30</f>
        <v>807</v>
      </c>
      <c r="N384" s="40">
        <v>0</v>
      </c>
      <c r="O384" s="35">
        <v>0</v>
      </c>
      <c r="P384" s="35">
        <v>0</v>
      </c>
      <c r="Q384" s="35">
        <v>0</v>
      </c>
      <c r="R384" s="40">
        <f t="shared" si="10"/>
        <v>1630</v>
      </c>
      <c r="S384" s="35">
        <f t="shared" si="11"/>
        <v>1625</v>
      </c>
      <c r="T384" s="11">
        <v>583131</v>
      </c>
    </row>
    <row r="385" spans="1:20" ht="15.75">
      <c r="A385" s="48">
        <v>45960</v>
      </c>
      <c r="B385" s="8" t="s">
        <v>109</v>
      </c>
      <c r="C385" s="40" t="s">
        <v>1493</v>
      </c>
      <c r="D385" s="40">
        <v>0</v>
      </c>
      <c r="E385" s="35">
        <v>0</v>
      </c>
      <c r="F385" s="40">
        <v>4103</v>
      </c>
      <c r="G385" s="35">
        <v>3999</v>
      </c>
      <c r="H385" s="40">
        <v>0</v>
      </c>
      <c r="I385" s="35">
        <v>0</v>
      </c>
      <c r="J385" s="40">
        <v>0</v>
      </c>
      <c r="K385" s="35">
        <v>0</v>
      </c>
      <c r="L385" s="40">
        <v>2457</v>
      </c>
      <c r="M385" s="35">
        <v>2403</v>
      </c>
      <c r="N385" s="40">
        <f>310-310</f>
        <v>0</v>
      </c>
      <c r="O385" s="35">
        <v>279</v>
      </c>
      <c r="P385" s="35">
        <v>0</v>
      </c>
      <c r="Q385" s="35">
        <v>0</v>
      </c>
      <c r="R385" s="40">
        <f t="shared" si="10"/>
        <v>6560</v>
      </c>
      <c r="S385" s="35">
        <f t="shared" si="11"/>
        <v>6681</v>
      </c>
      <c r="T385" s="11">
        <v>582114</v>
      </c>
    </row>
    <row r="386" spans="1:20">
      <c r="A386" s="48">
        <v>45960</v>
      </c>
      <c r="B386" s="35" t="s">
        <v>1504</v>
      </c>
      <c r="C386" s="40" t="s">
        <v>1495</v>
      </c>
      <c r="D386" s="40">
        <v>0</v>
      </c>
      <c r="E386" s="35">
        <v>0</v>
      </c>
      <c r="F386" s="40">
        <v>4127</v>
      </c>
      <c r="G386" s="35">
        <v>3995</v>
      </c>
      <c r="H386" s="40">
        <v>0</v>
      </c>
      <c r="I386" s="35">
        <v>0</v>
      </c>
      <c r="J386" s="40">
        <v>0</v>
      </c>
      <c r="K386" s="35">
        <v>0</v>
      </c>
      <c r="L386" s="40">
        <v>2227</v>
      </c>
      <c r="M386" s="35">
        <v>2181</v>
      </c>
      <c r="N386" s="40">
        <f>590-590</f>
        <v>0</v>
      </c>
      <c r="O386" s="35">
        <v>621</v>
      </c>
      <c r="P386" s="35">
        <v>0</v>
      </c>
      <c r="Q386" s="35">
        <v>0</v>
      </c>
      <c r="R386" s="40">
        <f t="shared" ref="R386:S386" si="12">SUM(D386,F386,H386,J386,L386,N386,P386)</f>
        <v>6354</v>
      </c>
      <c r="S386" s="35">
        <f t="shared" si="12"/>
        <v>6797</v>
      </c>
      <c r="T386" s="11">
        <v>583277</v>
      </c>
    </row>
    <row r="387" spans="1:20">
      <c r="B387" s="46"/>
    </row>
    <row r="388" spans="1:20">
      <c r="B388" s="46"/>
    </row>
    <row r="389" spans="1:20">
      <c r="B389" s="46"/>
    </row>
    <row r="390" spans="1:20">
      <c r="B390" s="46"/>
    </row>
    <row r="391" spans="1:20">
      <c r="B391" s="46"/>
    </row>
    <row r="392" spans="1:20">
      <c r="B392" s="46"/>
    </row>
    <row r="393" spans="1:20">
      <c r="B393" s="46"/>
    </row>
    <row r="394" spans="1:20">
      <c r="B394" s="46"/>
    </row>
    <row r="395" spans="1:20">
      <c r="B395" s="46"/>
    </row>
    <row r="396" spans="1:20">
      <c r="B396" s="46"/>
    </row>
    <row r="397" spans="1:20">
      <c r="B397" s="46"/>
    </row>
    <row r="398" spans="1:20">
      <c r="B398" s="46"/>
    </row>
    <row r="399" spans="1:20">
      <c r="B399" s="46"/>
    </row>
    <row r="400" spans="1:20">
      <c r="B400" s="46"/>
    </row>
    <row r="401" spans="2:2">
      <c r="B401" s="46"/>
    </row>
    <row r="402" spans="2:2">
      <c r="B402" s="46"/>
    </row>
    <row r="403" spans="2:2">
      <c r="B403" s="46"/>
    </row>
    <row r="404" spans="2:2">
      <c r="B404" s="46"/>
    </row>
    <row r="405" spans="2:2">
      <c r="B405" s="46"/>
    </row>
    <row r="406" spans="2:2">
      <c r="B406" s="46"/>
    </row>
    <row r="407" spans="2:2">
      <c r="B407" s="46"/>
    </row>
    <row r="408" spans="2:2">
      <c r="B408" s="46"/>
    </row>
    <row r="409" spans="2:2">
      <c r="B409" s="46"/>
    </row>
    <row r="410" spans="2:2">
      <c r="B410" s="46"/>
    </row>
    <row r="411" spans="2:2">
      <c r="B411" s="46"/>
    </row>
    <row r="412" spans="2:2">
      <c r="B412" s="46"/>
    </row>
    <row r="413" spans="2:2">
      <c r="B413" s="46"/>
    </row>
    <row r="414" spans="2:2">
      <c r="B414" s="46"/>
    </row>
    <row r="415" spans="2:2">
      <c r="B415" s="46"/>
    </row>
    <row r="416" spans="2:2">
      <c r="B416" s="46"/>
    </row>
    <row r="417" spans="2:2">
      <c r="B417" s="46"/>
    </row>
    <row r="418" spans="2:2">
      <c r="B418" s="46"/>
    </row>
    <row r="419" spans="2:2">
      <c r="B419" s="46"/>
    </row>
    <row r="420" spans="2:2">
      <c r="B420" s="46"/>
    </row>
    <row r="421" spans="2:2">
      <c r="B421" s="46"/>
    </row>
    <row r="422" spans="2:2">
      <c r="B422" s="46"/>
    </row>
    <row r="423" spans="2:2">
      <c r="B423" s="46"/>
    </row>
    <row r="424" spans="2:2">
      <c r="B424" s="46"/>
    </row>
    <row r="425" spans="2:2">
      <c r="B425" s="46"/>
    </row>
    <row r="426" spans="2:2">
      <c r="B426" s="46"/>
    </row>
    <row r="427" spans="2:2">
      <c r="B427" s="46"/>
    </row>
    <row r="428" spans="2:2">
      <c r="B428" s="46"/>
    </row>
    <row r="429" spans="2:2">
      <c r="B429" s="51"/>
    </row>
    <row r="430" spans="2:2">
      <c r="B430" s="51"/>
    </row>
    <row r="431" spans="2:2">
      <c r="B431" s="50"/>
    </row>
    <row r="432" spans="2:2">
      <c r="B432" s="51"/>
    </row>
    <row r="433" spans="2:2">
      <c r="B433" s="51"/>
    </row>
    <row r="434" spans="2:2">
      <c r="B434" s="46"/>
    </row>
    <row r="435" spans="2:2">
      <c r="B435" s="46"/>
    </row>
    <row r="436" spans="2:2">
      <c r="B436" s="46"/>
    </row>
    <row r="437" spans="2:2">
      <c r="B437" s="46"/>
    </row>
    <row r="438" spans="2:2">
      <c r="B438" s="46"/>
    </row>
    <row r="439" spans="2:2">
      <c r="B439" s="46"/>
    </row>
    <row r="440" spans="2:2">
      <c r="B440" s="46"/>
    </row>
    <row r="441" spans="2:2">
      <c r="B441" s="46"/>
    </row>
    <row r="442" spans="2:2">
      <c r="B442" s="46"/>
    </row>
    <row r="443" spans="2:2">
      <c r="B443" s="46"/>
    </row>
    <row r="444" spans="2:2">
      <c r="B444" s="46"/>
    </row>
    <row r="445" spans="2:2">
      <c r="B445" s="46"/>
    </row>
    <row r="446" spans="2:2">
      <c r="B446" s="46"/>
    </row>
    <row r="447" spans="2:2">
      <c r="B447" s="46"/>
    </row>
    <row r="448" spans="2:2">
      <c r="B448" s="46"/>
    </row>
    <row r="449" spans="2:2">
      <c r="B449" s="46"/>
    </row>
    <row r="450" spans="2:2">
      <c r="B450" s="46"/>
    </row>
    <row r="451" spans="2:2">
      <c r="B451" s="46"/>
    </row>
    <row r="452" spans="2:2">
      <c r="B452" s="46"/>
    </row>
    <row r="453" spans="2:2">
      <c r="B453" s="46"/>
    </row>
    <row r="454" spans="2:2">
      <c r="B454" s="46"/>
    </row>
    <row r="455" spans="2:2">
      <c r="B455" s="46"/>
    </row>
    <row r="456" spans="2:2">
      <c r="B456" s="46"/>
    </row>
    <row r="457" spans="2:2">
      <c r="B457" s="46"/>
    </row>
    <row r="458" spans="2:2">
      <c r="B458" s="46"/>
    </row>
    <row r="459" spans="2:2">
      <c r="B459" s="46"/>
    </row>
    <row r="460" spans="2:2">
      <c r="B460" s="46"/>
    </row>
    <row r="461" spans="2:2">
      <c r="B461" s="46"/>
    </row>
    <row r="462" spans="2:2">
      <c r="B462" s="46"/>
    </row>
    <row r="463" spans="2:2">
      <c r="B463" s="46"/>
    </row>
    <row r="464" spans="2:2">
      <c r="B464" s="46"/>
    </row>
    <row r="465" spans="2:2">
      <c r="B465" s="46"/>
    </row>
    <row r="466" spans="2:2">
      <c r="B466" s="46"/>
    </row>
    <row r="467" spans="2:2">
      <c r="B467" s="46"/>
    </row>
    <row r="468" spans="2:2">
      <c r="B468" s="46"/>
    </row>
    <row r="469" spans="2:2">
      <c r="B469" s="46"/>
    </row>
    <row r="470" spans="2:2">
      <c r="B470" s="46"/>
    </row>
    <row r="471" spans="2:2">
      <c r="B471" s="46"/>
    </row>
    <row r="472" spans="2:2">
      <c r="B472" s="46"/>
    </row>
    <row r="473" spans="2:2">
      <c r="B473" s="46"/>
    </row>
    <row r="474" spans="2:2">
      <c r="B474" s="46"/>
    </row>
    <row r="475" spans="2:2">
      <c r="B475" s="46"/>
    </row>
    <row r="476" spans="2:2">
      <c r="B476" s="46"/>
    </row>
    <row r="477" spans="2:2">
      <c r="B477" s="46"/>
    </row>
    <row r="478" spans="2:2">
      <c r="B478" s="46"/>
    </row>
    <row r="479" spans="2:2">
      <c r="B479" s="46"/>
    </row>
    <row r="480" spans="2:2">
      <c r="B480" s="46"/>
    </row>
    <row r="481" spans="2:2">
      <c r="B481" s="46"/>
    </row>
    <row r="482" spans="2:2">
      <c r="B482" s="46"/>
    </row>
    <row r="483" spans="2:2">
      <c r="B483" s="46"/>
    </row>
    <row r="484" spans="2:2">
      <c r="B484" s="46"/>
    </row>
    <row r="485" spans="2:2">
      <c r="B485" s="46"/>
    </row>
    <row r="486" spans="2:2">
      <c r="B486" s="46"/>
    </row>
    <row r="487" spans="2:2">
      <c r="B487" s="46"/>
    </row>
    <row r="488" spans="2:2">
      <c r="B488" s="46"/>
    </row>
    <row r="489" spans="2:2">
      <c r="B489" s="46"/>
    </row>
    <row r="490" spans="2:2">
      <c r="B490" s="46"/>
    </row>
    <row r="491" spans="2:2">
      <c r="B491" s="46"/>
    </row>
    <row r="492" spans="2:2">
      <c r="B492" s="46"/>
    </row>
    <row r="493" spans="2:2">
      <c r="B493" s="46"/>
    </row>
    <row r="494" spans="2:2">
      <c r="B494" s="46"/>
    </row>
    <row r="495" spans="2:2">
      <c r="B495" s="46"/>
    </row>
    <row r="496" spans="2:2">
      <c r="B496" s="46"/>
    </row>
    <row r="497" spans="2:2">
      <c r="B497" s="46"/>
    </row>
    <row r="498" spans="2:2">
      <c r="B498" s="46"/>
    </row>
    <row r="499" spans="2:2">
      <c r="B499" s="46"/>
    </row>
    <row r="500" spans="2:2">
      <c r="B500" s="46"/>
    </row>
    <row r="501" spans="2:2">
      <c r="B501" s="46"/>
    </row>
    <row r="502" spans="2:2">
      <c r="B502" s="46"/>
    </row>
    <row r="503" spans="2:2">
      <c r="B503" s="46"/>
    </row>
    <row r="504" spans="2:2">
      <c r="B504" s="46"/>
    </row>
    <row r="505" spans="2:2">
      <c r="B505" s="46"/>
    </row>
    <row r="506" spans="2:2">
      <c r="B506" s="46"/>
    </row>
    <row r="507" spans="2:2">
      <c r="B507" s="46"/>
    </row>
    <row r="508" spans="2:2">
      <c r="B508" s="46"/>
    </row>
    <row r="509" spans="2:2">
      <c r="B509" s="46"/>
    </row>
    <row r="510" spans="2:2">
      <c r="B510" s="46"/>
    </row>
    <row r="511" spans="2:2">
      <c r="B511" s="46"/>
    </row>
    <row r="512" spans="2:2">
      <c r="B512" s="46"/>
    </row>
    <row r="513" spans="2:2">
      <c r="B513" s="46"/>
    </row>
    <row r="514" spans="2:2">
      <c r="B514" s="52"/>
    </row>
    <row r="515" spans="2:2">
      <c r="B515" s="46"/>
    </row>
    <row r="516" spans="2:2">
      <c r="B516" s="46"/>
    </row>
    <row r="517" spans="2:2">
      <c r="B517" s="46"/>
    </row>
    <row r="518" spans="2:2">
      <c r="B518" s="46"/>
    </row>
    <row r="519" spans="2:2">
      <c r="B519" s="46"/>
    </row>
    <row r="520" spans="2:2">
      <c r="B520" s="46"/>
    </row>
    <row r="521" spans="2:2">
      <c r="B521" s="46"/>
    </row>
    <row r="522" spans="2:2">
      <c r="B522" s="46"/>
    </row>
    <row r="523" spans="2:2">
      <c r="B523" s="46"/>
    </row>
    <row r="524" spans="2:2">
      <c r="B524" s="46"/>
    </row>
    <row r="525" spans="2:2">
      <c r="B525" s="46"/>
    </row>
    <row r="526" spans="2:2">
      <c r="B526" s="46"/>
    </row>
    <row r="527" spans="2:2">
      <c r="B527" s="46"/>
    </row>
    <row r="528" spans="2:2">
      <c r="B528" s="46"/>
    </row>
    <row r="529" spans="2:2">
      <c r="B529" s="46"/>
    </row>
    <row r="530" spans="2:2">
      <c r="B530" s="46"/>
    </row>
    <row r="531" spans="2:2">
      <c r="B531" s="46"/>
    </row>
    <row r="532" spans="2:2">
      <c r="B532" s="46"/>
    </row>
    <row r="533" spans="2:2">
      <c r="B533" s="46"/>
    </row>
    <row r="534" spans="2:2">
      <c r="B534" s="46"/>
    </row>
    <row r="535" spans="2:2">
      <c r="B535" s="52"/>
    </row>
    <row r="536" spans="2:2">
      <c r="B536" s="52"/>
    </row>
    <row r="537" spans="2:2">
      <c r="B537" s="46"/>
    </row>
    <row r="538" spans="2:2">
      <c r="B538" s="46"/>
    </row>
    <row r="539" spans="2:2">
      <c r="B539" s="46"/>
    </row>
    <row r="540" spans="2:2">
      <c r="B540" s="52"/>
    </row>
    <row r="541" spans="2:2">
      <c r="B541" s="52"/>
    </row>
    <row r="542" spans="2:2">
      <c r="B542" s="46"/>
    </row>
    <row r="543" spans="2:2">
      <c r="B543" s="46"/>
    </row>
    <row r="544" spans="2:2">
      <c r="B544" s="46"/>
    </row>
    <row r="545" spans="2:2">
      <c r="B545" s="46"/>
    </row>
    <row r="546" spans="2:2">
      <c r="B546" s="52"/>
    </row>
    <row r="547" spans="2:2">
      <c r="B547" s="52"/>
    </row>
    <row r="548" spans="2:2">
      <c r="B548" s="46"/>
    </row>
    <row r="549" spans="2:2">
      <c r="B549" s="46"/>
    </row>
    <row r="550" spans="2:2">
      <c r="B550" s="46"/>
    </row>
    <row r="551" spans="2:2">
      <c r="B551" s="52"/>
    </row>
    <row r="552" spans="2:2">
      <c r="B552" s="52"/>
    </row>
    <row r="553" spans="2:2">
      <c r="B553" s="46"/>
    </row>
    <row r="554" spans="2:2">
      <c r="B554" s="46"/>
    </row>
    <row r="555" spans="2:2">
      <c r="B555" s="46"/>
    </row>
    <row r="556" spans="2:2">
      <c r="B556" s="17"/>
    </row>
    <row r="557" spans="2:2">
      <c r="B557" s="17"/>
    </row>
    <row r="558" spans="2:2">
      <c r="B558" s="46"/>
    </row>
    <row r="559" spans="2:2">
      <c r="B559" s="46"/>
    </row>
    <row r="560" spans="2:2">
      <c r="B560" s="46"/>
    </row>
    <row r="561" spans="2:2">
      <c r="B561" s="52"/>
    </row>
    <row r="562" spans="2:2">
      <c r="B562" s="46"/>
    </row>
    <row r="563" spans="2:2">
      <c r="B563" s="46"/>
    </row>
    <row r="564" spans="2:2">
      <c r="B564" s="46"/>
    </row>
    <row r="565" spans="2:2">
      <c r="B565" s="46"/>
    </row>
    <row r="566" spans="2:2">
      <c r="B566" s="46"/>
    </row>
  </sheetData>
  <autoFilter ref="A1:T386" xr:uid="{00000000-0001-0000-0000-000000000000}">
    <filterColumn colId="0">
      <filters calendarType="gregorian">
        <dateGroupItem year="2025" month="10" dateTimeGrouping="mon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03"/>
  <sheetViews>
    <sheetView zoomScale="102" zoomScaleNormal="92" workbookViewId="0">
      <selection activeCell="Q1" sqref="Q1:Q1048576"/>
    </sheetView>
  </sheetViews>
  <sheetFormatPr defaultColWidth="9" defaultRowHeight="15.75"/>
  <cols>
    <col min="1" max="1" width="15.7109375" customWidth="1"/>
    <col min="2" max="2" width="16.5703125" customWidth="1"/>
    <col min="3" max="3" width="11.140625" customWidth="1"/>
    <col min="4" max="4" width="27.140625" customWidth="1"/>
    <col min="5" max="5" width="14.85546875" customWidth="1"/>
    <col min="6" max="6" width="13.28515625" bestFit="1" customWidth="1"/>
    <col min="7" max="7" width="18.7109375" style="34" bestFit="1" customWidth="1"/>
    <col min="8" max="8" width="19.42578125" style="34" bestFit="1" customWidth="1"/>
    <col min="9" max="9" width="17.28515625" style="34" bestFit="1" customWidth="1"/>
    <col min="10" max="10" width="16.28515625" style="34" bestFit="1" customWidth="1"/>
    <col min="11" max="11" width="15.85546875" style="34" bestFit="1" customWidth="1"/>
    <col min="12" max="12" width="20" style="34" bestFit="1" customWidth="1"/>
    <col min="13" max="13" width="18.42578125" style="34" bestFit="1" customWidth="1"/>
    <col min="14" max="14" width="17.28515625" style="34" bestFit="1" customWidth="1"/>
    <col min="15" max="15" width="13.28515625" style="154" bestFit="1" customWidth="1"/>
    <col min="16" max="16" width="15.140625" style="34" bestFit="1" customWidth="1"/>
    <col min="17" max="17" width="17.28515625" style="34" bestFit="1" customWidth="1"/>
    <col min="18" max="18" width="15.28515625" style="34" bestFit="1" customWidth="1"/>
    <col min="19" max="19" width="17.140625" style="34" bestFit="1" customWidth="1"/>
    <col min="20" max="20" width="12.28515625" style="12" customWidth="1"/>
    <col min="21" max="21" width="13.140625" style="155" customWidth="1"/>
    <col min="22" max="22" width="16.28515625" style="132" bestFit="1" customWidth="1"/>
    <col min="26" max="26" width="10.7109375" bestFit="1" customWidth="1"/>
    <col min="27" max="27" width="9.42578125" bestFit="1" customWidth="1"/>
    <col min="28" max="28" width="9.7109375" customWidth="1"/>
    <col min="29" max="29" width="10.7109375" bestFit="1" customWidth="1"/>
    <col min="30" max="30" width="9.7109375" bestFit="1" customWidth="1"/>
    <col min="31" max="31" width="12.7109375" bestFit="1" customWidth="1"/>
  </cols>
  <sheetData>
    <row r="1" spans="1:31" ht="56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14" t="s">
        <v>6</v>
      </c>
      <c r="H1" s="114" t="s">
        <v>7</v>
      </c>
      <c r="I1" s="114" t="s">
        <v>8</v>
      </c>
      <c r="J1" s="114" t="s">
        <v>9</v>
      </c>
      <c r="K1" s="114" t="s">
        <v>10</v>
      </c>
      <c r="L1" s="114" t="s">
        <v>11</v>
      </c>
      <c r="M1" s="114" t="s">
        <v>12</v>
      </c>
      <c r="N1" s="114" t="s">
        <v>13</v>
      </c>
      <c r="O1" s="114" t="s">
        <v>14</v>
      </c>
      <c r="P1" s="114" t="s">
        <v>15</v>
      </c>
      <c r="Q1" s="114" t="s">
        <v>16</v>
      </c>
      <c r="R1" s="114" t="s">
        <v>17</v>
      </c>
      <c r="S1" s="115" t="s">
        <v>18</v>
      </c>
      <c r="T1" s="114" t="s">
        <v>19</v>
      </c>
      <c r="U1" s="116" t="s">
        <v>1448</v>
      </c>
      <c r="V1" s="117" t="s">
        <v>2101</v>
      </c>
      <c r="AC1" s="33"/>
      <c r="AD1" s="33"/>
      <c r="AE1" s="33"/>
    </row>
    <row r="2" spans="1:31">
      <c r="A2" s="15" t="s">
        <v>20</v>
      </c>
      <c r="B2" s="8" t="s">
        <v>21</v>
      </c>
      <c r="C2" s="8" t="s">
        <v>22</v>
      </c>
      <c r="D2" s="3" t="s">
        <v>23</v>
      </c>
      <c r="E2" s="23" t="s">
        <v>24</v>
      </c>
      <c r="F2" s="16" t="s">
        <v>25</v>
      </c>
      <c r="G2" s="118">
        <v>252</v>
      </c>
      <c r="H2" s="118">
        <v>18</v>
      </c>
      <c r="I2" s="119" t="s">
        <v>26</v>
      </c>
      <c r="J2" s="119" t="s">
        <v>26</v>
      </c>
      <c r="K2" s="119" t="s">
        <v>26</v>
      </c>
      <c r="L2" s="119" t="s">
        <v>26</v>
      </c>
      <c r="M2" s="119" t="s">
        <v>26</v>
      </c>
      <c r="N2" s="119" t="s">
        <v>26</v>
      </c>
      <c r="O2" s="118">
        <v>2.9</v>
      </c>
      <c r="P2" s="119" t="s">
        <v>26</v>
      </c>
      <c r="Q2" s="118">
        <v>14.5</v>
      </c>
      <c r="R2" s="118">
        <v>2.5</v>
      </c>
      <c r="S2" s="120" t="s">
        <v>26</v>
      </c>
      <c r="T2" s="121" t="s">
        <v>26</v>
      </c>
      <c r="U2" s="122">
        <v>120</v>
      </c>
      <c r="V2" s="89">
        <v>84</v>
      </c>
      <c r="AC2" s="33"/>
      <c r="AD2" s="33"/>
      <c r="AE2" s="33"/>
    </row>
    <row r="3" spans="1:31">
      <c r="A3" s="15" t="s">
        <v>20</v>
      </c>
      <c r="B3" s="8" t="s">
        <v>21</v>
      </c>
      <c r="C3" s="8" t="s">
        <v>22</v>
      </c>
      <c r="D3" s="3" t="s">
        <v>23</v>
      </c>
      <c r="E3" s="23" t="s">
        <v>27</v>
      </c>
      <c r="F3" s="16" t="s">
        <v>28</v>
      </c>
      <c r="G3" s="118">
        <v>140</v>
      </c>
      <c r="H3" s="118">
        <v>12.7</v>
      </c>
      <c r="I3" s="118">
        <v>11.5</v>
      </c>
      <c r="J3" s="119" t="s">
        <v>26</v>
      </c>
      <c r="K3" s="119" t="s">
        <v>26</v>
      </c>
      <c r="L3" s="119" t="s">
        <v>26</v>
      </c>
      <c r="M3" s="118">
        <v>1.5</v>
      </c>
      <c r="N3" s="119" t="s">
        <v>26</v>
      </c>
      <c r="O3" s="118">
        <v>3.1</v>
      </c>
      <c r="P3" s="119" t="s">
        <v>26</v>
      </c>
      <c r="Q3" s="118">
        <v>4.5999999999999996</v>
      </c>
      <c r="R3" s="118">
        <v>1.9</v>
      </c>
      <c r="S3" s="120" t="s">
        <v>26</v>
      </c>
      <c r="T3" s="121" t="s">
        <v>26</v>
      </c>
      <c r="U3" s="123" t="s">
        <v>26</v>
      </c>
      <c r="V3" s="89">
        <v>42</v>
      </c>
      <c r="AC3" s="33"/>
      <c r="AD3" s="33"/>
      <c r="AE3" s="33"/>
    </row>
    <row r="4" spans="1:31">
      <c r="A4" s="15" t="s">
        <v>20</v>
      </c>
      <c r="B4" s="8" t="s">
        <v>21</v>
      </c>
      <c r="C4" s="8" t="s">
        <v>22</v>
      </c>
      <c r="D4" s="3" t="s">
        <v>23</v>
      </c>
      <c r="E4" s="23" t="s">
        <v>29</v>
      </c>
      <c r="F4" s="16" t="s">
        <v>30</v>
      </c>
      <c r="G4" s="118">
        <v>57</v>
      </c>
      <c r="H4" s="119" t="s">
        <v>26</v>
      </c>
      <c r="I4" s="118">
        <v>14</v>
      </c>
      <c r="J4" s="119" t="s">
        <v>26</v>
      </c>
      <c r="K4" s="119" t="s">
        <v>26</v>
      </c>
      <c r="L4" s="119" t="s">
        <v>26</v>
      </c>
      <c r="M4" s="118">
        <v>3</v>
      </c>
      <c r="N4" s="119" t="s">
        <v>26</v>
      </c>
      <c r="O4" s="118">
        <v>7</v>
      </c>
      <c r="P4" s="119" t="s">
        <v>26</v>
      </c>
      <c r="Q4" s="118">
        <v>4.5</v>
      </c>
      <c r="R4" s="118">
        <v>4.0999999999999996</v>
      </c>
      <c r="S4" s="120" t="s">
        <v>26</v>
      </c>
      <c r="T4" s="121" t="s">
        <v>26</v>
      </c>
      <c r="U4" s="124">
        <v>180</v>
      </c>
      <c r="V4" s="89">
        <v>31</v>
      </c>
      <c r="AC4" s="33"/>
      <c r="AD4" s="33"/>
      <c r="AE4" s="33"/>
    </row>
    <row r="5" spans="1:31">
      <c r="A5" s="15" t="s">
        <v>20</v>
      </c>
      <c r="B5" s="8" t="s">
        <v>21</v>
      </c>
      <c r="C5" s="8" t="s">
        <v>22</v>
      </c>
      <c r="D5" s="3" t="s">
        <v>23</v>
      </c>
      <c r="E5" s="23" t="s">
        <v>31</v>
      </c>
      <c r="F5" s="16" t="s">
        <v>32</v>
      </c>
      <c r="G5" s="118">
        <v>15</v>
      </c>
      <c r="H5" s="119" t="s">
        <v>26</v>
      </c>
      <c r="I5" s="118">
        <v>5.0999999999999996</v>
      </c>
      <c r="J5" s="119" t="s">
        <v>26</v>
      </c>
      <c r="K5" s="119" t="s">
        <v>26</v>
      </c>
      <c r="L5" s="119" t="s">
        <v>26</v>
      </c>
      <c r="M5" s="119" t="s">
        <v>26</v>
      </c>
      <c r="N5" s="119" t="s">
        <v>26</v>
      </c>
      <c r="O5" s="125" t="s">
        <v>26</v>
      </c>
      <c r="P5" s="119" t="s">
        <v>26</v>
      </c>
      <c r="Q5" s="119" t="s">
        <v>26</v>
      </c>
      <c r="R5" s="119" t="s">
        <v>26</v>
      </c>
      <c r="S5" s="120" t="s">
        <v>26</v>
      </c>
      <c r="T5" s="121" t="s">
        <v>26</v>
      </c>
      <c r="U5" s="123" t="s">
        <v>26</v>
      </c>
      <c r="V5" s="89">
        <v>13</v>
      </c>
      <c r="AC5" s="33"/>
      <c r="AD5" s="33"/>
      <c r="AE5" s="33"/>
    </row>
    <row r="6" spans="1:31">
      <c r="A6" s="15" t="s">
        <v>20</v>
      </c>
      <c r="B6" s="8" t="s">
        <v>21</v>
      </c>
      <c r="C6" s="8" t="s">
        <v>22</v>
      </c>
      <c r="D6" s="3" t="s">
        <v>33</v>
      </c>
      <c r="E6" s="23" t="s">
        <v>24</v>
      </c>
      <c r="F6" s="16" t="s">
        <v>34</v>
      </c>
      <c r="G6" s="118">
        <v>230</v>
      </c>
      <c r="H6" s="118">
        <v>21.8</v>
      </c>
      <c r="I6" s="119" t="s">
        <v>26</v>
      </c>
      <c r="J6" s="119" t="s">
        <v>26</v>
      </c>
      <c r="K6" s="119" t="s">
        <v>26</v>
      </c>
      <c r="L6" s="119" t="s">
        <v>26</v>
      </c>
      <c r="M6" s="119" t="s">
        <v>26</v>
      </c>
      <c r="N6" s="119" t="s">
        <v>26</v>
      </c>
      <c r="O6" s="118">
        <v>3.6</v>
      </c>
      <c r="P6" s="119" t="s">
        <v>26</v>
      </c>
      <c r="Q6" s="119" t="s">
        <v>26</v>
      </c>
      <c r="R6" s="119" t="s">
        <v>26</v>
      </c>
      <c r="S6" s="120" t="s">
        <v>26</v>
      </c>
      <c r="T6" s="121" t="s">
        <v>26</v>
      </c>
      <c r="U6" s="122">
        <v>120</v>
      </c>
      <c r="V6" s="126" t="s">
        <v>26</v>
      </c>
      <c r="AC6" s="33"/>
      <c r="AD6" s="33"/>
      <c r="AE6" s="33"/>
    </row>
    <row r="7" spans="1:31">
      <c r="A7" s="15" t="s">
        <v>20</v>
      </c>
      <c r="B7" s="8" t="s">
        <v>21</v>
      </c>
      <c r="C7" s="8" t="s">
        <v>22</v>
      </c>
      <c r="D7" s="3" t="s">
        <v>33</v>
      </c>
      <c r="E7" s="23" t="s">
        <v>27</v>
      </c>
      <c r="F7" s="16" t="s">
        <v>35</v>
      </c>
      <c r="G7" s="118">
        <v>105</v>
      </c>
      <c r="H7" s="118">
        <v>35.799999999999997</v>
      </c>
      <c r="I7" s="118">
        <v>4.0999999999999996</v>
      </c>
      <c r="J7" s="119" t="s">
        <v>26</v>
      </c>
      <c r="K7" s="119" t="s">
        <v>26</v>
      </c>
      <c r="L7" s="119" t="s">
        <v>26</v>
      </c>
      <c r="M7" s="119" t="s">
        <v>26</v>
      </c>
      <c r="N7" s="119" t="s">
        <v>26</v>
      </c>
      <c r="O7" s="118">
        <v>3.2</v>
      </c>
      <c r="P7" s="119" t="s">
        <v>26</v>
      </c>
      <c r="Q7" s="119" t="s">
        <v>26</v>
      </c>
      <c r="R7" s="119" t="s">
        <v>26</v>
      </c>
      <c r="S7" s="120" t="s">
        <v>26</v>
      </c>
      <c r="T7" s="121" t="s">
        <v>26</v>
      </c>
      <c r="U7" s="122">
        <v>20</v>
      </c>
      <c r="V7" s="126" t="s">
        <v>26</v>
      </c>
      <c r="AC7" s="33"/>
      <c r="AD7" s="33"/>
      <c r="AE7" s="33"/>
    </row>
    <row r="8" spans="1:31">
      <c r="A8" s="15" t="s">
        <v>20</v>
      </c>
      <c r="B8" s="8" t="s">
        <v>21</v>
      </c>
      <c r="C8" s="8" t="s">
        <v>22</v>
      </c>
      <c r="D8" s="3" t="s">
        <v>33</v>
      </c>
      <c r="E8" s="23" t="s">
        <v>29</v>
      </c>
      <c r="F8" s="16" t="s">
        <v>36</v>
      </c>
      <c r="G8" s="118">
        <v>47</v>
      </c>
      <c r="H8" s="118">
        <v>13.8</v>
      </c>
      <c r="I8" s="118">
        <v>10.9</v>
      </c>
      <c r="J8" s="119" t="s">
        <v>26</v>
      </c>
      <c r="K8" s="119" t="s">
        <v>26</v>
      </c>
      <c r="L8" s="119" t="s">
        <v>26</v>
      </c>
      <c r="M8" s="119" t="s">
        <v>26</v>
      </c>
      <c r="N8" s="119" t="s">
        <v>26</v>
      </c>
      <c r="O8" s="118">
        <v>4</v>
      </c>
      <c r="P8" s="119" t="s">
        <v>26</v>
      </c>
      <c r="Q8" s="118">
        <v>8.1999999999999993</v>
      </c>
      <c r="R8" s="119" t="s">
        <v>26</v>
      </c>
      <c r="S8" s="120" t="s">
        <v>26</v>
      </c>
      <c r="T8" s="121" t="s">
        <v>26</v>
      </c>
      <c r="U8" s="123" t="s">
        <v>26</v>
      </c>
      <c r="V8" s="126" t="s">
        <v>26</v>
      </c>
      <c r="AC8" s="33"/>
      <c r="AD8" s="33"/>
      <c r="AE8" s="33"/>
    </row>
    <row r="9" spans="1:31">
      <c r="A9" s="15" t="s">
        <v>20</v>
      </c>
      <c r="B9" s="8" t="s">
        <v>21</v>
      </c>
      <c r="C9" s="8" t="s">
        <v>22</v>
      </c>
      <c r="D9" s="3" t="s">
        <v>33</v>
      </c>
      <c r="E9" s="23" t="s">
        <v>31</v>
      </c>
      <c r="F9" s="16" t="s">
        <v>37</v>
      </c>
      <c r="G9" s="118">
        <v>13</v>
      </c>
      <c r="H9" s="119" t="s">
        <v>26</v>
      </c>
      <c r="I9" s="119" t="s">
        <v>26</v>
      </c>
      <c r="J9" s="119" t="s">
        <v>26</v>
      </c>
      <c r="K9" s="119" t="s">
        <v>26</v>
      </c>
      <c r="L9" s="119" t="s">
        <v>26</v>
      </c>
      <c r="M9" s="119" t="s">
        <v>26</v>
      </c>
      <c r="N9" s="119" t="s">
        <v>26</v>
      </c>
      <c r="O9" s="118">
        <v>6.1</v>
      </c>
      <c r="P9" s="119" t="s">
        <v>26</v>
      </c>
      <c r="Q9" s="118">
        <v>6.6</v>
      </c>
      <c r="R9" s="119" t="s">
        <v>26</v>
      </c>
      <c r="S9" s="120" t="s">
        <v>26</v>
      </c>
      <c r="T9" s="121" t="s">
        <v>26</v>
      </c>
      <c r="U9" s="123" t="s">
        <v>26</v>
      </c>
      <c r="V9" s="126" t="s">
        <v>26</v>
      </c>
      <c r="AC9" s="33"/>
      <c r="AD9" s="33"/>
      <c r="AE9" s="33"/>
    </row>
    <row r="10" spans="1:31">
      <c r="A10" s="15" t="s">
        <v>38</v>
      </c>
      <c r="B10" s="8" t="s">
        <v>39</v>
      </c>
      <c r="C10" s="8" t="s">
        <v>22</v>
      </c>
      <c r="D10" s="3" t="s">
        <v>33</v>
      </c>
      <c r="E10" s="23" t="s">
        <v>24</v>
      </c>
      <c r="F10" s="16" t="s">
        <v>40</v>
      </c>
      <c r="G10" s="118">
        <v>234</v>
      </c>
      <c r="H10" s="118">
        <v>16.5</v>
      </c>
      <c r="I10" s="119" t="s">
        <v>26</v>
      </c>
      <c r="J10" s="119" t="s">
        <v>26</v>
      </c>
      <c r="K10" s="119" t="s">
        <v>26</v>
      </c>
      <c r="L10" s="119" t="s">
        <v>26</v>
      </c>
      <c r="M10" s="118">
        <v>0.9</v>
      </c>
      <c r="N10" s="118">
        <v>0.4</v>
      </c>
      <c r="O10" s="118">
        <v>0.4</v>
      </c>
      <c r="P10" s="119" t="s">
        <v>26</v>
      </c>
      <c r="Q10" s="118">
        <v>5.0999999999999996</v>
      </c>
      <c r="R10" s="118">
        <v>1.4</v>
      </c>
      <c r="S10" s="127">
        <v>3.5</v>
      </c>
      <c r="T10" s="128">
        <v>1</v>
      </c>
      <c r="U10" s="122">
        <v>108</v>
      </c>
      <c r="V10" s="89">
        <v>49</v>
      </c>
      <c r="AC10" s="33"/>
      <c r="AD10" s="33"/>
      <c r="AE10" s="12"/>
    </row>
    <row r="11" spans="1:31">
      <c r="A11" s="15" t="s">
        <v>38</v>
      </c>
      <c r="B11" s="8" t="s">
        <v>39</v>
      </c>
      <c r="C11" s="8" t="s">
        <v>22</v>
      </c>
      <c r="D11" s="3" t="s">
        <v>33</v>
      </c>
      <c r="E11" s="23" t="s">
        <v>27</v>
      </c>
      <c r="F11" s="16" t="s">
        <v>41</v>
      </c>
      <c r="G11" s="118">
        <v>115</v>
      </c>
      <c r="H11" s="118">
        <v>17.5</v>
      </c>
      <c r="I11" s="118">
        <v>2.5</v>
      </c>
      <c r="J11" s="119" t="s">
        <v>26</v>
      </c>
      <c r="K11" s="119" t="s">
        <v>26</v>
      </c>
      <c r="L11" s="119" t="s">
        <v>26</v>
      </c>
      <c r="M11" s="119" t="s">
        <v>26</v>
      </c>
      <c r="N11" s="119" t="s">
        <v>26</v>
      </c>
      <c r="O11" s="118">
        <v>1.2</v>
      </c>
      <c r="P11" s="119" t="s">
        <v>26</v>
      </c>
      <c r="Q11" s="118">
        <v>5.9</v>
      </c>
      <c r="R11" s="118">
        <v>0.9</v>
      </c>
      <c r="S11" s="127">
        <v>9</v>
      </c>
      <c r="T11" s="121" t="s">
        <v>26</v>
      </c>
      <c r="U11" s="122">
        <v>36</v>
      </c>
      <c r="V11" s="89">
        <v>21</v>
      </c>
      <c r="AC11" s="33"/>
      <c r="AD11" s="33"/>
      <c r="AE11" s="12"/>
    </row>
    <row r="12" spans="1:31">
      <c r="A12" s="15" t="s">
        <v>38</v>
      </c>
      <c r="B12" s="8" t="s">
        <v>39</v>
      </c>
      <c r="C12" s="8" t="s">
        <v>22</v>
      </c>
      <c r="D12" s="3" t="s">
        <v>33</v>
      </c>
      <c r="E12" s="23" t="s">
        <v>29</v>
      </c>
      <c r="F12" s="16" t="s">
        <v>1234</v>
      </c>
      <c r="G12" s="118">
        <v>62</v>
      </c>
      <c r="H12" s="118">
        <v>3.5</v>
      </c>
      <c r="I12" s="118">
        <v>30.5</v>
      </c>
      <c r="J12" s="118">
        <v>1.9</v>
      </c>
      <c r="K12" s="119" t="s">
        <v>26</v>
      </c>
      <c r="L12" s="118">
        <v>0.5</v>
      </c>
      <c r="M12" s="118">
        <v>0.7</v>
      </c>
      <c r="N12" s="119" t="s">
        <v>26</v>
      </c>
      <c r="O12" s="118">
        <v>1.1000000000000001</v>
      </c>
      <c r="P12" s="119" t="s">
        <v>26</v>
      </c>
      <c r="Q12" s="118">
        <v>4.5</v>
      </c>
      <c r="R12" s="119" t="s">
        <v>26</v>
      </c>
      <c r="S12" s="127">
        <v>15.5</v>
      </c>
      <c r="T12" s="121" t="s">
        <v>26</v>
      </c>
      <c r="U12" s="129">
        <v>20</v>
      </c>
      <c r="V12" s="89">
        <v>54</v>
      </c>
      <c r="AC12" s="33"/>
      <c r="AD12" s="33"/>
      <c r="AE12" s="12"/>
    </row>
    <row r="13" spans="1:31">
      <c r="A13" s="15" t="s">
        <v>38</v>
      </c>
      <c r="B13" s="8" t="s">
        <v>39</v>
      </c>
      <c r="C13" s="8" t="s">
        <v>22</v>
      </c>
      <c r="D13" s="3" t="s">
        <v>33</v>
      </c>
      <c r="E13" s="23" t="s">
        <v>31</v>
      </c>
      <c r="F13" s="16" t="s">
        <v>42</v>
      </c>
      <c r="G13" s="118">
        <v>16</v>
      </c>
      <c r="H13" s="119" t="s">
        <v>26</v>
      </c>
      <c r="I13" s="118">
        <v>6.5</v>
      </c>
      <c r="J13" s="118">
        <v>9</v>
      </c>
      <c r="K13" s="119" t="s">
        <v>26</v>
      </c>
      <c r="L13" s="119" t="s">
        <v>26</v>
      </c>
      <c r="M13" s="119" t="s">
        <v>26</v>
      </c>
      <c r="N13" s="119" t="s">
        <v>26</v>
      </c>
      <c r="O13" s="118">
        <v>0.8</v>
      </c>
      <c r="P13" s="119" t="s">
        <v>26</v>
      </c>
      <c r="Q13" s="119" t="s">
        <v>26</v>
      </c>
      <c r="R13" s="119" t="s">
        <v>26</v>
      </c>
      <c r="S13" s="127">
        <v>20.5</v>
      </c>
      <c r="T13" s="121" t="s">
        <v>26</v>
      </c>
      <c r="U13" s="122">
        <v>127</v>
      </c>
      <c r="V13" s="89">
        <v>44</v>
      </c>
      <c r="AC13" s="33"/>
      <c r="AD13" s="33"/>
      <c r="AE13" s="12"/>
    </row>
    <row r="14" spans="1:31">
      <c r="A14" s="15" t="s">
        <v>38</v>
      </c>
      <c r="B14" s="8" t="s">
        <v>39</v>
      </c>
      <c r="C14" s="8" t="s">
        <v>22</v>
      </c>
      <c r="D14" s="3" t="s">
        <v>23</v>
      </c>
      <c r="E14" s="23" t="s">
        <v>24</v>
      </c>
      <c r="F14" s="16" t="s">
        <v>43</v>
      </c>
      <c r="G14" s="118">
        <v>236</v>
      </c>
      <c r="H14" s="118">
        <v>15.9</v>
      </c>
      <c r="I14" s="119" t="s">
        <v>26</v>
      </c>
      <c r="J14" s="119" t="s">
        <v>26</v>
      </c>
      <c r="K14" s="119" t="s">
        <v>26</v>
      </c>
      <c r="L14" s="119" t="s">
        <v>26</v>
      </c>
      <c r="M14" s="119" t="s">
        <v>26</v>
      </c>
      <c r="N14" s="118">
        <v>0.3</v>
      </c>
      <c r="O14" s="125" t="s">
        <v>26</v>
      </c>
      <c r="P14" s="119" t="s">
        <v>26</v>
      </c>
      <c r="Q14" s="118">
        <v>4.5</v>
      </c>
      <c r="R14" s="119" t="s">
        <v>26</v>
      </c>
      <c r="S14" s="127">
        <v>4.2</v>
      </c>
      <c r="T14" s="121" t="s">
        <v>26</v>
      </c>
      <c r="U14" s="122">
        <v>306</v>
      </c>
      <c r="V14" s="126" t="s">
        <v>26</v>
      </c>
      <c r="AC14" s="33"/>
      <c r="AD14" s="33"/>
      <c r="AE14" s="12"/>
    </row>
    <row r="15" spans="1:31">
      <c r="A15" s="15" t="s">
        <v>38</v>
      </c>
      <c r="B15" s="8" t="s">
        <v>39</v>
      </c>
      <c r="C15" s="8" t="s">
        <v>22</v>
      </c>
      <c r="D15" s="3" t="s">
        <v>23</v>
      </c>
      <c r="E15" s="23" t="s">
        <v>27</v>
      </c>
      <c r="F15" s="16" t="s">
        <v>44</v>
      </c>
      <c r="G15" s="118">
        <v>116</v>
      </c>
      <c r="H15" s="118">
        <v>18</v>
      </c>
      <c r="I15" s="118">
        <v>2.1</v>
      </c>
      <c r="J15" s="118">
        <v>0.6</v>
      </c>
      <c r="K15" s="119" t="s">
        <v>26</v>
      </c>
      <c r="L15" s="119" t="s">
        <v>26</v>
      </c>
      <c r="M15" s="119" t="s">
        <v>26</v>
      </c>
      <c r="N15" s="119" t="s">
        <v>26</v>
      </c>
      <c r="O15" s="118">
        <v>0.6</v>
      </c>
      <c r="P15" s="119" t="s">
        <v>26</v>
      </c>
      <c r="Q15" s="118">
        <v>5.6</v>
      </c>
      <c r="R15" s="119" t="s">
        <v>26</v>
      </c>
      <c r="S15" s="120" t="s">
        <v>26</v>
      </c>
      <c r="T15" s="121" t="s">
        <v>26</v>
      </c>
      <c r="U15" s="124">
        <v>36</v>
      </c>
      <c r="V15" s="126" t="s">
        <v>26</v>
      </c>
      <c r="AC15" s="33"/>
      <c r="AD15" s="33"/>
      <c r="AE15" s="12"/>
    </row>
    <row r="16" spans="1:31">
      <c r="A16" s="15" t="s">
        <v>38</v>
      </c>
      <c r="B16" s="8" t="s">
        <v>39</v>
      </c>
      <c r="C16" s="8" t="s">
        <v>22</v>
      </c>
      <c r="D16" s="3" t="s">
        <v>23</v>
      </c>
      <c r="E16" s="23" t="s">
        <v>29</v>
      </c>
      <c r="F16" s="16" t="s">
        <v>1196</v>
      </c>
      <c r="G16" s="118">
        <v>48</v>
      </c>
      <c r="H16" s="118">
        <v>4.5</v>
      </c>
      <c r="I16" s="118">
        <v>6.1</v>
      </c>
      <c r="J16" s="118">
        <v>1.86</v>
      </c>
      <c r="K16" s="119" t="s">
        <v>26</v>
      </c>
      <c r="L16" s="119" t="s">
        <v>26</v>
      </c>
      <c r="M16" s="119" t="s">
        <v>26</v>
      </c>
      <c r="N16" s="119" t="s">
        <v>26</v>
      </c>
      <c r="O16" s="118">
        <v>0.5</v>
      </c>
      <c r="P16" s="119" t="s">
        <v>26</v>
      </c>
      <c r="Q16" s="118">
        <v>3.9</v>
      </c>
      <c r="R16" s="119" t="s">
        <v>26</v>
      </c>
      <c r="S16" s="127">
        <v>27.5</v>
      </c>
      <c r="T16" s="121" t="s">
        <v>26</v>
      </c>
      <c r="U16" s="124">
        <v>40</v>
      </c>
      <c r="V16" s="126" t="s">
        <v>26</v>
      </c>
      <c r="AC16" s="33"/>
      <c r="AD16" s="33"/>
      <c r="AE16" s="12"/>
    </row>
    <row r="17" spans="1:31">
      <c r="A17" s="15" t="s">
        <v>38</v>
      </c>
      <c r="B17" s="8" t="s">
        <v>39</v>
      </c>
      <c r="C17" s="8" t="s">
        <v>22</v>
      </c>
      <c r="D17" s="3" t="s">
        <v>23</v>
      </c>
      <c r="E17" s="23" t="s">
        <v>31</v>
      </c>
      <c r="F17" s="16" t="s">
        <v>45</v>
      </c>
      <c r="G17" s="118">
        <v>17</v>
      </c>
      <c r="H17" s="119" t="s">
        <v>26</v>
      </c>
      <c r="I17" s="118">
        <v>7.2</v>
      </c>
      <c r="J17" s="118">
        <v>15.7</v>
      </c>
      <c r="K17" s="119" t="s">
        <v>26</v>
      </c>
      <c r="L17" s="119" t="s">
        <v>26</v>
      </c>
      <c r="M17" s="119" t="s">
        <v>26</v>
      </c>
      <c r="N17" s="119" t="s">
        <v>26</v>
      </c>
      <c r="O17" s="125" t="s">
        <v>26</v>
      </c>
      <c r="P17" s="119" t="s">
        <v>26</v>
      </c>
      <c r="Q17" s="119" t="s">
        <v>26</v>
      </c>
      <c r="R17" s="119" t="s">
        <v>26</v>
      </c>
      <c r="S17" s="127">
        <v>29.5</v>
      </c>
      <c r="T17" s="121" t="s">
        <v>26</v>
      </c>
      <c r="U17" s="124">
        <v>540</v>
      </c>
      <c r="V17" s="126" t="s">
        <v>26</v>
      </c>
      <c r="AC17" s="33"/>
      <c r="AD17" s="33"/>
      <c r="AE17" s="12"/>
    </row>
    <row r="18" spans="1:31">
      <c r="A18" s="15" t="s">
        <v>46</v>
      </c>
      <c r="B18" s="8" t="s">
        <v>47</v>
      </c>
      <c r="C18" s="8" t="s">
        <v>22</v>
      </c>
      <c r="D18" s="3" t="s">
        <v>23</v>
      </c>
      <c r="E18" s="23" t="s">
        <v>24</v>
      </c>
      <c r="F18" s="16" t="s">
        <v>48</v>
      </c>
      <c r="G18" s="118">
        <v>235</v>
      </c>
      <c r="H18" s="118">
        <v>10.5</v>
      </c>
      <c r="I18" s="119" t="s">
        <v>26</v>
      </c>
      <c r="J18" s="119" t="s">
        <v>26</v>
      </c>
      <c r="K18" s="119" t="s">
        <v>26</v>
      </c>
      <c r="L18" s="119" t="s">
        <v>26</v>
      </c>
      <c r="M18" s="118">
        <v>2.6</v>
      </c>
      <c r="N18" s="119" t="s">
        <v>26</v>
      </c>
      <c r="O18" s="118">
        <v>1</v>
      </c>
      <c r="P18" s="119" t="s">
        <v>26</v>
      </c>
      <c r="Q18" s="118">
        <v>2.2000000000000002</v>
      </c>
      <c r="R18" s="118">
        <v>1.2</v>
      </c>
      <c r="S18" s="127">
        <v>1.8</v>
      </c>
      <c r="T18" s="121" t="s">
        <v>26</v>
      </c>
      <c r="U18" s="122">
        <v>512</v>
      </c>
      <c r="V18" s="89">
        <v>75</v>
      </c>
      <c r="AC18" s="33"/>
      <c r="AD18" s="33"/>
      <c r="AE18" s="12"/>
    </row>
    <row r="19" spans="1:31">
      <c r="A19" s="15" t="s">
        <v>46</v>
      </c>
      <c r="B19" s="8" t="s">
        <v>47</v>
      </c>
      <c r="C19" s="8" t="s">
        <v>22</v>
      </c>
      <c r="D19" s="3" t="s">
        <v>23</v>
      </c>
      <c r="E19" s="23" t="s">
        <v>27</v>
      </c>
      <c r="F19" s="16" t="s">
        <v>49</v>
      </c>
      <c r="G19" s="118">
        <v>106</v>
      </c>
      <c r="H19" s="118">
        <v>29.6</v>
      </c>
      <c r="I19" s="118">
        <v>2.4</v>
      </c>
      <c r="J19" s="119" t="s">
        <v>26</v>
      </c>
      <c r="K19" s="119" t="s">
        <v>26</v>
      </c>
      <c r="L19" s="119" t="s">
        <v>26</v>
      </c>
      <c r="M19" s="118">
        <v>3.5</v>
      </c>
      <c r="N19" s="119" t="s">
        <v>26</v>
      </c>
      <c r="O19" s="118">
        <v>2.2000000000000002</v>
      </c>
      <c r="P19" s="119" t="s">
        <v>26</v>
      </c>
      <c r="Q19" s="119" t="s">
        <v>26</v>
      </c>
      <c r="R19" s="118">
        <v>1.8</v>
      </c>
      <c r="S19" s="127">
        <v>2.6</v>
      </c>
      <c r="T19" s="128">
        <v>1</v>
      </c>
      <c r="U19" s="122">
        <v>256</v>
      </c>
      <c r="V19" s="89">
        <v>24</v>
      </c>
      <c r="AC19" s="33"/>
      <c r="AD19" s="33"/>
      <c r="AE19" s="33"/>
    </row>
    <row r="20" spans="1:31">
      <c r="A20" s="15" t="s">
        <v>46</v>
      </c>
      <c r="B20" s="8" t="s">
        <v>47</v>
      </c>
      <c r="C20" s="8" t="s">
        <v>22</v>
      </c>
      <c r="D20" s="3" t="s">
        <v>23</v>
      </c>
      <c r="E20" s="23" t="s">
        <v>29</v>
      </c>
      <c r="F20" s="16" t="s">
        <v>50</v>
      </c>
      <c r="G20" s="118">
        <v>53</v>
      </c>
      <c r="H20" s="118">
        <v>4.8</v>
      </c>
      <c r="I20" s="118">
        <v>17.600000000000001</v>
      </c>
      <c r="J20" s="118">
        <v>1.3</v>
      </c>
      <c r="K20" s="119" t="s">
        <v>26</v>
      </c>
      <c r="L20" s="119" t="s">
        <v>26</v>
      </c>
      <c r="M20" s="118">
        <v>6.5</v>
      </c>
      <c r="N20" s="119" t="s">
        <v>26</v>
      </c>
      <c r="O20" s="118">
        <v>4.0999999999999996</v>
      </c>
      <c r="P20" s="119" t="s">
        <v>26</v>
      </c>
      <c r="Q20" s="119" t="s">
        <v>26</v>
      </c>
      <c r="R20" s="119" t="s">
        <v>26</v>
      </c>
      <c r="S20" s="127">
        <v>7.8</v>
      </c>
      <c r="T20" s="121" t="s">
        <v>26</v>
      </c>
      <c r="U20" s="122">
        <v>140</v>
      </c>
      <c r="V20" s="89">
        <v>49</v>
      </c>
      <c r="AC20" s="33"/>
      <c r="AD20" s="33"/>
      <c r="AE20" s="33"/>
    </row>
    <row r="21" spans="1:31">
      <c r="A21" s="15" t="s">
        <v>46</v>
      </c>
      <c r="B21" s="8" t="s">
        <v>47</v>
      </c>
      <c r="C21" s="8" t="s">
        <v>22</v>
      </c>
      <c r="D21" s="3" t="s">
        <v>23</v>
      </c>
      <c r="E21" s="23" t="s">
        <v>31</v>
      </c>
      <c r="F21" s="16" t="s">
        <v>51</v>
      </c>
      <c r="G21" s="118">
        <v>19</v>
      </c>
      <c r="H21" s="119" t="s">
        <v>26</v>
      </c>
      <c r="I21" s="118">
        <v>21.5</v>
      </c>
      <c r="J21" s="118">
        <v>4.2</v>
      </c>
      <c r="K21" s="119" t="s">
        <v>26</v>
      </c>
      <c r="L21" s="119" t="s">
        <v>26</v>
      </c>
      <c r="M21" s="119" t="s">
        <v>26</v>
      </c>
      <c r="N21" s="119" t="s">
        <v>26</v>
      </c>
      <c r="O21" s="118">
        <v>3.8</v>
      </c>
      <c r="P21" s="119" t="s">
        <v>26</v>
      </c>
      <c r="Q21" s="119" t="s">
        <v>26</v>
      </c>
      <c r="R21" s="119" t="s">
        <v>26</v>
      </c>
      <c r="S21" s="127">
        <v>11.4</v>
      </c>
      <c r="T21" s="121" t="s">
        <v>26</v>
      </c>
      <c r="U21" s="122">
        <v>694</v>
      </c>
      <c r="V21" s="89">
        <v>12</v>
      </c>
      <c r="AC21" s="33"/>
      <c r="AD21" s="33"/>
      <c r="AE21" s="33"/>
    </row>
    <row r="22" spans="1:31">
      <c r="A22" s="15" t="s">
        <v>52</v>
      </c>
      <c r="B22" s="8" t="s">
        <v>53</v>
      </c>
      <c r="C22" s="8" t="s">
        <v>22</v>
      </c>
      <c r="D22" s="3" t="s">
        <v>54</v>
      </c>
      <c r="E22" s="23" t="s">
        <v>27</v>
      </c>
      <c r="F22" s="16" t="s">
        <v>55</v>
      </c>
      <c r="G22" s="118">
        <v>100</v>
      </c>
      <c r="H22" s="118">
        <v>10.7</v>
      </c>
      <c r="I22" s="118">
        <v>13.4</v>
      </c>
      <c r="J22" s="118">
        <v>0.6</v>
      </c>
      <c r="K22" s="119" t="s">
        <v>26</v>
      </c>
      <c r="L22" s="118">
        <v>0.6</v>
      </c>
      <c r="M22" s="119" t="s">
        <v>26</v>
      </c>
      <c r="N22" s="119" t="s">
        <v>26</v>
      </c>
      <c r="O22" s="118">
        <v>3.9</v>
      </c>
      <c r="P22" s="119" t="s">
        <v>26</v>
      </c>
      <c r="Q22" s="118">
        <v>4.2</v>
      </c>
      <c r="R22" s="118">
        <v>1.6</v>
      </c>
      <c r="S22" s="127">
        <v>4.2</v>
      </c>
      <c r="T22" s="121" t="s">
        <v>26</v>
      </c>
      <c r="U22" s="122">
        <v>532</v>
      </c>
      <c r="V22" s="89">
        <v>241</v>
      </c>
      <c r="AC22" s="33"/>
      <c r="AD22" s="33"/>
      <c r="AE22" s="33"/>
    </row>
    <row r="23" spans="1:31">
      <c r="A23" s="15" t="s">
        <v>52</v>
      </c>
      <c r="B23" s="8" t="s">
        <v>53</v>
      </c>
      <c r="C23" s="8" t="s">
        <v>22</v>
      </c>
      <c r="D23" s="3" t="s">
        <v>54</v>
      </c>
      <c r="E23" s="23" t="s">
        <v>29</v>
      </c>
      <c r="F23" s="16" t="s">
        <v>56</v>
      </c>
      <c r="G23" s="118">
        <v>47</v>
      </c>
      <c r="H23" s="118">
        <v>11.4</v>
      </c>
      <c r="I23" s="118">
        <v>13.6</v>
      </c>
      <c r="J23" s="118">
        <v>3.94</v>
      </c>
      <c r="K23" s="119" t="s">
        <v>26</v>
      </c>
      <c r="L23" s="119" t="s">
        <v>26</v>
      </c>
      <c r="M23" s="119" t="s">
        <v>26</v>
      </c>
      <c r="N23" s="119" t="s">
        <v>26</v>
      </c>
      <c r="O23" s="118">
        <v>4.8</v>
      </c>
      <c r="P23" s="119" t="s">
        <v>26</v>
      </c>
      <c r="Q23" s="119" t="s">
        <v>26</v>
      </c>
      <c r="R23" s="119" t="s">
        <v>26</v>
      </c>
      <c r="S23" s="127">
        <v>4.5</v>
      </c>
      <c r="T23" s="121" t="s">
        <v>26</v>
      </c>
      <c r="U23" s="129">
        <v>4286</v>
      </c>
      <c r="V23" s="89">
        <v>258</v>
      </c>
      <c r="AC23" s="33"/>
      <c r="AD23" s="33"/>
      <c r="AE23" s="33"/>
    </row>
    <row r="24" spans="1:31">
      <c r="A24" s="15" t="s">
        <v>52</v>
      </c>
      <c r="B24" s="8" t="s">
        <v>53</v>
      </c>
      <c r="C24" s="8" t="s">
        <v>22</v>
      </c>
      <c r="D24" s="3" t="s">
        <v>54</v>
      </c>
      <c r="E24" s="23" t="s">
        <v>31</v>
      </c>
      <c r="F24" s="16" t="s">
        <v>57</v>
      </c>
      <c r="G24" s="118">
        <v>13</v>
      </c>
      <c r="H24" s="119" t="s">
        <v>26</v>
      </c>
      <c r="I24" s="118">
        <v>4.5</v>
      </c>
      <c r="J24" s="118">
        <v>16.34</v>
      </c>
      <c r="K24" s="119" t="s">
        <v>26</v>
      </c>
      <c r="L24" s="119" t="s">
        <v>26</v>
      </c>
      <c r="M24" s="119" t="s">
        <v>26</v>
      </c>
      <c r="N24" s="119" t="s">
        <v>26</v>
      </c>
      <c r="O24" s="118">
        <v>4.0999999999999996</v>
      </c>
      <c r="P24" s="119" t="s">
        <v>26</v>
      </c>
      <c r="Q24" s="119" t="s">
        <v>26</v>
      </c>
      <c r="R24" s="118">
        <v>2.7</v>
      </c>
      <c r="S24" s="127">
        <v>5.8</v>
      </c>
      <c r="T24" s="121" t="s">
        <v>26</v>
      </c>
      <c r="U24" s="129">
        <v>1400</v>
      </c>
      <c r="V24" s="89">
        <v>100</v>
      </c>
      <c r="AC24" s="33"/>
      <c r="AD24" s="33"/>
      <c r="AE24" s="33"/>
    </row>
    <row r="25" spans="1:31">
      <c r="A25" s="15" t="s">
        <v>58</v>
      </c>
      <c r="B25" s="8" t="s">
        <v>59</v>
      </c>
      <c r="C25" s="8" t="s">
        <v>22</v>
      </c>
      <c r="D25" s="3" t="s">
        <v>54</v>
      </c>
      <c r="E25" s="23" t="s">
        <v>27</v>
      </c>
      <c r="F25" s="16" t="s">
        <v>60</v>
      </c>
      <c r="G25" s="118">
        <v>109</v>
      </c>
      <c r="H25" s="118">
        <v>44</v>
      </c>
      <c r="I25" s="118">
        <v>4.8</v>
      </c>
      <c r="J25" s="118">
        <v>1.8</v>
      </c>
      <c r="K25" s="119" t="s">
        <v>26</v>
      </c>
      <c r="L25" s="118">
        <v>1.8</v>
      </c>
      <c r="M25" s="118">
        <v>0.8</v>
      </c>
      <c r="N25" s="119" t="s">
        <v>26</v>
      </c>
      <c r="O25" s="118">
        <v>3.9</v>
      </c>
      <c r="P25" s="119" t="s">
        <v>26</v>
      </c>
      <c r="Q25" s="118">
        <v>2.1</v>
      </c>
      <c r="R25" s="118">
        <v>18.899999999999999</v>
      </c>
      <c r="S25" s="120" t="s">
        <v>26</v>
      </c>
      <c r="T25" s="128">
        <v>8</v>
      </c>
      <c r="U25" s="129">
        <v>2487</v>
      </c>
      <c r="V25" s="126" t="s">
        <v>26</v>
      </c>
      <c r="AC25" s="33"/>
      <c r="AD25" s="33"/>
      <c r="AE25" s="33"/>
    </row>
    <row r="26" spans="1:31">
      <c r="A26" s="15" t="s">
        <v>58</v>
      </c>
      <c r="B26" s="8" t="s">
        <v>59</v>
      </c>
      <c r="C26" s="8" t="s">
        <v>22</v>
      </c>
      <c r="D26" s="3" t="s">
        <v>54</v>
      </c>
      <c r="E26" s="23" t="s">
        <v>29</v>
      </c>
      <c r="F26" s="16" t="s">
        <v>61</v>
      </c>
      <c r="G26" s="118">
        <v>42</v>
      </c>
      <c r="H26" s="118">
        <v>27.3</v>
      </c>
      <c r="I26" s="118">
        <v>15.4</v>
      </c>
      <c r="J26" s="118">
        <v>17.7</v>
      </c>
      <c r="K26" s="119" t="s">
        <v>26</v>
      </c>
      <c r="L26" s="119" t="s">
        <v>26</v>
      </c>
      <c r="M26" s="119" t="s">
        <v>26</v>
      </c>
      <c r="N26" s="119" t="s">
        <v>26</v>
      </c>
      <c r="O26" s="118">
        <v>5.7</v>
      </c>
      <c r="P26" s="119" t="s">
        <v>26</v>
      </c>
      <c r="Q26" s="118">
        <v>13.2</v>
      </c>
      <c r="R26" s="118">
        <v>4.5</v>
      </c>
      <c r="S26" s="127">
        <v>5.0999999999999996</v>
      </c>
      <c r="T26" s="121" t="s">
        <v>26</v>
      </c>
      <c r="U26" s="129">
        <v>4249</v>
      </c>
      <c r="V26" s="126" t="s">
        <v>26</v>
      </c>
      <c r="AC26" s="33"/>
      <c r="AD26" s="33"/>
      <c r="AE26" s="33"/>
    </row>
    <row r="27" spans="1:31">
      <c r="A27" s="15" t="s">
        <v>58</v>
      </c>
      <c r="B27" s="8" t="s">
        <v>59</v>
      </c>
      <c r="C27" s="8" t="s">
        <v>22</v>
      </c>
      <c r="D27" s="3" t="s">
        <v>54</v>
      </c>
      <c r="E27" s="23" t="s">
        <v>31</v>
      </c>
      <c r="F27" s="16" t="s">
        <v>62</v>
      </c>
      <c r="G27" s="118">
        <v>20</v>
      </c>
      <c r="H27" s="118">
        <v>9.6</v>
      </c>
      <c r="I27" s="118">
        <v>5.2</v>
      </c>
      <c r="J27" s="118">
        <v>24.8</v>
      </c>
      <c r="K27" s="119" t="s">
        <v>26</v>
      </c>
      <c r="L27" s="119" t="s">
        <v>26</v>
      </c>
      <c r="M27" s="119" t="s">
        <v>26</v>
      </c>
      <c r="N27" s="119" t="s">
        <v>26</v>
      </c>
      <c r="O27" s="118">
        <v>4.2</v>
      </c>
      <c r="P27" s="119" t="s">
        <v>26</v>
      </c>
      <c r="Q27" s="119" t="s">
        <v>26</v>
      </c>
      <c r="R27" s="119" t="s">
        <v>26</v>
      </c>
      <c r="S27" s="120" t="s">
        <v>26</v>
      </c>
      <c r="T27" s="121" t="s">
        <v>26</v>
      </c>
      <c r="U27" s="129">
        <v>1014</v>
      </c>
      <c r="V27" s="126" t="s">
        <v>26</v>
      </c>
      <c r="AC27" s="33"/>
      <c r="AD27" s="33"/>
      <c r="AE27" s="33"/>
    </row>
    <row r="28" spans="1:31">
      <c r="A28" s="15" t="s">
        <v>58</v>
      </c>
      <c r="B28" s="8" t="s">
        <v>63</v>
      </c>
      <c r="C28" s="8" t="s">
        <v>22</v>
      </c>
      <c r="D28" s="3" t="s">
        <v>23</v>
      </c>
      <c r="E28" s="23" t="s">
        <v>24</v>
      </c>
      <c r="F28" s="16" t="s">
        <v>64</v>
      </c>
      <c r="G28" s="118">
        <v>245</v>
      </c>
      <c r="H28" s="118">
        <v>9.8000000000000007</v>
      </c>
      <c r="I28" s="119" t="s">
        <v>26</v>
      </c>
      <c r="J28" s="119" t="s">
        <v>26</v>
      </c>
      <c r="K28" s="119" t="s">
        <v>26</v>
      </c>
      <c r="L28" s="119" t="s">
        <v>26</v>
      </c>
      <c r="M28" s="119" t="s">
        <v>26</v>
      </c>
      <c r="N28" s="119" t="s">
        <v>26</v>
      </c>
      <c r="O28" s="118">
        <v>4.8</v>
      </c>
      <c r="P28" s="119" t="s">
        <v>26</v>
      </c>
      <c r="Q28" s="118">
        <v>4.7</v>
      </c>
      <c r="R28" s="118">
        <v>0.8</v>
      </c>
      <c r="S28" s="120" t="s">
        <v>26</v>
      </c>
      <c r="T28" s="121" t="s">
        <v>26</v>
      </c>
      <c r="U28" s="124">
        <v>480</v>
      </c>
      <c r="V28" s="126" t="s">
        <v>26</v>
      </c>
      <c r="AC28" s="33"/>
      <c r="AD28" s="33"/>
      <c r="AE28" s="33"/>
    </row>
    <row r="29" spans="1:31">
      <c r="A29" s="15" t="s">
        <v>58</v>
      </c>
      <c r="B29" s="8" t="s">
        <v>63</v>
      </c>
      <c r="C29" s="8" t="s">
        <v>22</v>
      </c>
      <c r="D29" s="3" t="s">
        <v>23</v>
      </c>
      <c r="E29" s="23" t="s">
        <v>27</v>
      </c>
      <c r="F29" s="16" t="s">
        <v>65</v>
      </c>
      <c r="G29" s="118">
        <v>118</v>
      </c>
      <c r="H29" s="118">
        <v>16.399999999999999</v>
      </c>
      <c r="I29" s="118">
        <v>15.8</v>
      </c>
      <c r="J29" s="119" t="s">
        <v>26</v>
      </c>
      <c r="K29" s="119" t="s">
        <v>26</v>
      </c>
      <c r="L29" s="119" t="s">
        <v>26</v>
      </c>
      <c r="M29" s="119" t="s">
        <v>26</v>
      </c>
      <c r="N29" s="119" t="s">
        <v>26</v>
      </c>
      <c r="O29" s="118">
        <v>4.9000000000000004</v>
      </c>
      <c r="P29" s="119" t="s">
        <v>26</v>
      </c>
      <c r="Q29" s="119" t="s">
        <v>26</v>
      </c>
      <c r="R29" s="118">
        <v>1.2</v>
      </c>
      <c r="S29" s="127">
        <v>4.2</v>
      </c>
      <c r="T29" s="121" t="s">
        <v>26</v>
      </c>
      <c r="U29" s="124">
        <v>80</v>
      </c>
      <c r="V29" s="126" t="s">
        <v>26</v>
      </c>
      <c r="AC29" s="33"/>
      <c r="AD29" s="33"/>
      <c r="AE29" s="33"/>
    </row>
    <row r="30" spans="1:31">
      <c r="A30" s="15" t="s">
        <v>58</v>
      </c>
      <c r="B30" s="8" t="s">
        <v>63</v>
      </c>
      <c r="C30" s="8" t="s">
        <v>22</v>
      </c>
      <c r="D30" s="3" t="s">
        <v>23</v>
      </c>
      <c r="E30" s="23" t="s">
        <v>29</v>
      </c>
      <c r="F30" s="16" t="s">
        <v>66</v>
      </c>
      <c r="G30" s="118">
        <v>52</v>
      </c>
      <c r="H30" s="118">
        <v>11.4</v>
      </c>
      <c r="I30" s="118">
        <v>19.600000000000001</v>
      </c>
      <c r="J30" s="118">
        <v>1.6</v>
      </c>
      <c r="K30" s="119" t="s">
        <v>26</v>
      </c>
      <c r="L30" s="119" t="s">
        <v>26</v>
      </c>
      <c r="M30" s="119" t="s">
        <v>26</v>
      </c>
      <c r="N30" s="119" t="s">
        <v>26</v>
      </c>
      <c r="O30" s="118">
        <v>4.9000000000000004</v>
      </c>
      <c r="P30" s="118">
        <v>1.2</v>
      </c>
      <c r="Q30" s="119" t="s">
        <v>26</v>
      </c>
      <c r="R30" s="118">
        <v>1.7</v>
      </c>
      <c r="S30" s="127">
        <v>5.0999999999999996</v>
      </c>
      <c r="T30" s="121" t="s">
        <v>26</v>
      </c>
      <c r="U30" s="122">
        <v>63</v>
      </c>
      <c r="V30" s="126" t="s">
        <v>26</v>
      </c>
      <c r="AC30" s="33"/>
      <c r="AD30" s="33"/>
      <c r="AE30" s="33"/>
    </row>
    <row r="31" spans="1:31">
      <c r="A31" s="15" t="s">
        <v>58</v>
      </c>
      <c r="B31" s="8" t="s">
        <v>63</v>
      </c>
      <c r="C31" s="8" t="s">
        <v>22</v>
      </c>
      <c r="D31" s="3" t="s">
        <v>23</v>
      </c>
      <c r="E31" s="23" t="s">
        <v>31</v>
      </c>
      <c r="F31" s="16" t="s">
        <v>67</v>
      </c>
      <c r="G31" s="118">
        <v>17</v>
      </c>
      <c r="H31" s="119" t="s">
        <v>26</v>
      </c>
      <c r="I31" s="118">
        <v>15.7</v>
      </c>
      <c r="J31" s="118">
        <v>7.2</v>
      </c>
      <c r="K31" s="119" t="s">
        <v>26</v>
      </c>
      <c r="L31" s="119" t="s">
        <v>26</v>
      </c>
      <c r="M31" s="119" t="s">
        <v>26</v>
      </c>
      <c r="N31" s="119" t="s">
        <v>26</v>
      </c>
      <c r="O31" s="118">
        <v>6.8</v>
      </c>
      <c r="P31" s="118">
        <v>5.8</v>
      </c>
      <c r="Q31" s="119" t="s">
        <v>26</v>
      </c>
      <c r="R31" s="118">
        <v>2.1</v>
      </c>
      <c r="S31" s="127">
        <v>17.399999999999999</v>
      </c>
      <c r="T31" s="121" t="s">
        <v>26</v>
      </c>
      <c r="U31" s="123" t="s">
        <v>26</v>
      </c>
      <c r="V31" s="126" t="s">
        <v>26</v>
      </c>
      <c r="AC31" s="33"/>
      <c r="AD31" s="33"/>
      <c r="AE31" s="33"/>
    </row>
    <row r="32" spans="1:31">
      <c r="A32" s="15" t="s">
        <v>58</v>
      </c>
      <c r="B32" s="8" t="s">
        <v>68</v>
      </c>
      <c r="C32" s="8" t="s">
        <v>22</v>
      </c>
      <c r="D32" s="3" t="s">
        <v>33</v>
      </c>
      <c r="E32" s="23" t="s">
        <v>24</v>
      </c>
      <c r="F32" s="16" t="s">
        <v>69</v>
      </c>
      <c r="G32" s="118">
        <v>221</v>
      </c>
      <c r="H32" s="118">
        <v>24.6</v>
      </c>
      <c r="I32" s="119" t="s">
        <v>26</v>
      </c>
      <c r="J32" s="119" t="s">
        <v>26</v>
      </c>
      <c r="K32" s="119" t="s">
        <v>26</v>
      </c>
      <c r="L32" s="119" t="s">
        <v>26</v>
      </c>
      <c r="M32" s="119" t="s">
        <v>26</v>
      </c>
      <c r="N32" s="119" t="s">
        <v>26</v>
      </c>
      <c r="O32" s="118">
        <v>5.6</v>
      </c>
      <c r="P32" s="119" t="s">
        <v>26</v>
      </c>
      <c r="Q32" s="118">
        <v>9.6999999999999993</v>
      </c>
      <c r="R32" s="118">
        <v>6.1</v>
      </c>
      <c r="S32" s="127">
        <v>3.8</v>
      </c>
      <c r="T32" s="121" t="s">
        <v>26</v>
      </c>
      <c r="U32" s="122">
        <v>360</v>
      </c>
      <c r="V32" s="89">
        <v>417</v>
      </c>
      <c r="AC32" s="33"/>
      <c r="AD32" s="33"/>
      <c r="AE32" s="33"/>
    </row>
    <row r="33" spans="1:31">
      <c r="A33" s="15" t="s">
        <v>58</v>
      </c>
      <c r="B33" s="8" t="s">
        <v>68</v>
      </c>
      <c r="C33" s="8" t="s">
        <v>22</v>
      </c>
      <c r="D33" s="3" t="s">
        <v>33</v>
      </c>
      <c r="E33" s="23" t="s">
        <v>27</v>
      </c>
      <c r="F33" s="16" t="s">
        <v>70</v>
      </c>
      <c r="G33" s="118">
        <v>113</v>
      </c>
      <c r="H33" s="118">
        <v>46.7</v>
      </c>
      <c r="I33" s="118">
        <v>4.3</v>
      </c>
      <c r="J33" s="119" t="s">
        <v>26</v>
      </c>
      <c r="K33" s="119" t="s">
        <v>26</v>
      </c>
      <c r="L33" s="119" t="s">
        <v>26</v>
      </c>
      <c r="M33" s="118">
        <v>1.7</v>
      </c>
      <c r="N33" s="118">
        <v>1.8</v>
      </c>
      <c r="O33" s="118">
        <v>5.2</v>
      </c>
      <c r="P33" s="119" t="s">
        <v>26</v>
      </c>
      <c r="Q33" s="118">
        <v>3.1</v>
      </c>
      <c r="R33" s="118">
        <v>1.7</v>
      </c>
      <c r="S33" s="127">
        <v>4.0999999999999996</v>
      </c>
      <c r="T33" s="121" t="s">
        <v>26</v>
      </c>
      <c r="U33" s="123" t="s">
        <v>26</v>
      </c>
      <c r="V33" s="89">
        <v>436</v>
      </c>
      <c r="AC33" s="33"/>
      <c r="AD33" s="33"/>
      <c r="AE33" s="33"/>
    </row>
    <row r="34" spans="1:31">
      <c r="A34" s="15" t="s">
        <v>58</v>
      </c>
      <c r="B34" s="8" t="s">
        <v>68</v>
      </c>
      <c r="C34" s="8" t="s">
        <v>22</v>
      </c>
      <c r="D34" s="3" t="s">
        <v>33</v>
      </c>
      <c r="E34" s="23" t="s">
        <v>71</v>
      </c>
      <c r="F34" s="16" t="s">
        <v>72</v>
      </c>
      <c r="G34" s="118">
        <v>90</v>
      </c>
      <c r="H34" s="118">
        <v>17.899999999999999</v>
      </c>
      <c r="I34" s="118">
        <v>15.7</v>
      </c>
      <c r="J34" s="119" t="s">
        <v>26</v>
      </c>
      <c r="K34" s="119" t="s">
        <v>26</v>
      </c>
      <c r="L34" s="119" t="s">
        <v>26</v>
      </c>
      <c r="M34" s="119" t="s">
        <v>26</v>
      </c>
      <c r="N34" s="119" t="s">
        <v>26</v>
      </c>
      <c r="O34" s="118">
        <v>6.2</v>
      </c>
      <c r="P34" s="119" t="s">
        <v>26</v>
      </c>
      <c r="Q34" s="119" t="s">
        <v>26</v>
      </c>
      <c r="R34" s="119" t="s">
        <v>26</v>
      </c>
      <c r="S34" s="120" t="s">
        <v>26</v>
      </c>
      <c r="T34" s="121" t="s">
        <v>26</v>
      </c>
      <c r="U34" s="122">
        <v>180</v>
      </c>
      <c r="V34" s="89">
        <v>108</v>
      </c>
      <c r="AC34" s="33"/>
      <c r="AD34" s="33"/>
      <c r="AE34" s="33"/>
    </row>
    <row r="35" spans="1:31">
      <c r="A35" s="15" t="s">
        <v>58</v>
      </c>
      <c r="B35" s="8" t="s">
        <v>68</v>
      </c>
      <c r="C35" s="8" t="s">
        <v>22</v>
      </c>
      <c r="D35" s="3" t="s">
        <v>33</v>
      </c>
      <c r="E35" s="23" t="s">
        <v>29</v>
      </c>
      <c r="F35" s="16" t="s">
        <v>73</v>
      </c>
      <c r="G35" s="118">
        <v>49</v>
      </c>
      <c r="H35" s="118">
        <v>11.2</v>
      </c>
      <c r="I35" s="118">
        <v>5.9</v>
      </c>
      <c r="J35" s="119" t="s">
        <v>26</v>
      </c>
      <c r="K35" s="119" t="s">
        <v>26</v>
      </c>
      <c r="L35" s="119" t="s">
        <v>26</v>
      </c>
      <c r="M35" s="119" t="s">
        <v>26</v>
      </c>
      <c r="N35" s="119" t="s">
        <v>26</v>
      </c>
      <c r="O35" s="118">
        <v>6.7</v>
      </c>
      <c r="P35" s="119" t="s">
        <v>26</v>
      </c>
      <c r="Q35" s="119" t="s">
        <v>26</v>
      </c>
      <c r="R35" s="119" t="s">
        <v>26</v>
      </c>
      <c r="S35" s="127">
        <v>5.0999999999999996</v>
      </c>
      <c r="T35" s="121" t="s">
        <v>26</v>
      </c>
      <c r="U35" s="123" t="s">
        <v>26</v>
      </c>
      <c r="V35" s="89">
        <v>260</v>
      </c>
      <c r="AC35" s="33"/>
      <c r="AD35" s="33"/>
      <c r="AE35" s="33"/>
    </row>
    <row r="36" spans="1:31">
      <c r="A36" s="15" t="s">
        <v>58</v>
      </c>
      <c r="B36" s="8" t="s">
        <v>68</v>
      </c>
      <c r="C36" s="8" t="s">
        <v>22</v>
      </c>
      <c r="D36" s="3" t="s">
        <v>33</v>
      </c>
      <c r="E36" s="23" t="s">
        <v>31</v>
      </c>
      <c r="F36" s="16" t="s">
        <v>74</v>
      </c>
      <c r="G36" s="118">
        <v>17</v>
      </c>
      <c r="H36" s="118">
        <v>12.7</v>
      </c>
      <c r="I36" s="118">
        <v>15.1</v>
      </c>
      <c r="J36" s="118">
        <v>3.8</v>
      </c>
      <c r="K36" s="119" t="s">
        <v>26</v>
      </c>
      <c r="L36" s="119" t="s">
        <v>26</v>
      </c>
      <c r="M36" s="119" t="s">
        <v>26</v>
      </c>
      <c r="N36" s="119" t="s">
        <v>26</v>
      </c>
      <c r="O36" s="118">
        <v>7.5</v>
      </c>
      <c r="P36" s="119" t="s">
        <v>26</v>
      </c>
      <c r="Q36" s="119" t="s">
        <v>26</v>
      </c>
      <c r="R36" s="119" t="s">
        <v>26</v>
      </c>
      <c r="S36" s="120" t="s">
        <v>26</v>
      </c>
      <c r="T36" s="121" t="s">
        <v>26</v>
      </c>
      <c r="U36" s="123" t="s">
        <v>26</v>
      </c>
      <c r="V36" s="89">
        <v>80</v>
      </c>
      <c r="AC36" s="33"/>
      <c r="AD36" s="33"/>
      <c r="AE36" s="33"/>
    </row>
    <row r="37" spans="1:31">
      <c r="A37" s="15" t="s">
        <v>75</v>
      </c>
      <c r="B37" s="8" t="s">
        <v>76</v>
      </c>
      <c r="C37" s="8" t="s">
        <v>22</v>
      </c>
      <c r="D37" s="3" t="s">
        <v>54</v>
      </c>
      <c r="E37" s="23" t="s">
        <v>27</v>
      </c>
      <c r="F37" s="16" t="s">
        <v>77</v>
      </c>
      <c r="G37" s="118">
        <v>99</v>
      </c>
      <c r="H37" s="118">
        <v>21.5</v>
      </c>
      <c r="I37" s="118">
        <v>10.6</v>
      </c>
      <c r="J37" s="118">
        <v>0.6</v>
      </c>
      <c r="K37" s="119" t="s">
        <v>26</v>
      </c>
      <c r="L37" s="119" t="s">
        <v>26</v>
      </c>
      <c r="M37" s="119" t="s">
        <v>26</v>
      </c>
      <c r="N37" s="119" t="s">
        <v>26</v>
      </c>
      <c r="O37" s="118">
        <v>3.2</v>
      </c>
      <c r="P37" s="119" t="s">
        <v>26</v>
      </c>
      <c r="Q37" s="118">
        <v>15.2</v>
      </c>
      <c r="R37" s="119" t="s">
        <v>26</v>
      </c>
      <c r="S37" s="127">
        <v>4.8</v>
      </c>
      <c r="T37" s="128">
        <v>2</v>
      </c>
      <c r="U37" s="122">
        <v>324</v>
      </c>
      <c r="V37" s="126" t="s">
        <v>26</v>
      </c>
      <c r="AC37" s="33"/>
      <c r="AD37" s="33"/>
      <c r="AE37" s="33"/>
    </row>
    <row r="38" spans="1:31">
      <c r="A38" s="15" t="s">
        <v>75</v>
      </c>
      <c r="B38" s="8" t="s">
        <v>76</v>
      </c>
      <c r="C38" s="8" t="s">
        <v>22</v>
      </c>
      <c r="D38" s="3" t="s">
        <v>54</v>
      </c>
      <c r="E38" s="23" t="s">
        <v>29</v>
      </c>
      <c r="F38" s="16" t="s">
        <v>78</v>
      </c>
      <c r="G38" s="118">
        <v>46</v>
      </c>
      <c r="H38" s="118">
        <v>5.2</v>
      </c>
      <c r="I38" s="118">
        <v>12.8</v>
      </c>
      <c r="J38" s="118">
        <v>10.1</v>
      </c>
      <c r="K38" s="119" t="s">
        <v>26</v>
      </c>
      <c r="L38" s="119" t="s">
        <v>26</v>
      </c>
      <c r="M38" s="119" t="s">
        <v>26</v>
      </c>
      <c r="N38" s="119" t="s">
        <v>26</v>
      </c>
      <c r="O38" s="118">
        <v>4.0999999999999996</v>
      </c>
      <c r="P38" s="119" t="s">
        <v>26</v>
      </c>
      <c r="Q38" s="118">
        <v>8.4</v>
      </c>
      <c r="R38" s="119" t="s">
        <v>26</v>
      </c>
      <c r="S38" s="127">
        <v>14.8</v>
      </c>
      <c r="T38" s="121" t="s">
        <v>26</v>
      </c>
      <c r="U38" s="129">
        <v>6323</v>
      </c>
      <c r="V38" s="126" t="s">
        <v>26</v>
      </c>
      <c r="AC38" s="33"/>
      <c r="AD38" s="33"/>
      <c r="AE38" s="33"/>
    </row>
    <row r="39" spans="1:31">
      <c r="A39" s="15" t="s">
        <v>75</v>
      </c>
      <c r="B39" s="8" t="s">
        <v>76</v>
      </c>
      <c r="C39" s="8" t="s">
        <v>22</v>
      </c>
      <c r="D39" s="3" t="s">
        <v>54</v>
      </c>
      <c r="E39" s="23" t="s">
        <v>31</v>
      </c>
      <c r="F39" s="16" t="s">
        <v>79</v>
      </c>
      <c r="G39" s="118">
        <v>14</v>
      </c>
      <c r="H39" s="118">
        <v>20.100000000000001</v>
      </c>
      <c r="I39" s="118">
        <v>13.1</v>
      </c>
      <c r="J39" s="118">
        <v>21.5</v>
      </c>
      <c r="K39" s="119" t="s">
        <v>26</v>
      </c>
      <c r="L39" s="119" t="s">
        <v>26</v>
      </c>
      <c r="M39" s="119" t="s">
        <v>26</v>
      </c>
      <c r="N39" s="119" t="s">
        <v>26</v>
      </c>
      <c r="O39" s="125" t="s">
        <v>26</v>
      </c>
      <c r="P39" s="119" t="s">
        <v>26</v>
      </c>
      <c r="Q39" s="119" t="s">
        <v>26</v>
      </c>
      <c r="R39" s="119" t="s">
        <v>26</v>
      </c>
      <c r="S39" s="127">
        <v>14.8</v>
      </c>
      <c r="T39" s="121" t="s">
        <v>26</v>
      </c>
      <c r="U39" s="129">
        <v>96</v>
      </c>
      <c r="V39" s="126" t="s">
        <v>26</v>
      </c>
      <c r="AC39" s="33"/>
      <c r="AD39" s="33"/>
      <c r="AE39" s="33"/>
    </row>
    <row r="40" spans="1:31">
      <c r="A40" s="15" t="s">
        <v>75</v>
      </c>
      <c r="B40" s="8" t="s">
        <v>53</v>
      </c>
      <c r="C40" s="8" t="s">
        <v>22</v>
      </c>
      <c r="D40" s="3" t="s">
        <v>54</v>
      </c>
      <c r="E40" s="23" t="s">
        <v>27</v>
      </c>
      <c r="F40" s="16" t="s">
        <v>80</v>
      </c>
      <c r="G40" s="118">
        <v>101</v>
      </c>
      <c r="H40" s="118">
        <v>18.399999999999999</v>
      </c>
      <c r="I40" s="118">
        <v>11.5</v>
      </c>
      <c r="J40" s="119" t="s">
        <v>26</v>
      </c>
      <c r="K40" s="119" t="s">
        <v>26</v>
      </c>
      <c r="L40" s="119" t="s">
        <v>26</v>
      </c>
      <c r="M40" s="119" t="s">
        <v>26</v>
      </c>
      <c r="N40" s="119" t="s">
        <v>26</v>
      </c>
      <c r="O40" s="118">
        <v>2.4</v>
      </c>
      <c r="P40" s="119" t="s">
        <v>26</v>
      </c>
      <c r="Q40" s="118">
        <v>18.899999999999999</v>
      </c>
      <c r="R40" s="119" t="s">
        <v>26</v>
      </c>
      <c r="S40" s="127">
        <v>6.4</v>
      </c>
      <c r="T40" s="121" t="s">
        <v>26</v>
      </c>
      <c r="U40" s="122">
        <v>690</v>
      </c>
      <c r="V40" s="126" t="s">
        <v>26</v>
      </c>
      <c r="AC40" s="33"/>
      <c r="AD40" s="33"/>
      <c r="AE40" s="33"/>
    </row>
    <row r="41" spans="1:31">
      <c r="A41" s="15" t="s">
        <v>75</v>
      </c>
      <c r="B41" s="8" t="s">
        <v>53</v>
      </c>
      <c r="C41" s="8" t="s">
        <v>22</v>
      </c>
      <c r="D41" s="3" t="s">
        <v>54</v>
      </c>
      <c r="E41" s="23" t="s">
        <v>29</v>
      </c>
      <c r="F41" s="16" t="s">
        <v>81</v>
      </c>
      <c r="G41" s="118">
        <v>48</v>
      </c>
      <c r="H41" s="118">
        <v>4.0999999999999996</v>
      </c>
      <c r="I41" s="118">
        <v>14.5</v>
      </c>
      <c r="J41" s="118">
        <v>3.61</v>
      </c>
      <c r="K41" s="119" t="s">
        <v>26</v>
      </c>
      <c r="L41" s="119" t="s">
        <v>26</v>
      </c>
      <c r="M41" s="119" t="s">
        <v>26</v>
      </c>
      <c r="N41" s="119" t="s">
        <v>26</v>
      </c>
      <c r="O41" s="118">
        <v>2.9</v>
      </c>
      <c r="P41" s="119" t="s">
        <v>26</v>
      </c>
      <c r="Q41" s="119" t="s">
        <v>26</v>
      </c>
      <c r="R41" s="119" t="s">
        <v>26</v>
      </c>
      <c r="S41" s="127">
        <v>4.5</v>
      </c>
      <c r="T41" s="121" t="s">
        <v>26</v>
      </c>
      <c r="U41" s="129">
        <v>4992</v>
      </c>
      <c r="V41" s="126" t="s">
        <v>26</v>
      </c>
      <c r="AC41" s="33"/>
      <c r="AD41" s="33"/>
      <c r="AE41" s="33"/>
    </row>
    <row r="42" spans="1:31">
      <c r="A42" s="15" t="s">
        <v>75</v>
      </c>
      <c r="B42" s="8" t="s">
        <v>53</v>
      </c>
      <c r="C42" s="8" t="s">
        <v>22</v>
      </c>
      <c r="D42" s="3" t="s">
        <v>54</v>
      </c>
      <c r="E42" s="23" t="s">
        <v>31</v>
      </c>
      <c r="F42" s="16" t="s">
        <v>82</v>
      </c>
      <c r="G42" s="118">
        <v>14</v>
      </c>
      <c r="H42" s="118">
        <v>21.9</v>
      </c>
      <c r="I42" s="118">
        <v>8.4</v>
      </c>
      <c r="J42" s="118">
        <v>15.83</v>
      </c>
      <c r="K42" s="119" t="s">
        <v>26</v>
      </c>
      <c r="L42" s="119" t="s">
        <v>26</v>
      </c>
      <c r="M42" s="119" t="s">
        <v>26</v>
      </c>
      <c r="N42" s="119" t="s">
        <v>26</v>
      </c>
      <c r="O42" s="118">
        <v>3.8</v>
      </c>
      <c r="P42" s="119" t="s">
        <v>26</v>
      </c>
      <c r="Q42" s="119" t="s">
        <v>26</v>
      </c>
      <c r="R42" s="119" t="s">
        <v>26</v>
      </c>
      <c r="S42" s="127">
        <v>6.2</v>
      </c>
      <c r="T42" s="121" t="s">
        <v>26</v>
      </c>
      <c r="U42" s="129">
        <v>902</v>
      </c>
      <c r="V42" s="126" t="s">
        <v>26</v>
      </c>
      <c r="AC42" s="33"/>
      <c r="AD42" s="33"/>
      <c r="AE42" s="33"/>
    </row>
    <row r="43" spans="1:31">
      <c r="A43" s="15" t="s">
        <v>75</v>
      </c>
      <c r="B43" s="8" t="s">
        <v>83</v>
      </c>
      <c r="C43" s="8" t="s">
        <v>22</v>
      </c>
      <c r="D43" s="3" t="s">
        <v>33</v>
      </c>
      <c r="E43" s="23" t="s">
        <v>24</v>
      </c>
      <c r="F43" s="16" t="s">
        <v>84</v>
      </c>
      <c r="G43" s="118">
        <v>202</v>
      </c>
      <c r="H43" s="118">
        <v>25.4</v>
      </c>
      <c r="I43" s="119" t="s">
        <v>26</v>
      </c>
      <c r="J43" s="119" t="s">
        <v>26</v>
      </c>
      <c r="K43" s="119" t="s">
        <v>26</v>
      </c>
      <c r="L43" s="119" t="s">
        <v>26</v>
      </c>
      <c r="M43" s="119" t="s">
        <v>26</v>
      </c>
      <c r="N43" s="119" t="s">
        <v>26</v>
      </c>
      <c r="O43" s="125" t="s">
        <v>26</v>
      </c>
      <c r="P43" s="118">
        <v>0.9</v>
      </c>
      <c r="Q43" s="118">
        <v>6.9</v>
      </c>
      <c r="R43" s="119" t="s">
        <v>26</v>
      </c>
      <c r="S43" s="127">
        <v>3.5</v>
      </c>
      <c r="T43" s="121" t="s">
        <v>26</v>
      </c>
      <c r="U43" s="122">
        <v>504</v>
      </c>
      <c r="V43" s="89">
        <v>345</v>
      </c>
      <c r="AC43" s="33"/>
      <c r="AD43" s="33"/>
      <c r="AE43" s="33"/>
    </row>
    <row r="44" spans="1:31">
      <c r="A44" s="15" t="s">
        <v>75</v>
      </c>
      <c r="B44" s="8" t="s">
        <v>83</v>
      </c>
      <c r="C44" s="8" t="s">
        <v>22</v>
      </c>
      <c r="D44" s="3" t="s">
        <v>33</v>
      </c>
      <c r="E44" s="23" t="s">
        <v>27</v>
      </c>
      <c r="F44" s="16" t="s">
        <v>85</v>
      </c>
      <c r="G44" s="118">
        <v>107</v>
      </c>
      <c r="H44" s="118">
        <v>28.6</v>
      </c>
      <c r="I44" s="118">
        <v>4.0999999999999996</v>
      </c>
      <c r="J44" s="119" t="s">
        <v>26</v>
      </c>
      <c r="K44" s="119" t="s">
        <v>26</v>
      </c>
      <c r="L44" s="119" t="s">
        <v>26</v>
      </c>
      <c r="M44" s="119" t="s">
        <v>26</v>
      </c>
      <c r="N44" s="119" t="s">
        <v>26</v>
      </c>
      <c r="O44" s="125" t="s">
        <v>26</v>
      </c>
      <c r="P44" s="118">
        <v>1.1000000000000001</v>
      </c>
      <c r="Q44" s="118">
        <v>5.8</v>
      </c>
      <c r="R44" s="119" t="s">
        <v>26</v>
      </c>
      <c r="S44" s="127">
        <v>6.5</v>
      </c>
      <c r="T44" s="128">
        <v>6</v>
      </c>
      <c r="U44" s="122">
        <v>18</v>
      </c>
      <c r="V44" s="89">
        <v>125</v>
      </c>
      <c r="AC44" s="33"/>
      <c r="AD44" s="33"/>
      <c r="AE44" s="33"/>
    </row>
    <row r="45" spans="1:31">
      <c r="A45" s="15" t="s">
        <v>75</v>
      </c>
      <c r="B45" s="8" t="s">
        <v>83</v>
      </c>
      <c r="C45" s="8" t="s">
        <v>22</v>
      </c>
      <c r="D45" s="3" t="s">
        <v>33</v>
      </c>
      <c r="E45" s="23" t="s">
        <v>71</v>
      </c>
      <c r="F45" s="16" t="s">
        <v>86</v>
      </c>
      <c r="G45" s="118">
        <v>85</v>
      </c>
      <c r="H45" s="118">
        <v>18.600000000000001</v>
      </c>
      <c r="I45" s="118">
        <v>11.5</v>
      </c>
      <c r="J45" s="119" t="s">
        <v>26</v>
      </c>
      <c r="K45" s="119" t="s">
        <v>26</v>
      </c>
      <c r="L45" s="119" t="s">
        <v>26</v>
      </c>
      <c r="M45" s="119" t="s">
        <v>26</v>
      </c>
      <c r="N45" s="119" t="s">
        <v>26</v>
      </c>
      <c r="O45" s="125" t="s">
        <v>26</v>
      </c>
      <c r="P45" s="119" t="s">
        <v>26</v>
      </c>
      <c r="Q45" s="118">
        <v>4.2</v>
      </c>
      <c r="R45" s="119" t="s">
        <v>26</v>
      </c>
      <c r="S45" s="127">
        <v>7.9</v>
      </c>
      <c r="T45" s="121" t="s">
        <v>26</v>
      </c>
      <c r="U45" s="122">
        <v>80</v>
      </c>
      <c r="V45" s="89">
        <v>75</v>
      </c>
      <c r="AC45" s="33"/>
      <c r="AD45" s="33"/>
      <c r="AE45" s="33"/>
    </row>
    <row r="46" spans="1:31">
      <c r="A46" s="15" t="s">
        <v>75</v>
      </c>
      <c r="B46" s="8" t="s">
        <v>83</v>
      </c>
      <c r="C46" s="8" t="s">
        <v>22</v>
      </c>
      <c r="D46" s="3" t="s">
        <v>33</v>
      </c>
      <c r="E46" s="23" t="s">
        <v>29</v>
      </c>
      <c r="F46" s="16" t="s">
        <v>87</v>
      </c>
      <c r="G46" s="118">
        <v>50</v>
      </c>
      <c r="H46" s="118">
        <v>7.8</v>
      </c>
      <c r="I46" s="118">
        <v>18.399999999999999</v>
      </c>
      <c r="J46" s="118">
        <v>1.82</v>
      </c>
      <c r="K46" s="119" t="s">
        <v>26</v>
      </c>
      <c r="L46" s="119" t="s">
        <v>26</v>
      </c>
      <c r="M46" s="119" t="s">
        <v>26</v>
      </c>
      <c r="N46" s="119" t="s">
        <v>26</v>
      </c>
      <c r="O46" s="125" t="s">
        <v>26</v>
      </c>
      <c r="P46" s="119" t="s">
        <v>26</v>
      </c>
      <c r="Q46" s="119" t="s">
        <v>26</v>
      </c>
      <c r="R46" s="119" t="s">
        <v>26</v>
      </c>
      <c r="S46" s="127">
        <v>11.5</v>
      </c>
      <c r="T46" s="121" t="s">
        <v>26</v>
      </c>
      <c r="U46" s="122">
        <v>140</v>
      </c>
      <c r="V46" s="89">
        <v>474</v>
      </c>
      <c r="AC46" s="33"/>
      <c r="AD46" s="33"/>
      <c r="AE46" s="33"/>
    </row>
    <row r="47" spans="1:31">
      <c r="A47" s="15" t="s">
        <v>75</v>
      </c>
      <c r="B47" s="8" t="s">
        <v>83</v>
      </c>
      <c r="C47" s="8" t="s">
        <v>22</v>
      </c>
      <c r="D47" s="3" t="s">
        <v>33</v>
      </c>
      <c r="E47" s="23" t="s">
        <v>31</v>
      </c>
      <c r="F47" s="16" t="s">
        <v>88</v>
      </c>
      <c r="G47" s="118">
        <v>18</v>
      </c>
      <c r="H47" s="119" t="s">
        <v>26</v>
      </c>
      <c r="I47" s="118">
        <v>8.5</v>
      </c>
      <c r="J47" s="118">
        <v>5.88</v>
      </c>
      <c r="K47" s="119" t="s">
        <v>26</v>
      </c>
      <c r="L47" s="119" t="s">
        <v>26</v>
      </c>
      <c r="M47" s="119" t="s">
        <v>26</v>
      </c>
      <c r="N47" s="119" t="s">
        <v>26</v>
      </c>
      <c r="O47" s="125" t="s">
        <v>26</v>
      </c>
      <c r="P47" s="119" t="s">
        <v>26</v>
      </c>
      <c r="Q47" s="119" t="s">
        <v>26</v>
      </c>
      <c r="R47" s="119" t="s">
        <v>26</v>
      </c>
      <c r="S47" s="127">
        <v>16.399999999999999</v>
      </c>
      <c r="T47" s="121" t="s">
        <v>26</v>
      </c>
      <c r="U47" s="122">
        <v>729</v>
      </c>
      <c r="V47" s="89">
        <v>71</v>
      </c>
      <c r="AC47" s="33"/>
      <c r="AD47" s="33"/>
      <c r="AE47" s="33"/>
    </row>
    <row r="48" spans="1:31">
      <c r="A48" s="15" t="s">
        <v>75</v>
      </c>
      <c r="B48" s="8" t="s">
        <v>89</v>
      </c>
      <c r="C48" s="8" t="s">
        <v>22</v>
      </c>
      <c r="D48" s="3" t="s">
        <v>23</v>
      </c>
      <c r="E48" s="23" t="s">
        <v>24</v>
      </c>
      <c r="F48" s="16" t="s">
        <v>90</v>
      </c>
      <c r="G48" s="118">
        <v>212</v>
      </c>
      <c r="H48" s="118">
        <v>18.5</v>
      </c>
      <c r="I48" s="119" t="s">
        <v>26</v>
      </c>
      <c r="J48" s="119" t="s">
        <v>26</v>
      </c>
      <c r="K48" s="119" t="s">
        <v>26</v>
      </c>
      <c r="L48" s="119" t="s">
        <v>26</v>
      </c>
      <c r="M48" s="119" t="s">
        <v>26</v>
      </c>
      <c r="N48" s="119" t="s">
        <v>26</v>
      </c>
      <c r="O48" s="118">
        <v>2.1</v>
      </c>
      <c r="P48" s="119" t="s">
        <v>26</v>
      </c>
      <c r="Q48" s="118">
        <v>5</v>
      </c>
      <c r="R48" s="119" t="s">
        <v>26</v>
      </c>
      <c r="S48" s="127">
        <v>7.8</v>
      </c>
      <c r="T48" s="121" t="s">
        <v>26</v>
      </c>
      <c r="U48" s="122">
        <v>298</v>
      </c>
      <c r="V48" s="126" t="s">
        <v>26</v>
      </c>
      <c r="AC48" s="33"/>
      <c r="AD48" s="33"/>
      <c r="AE48" s="33"/>
    </row>
    <row r="49" spans="1:31">
      <c r="A49" s="15" t="s">
        <v>75</v>
      </c>
      <c r="B49" s="8" t="s">
        <v>89</v>
      </c>
      <c r="C49" s="8" t="s">
        <v>22</v>
      </c>
      <c r="D49" s="3" t="s">
        <v>23</v>
      </c>
      <c r="E49" s="23" t="s">
        <v>27</v>
      </c>
      <c r="F49" s="16" t="s">
        <v>91</v>
      </c>
      <c r="G49" s="118">
        <v>110</v>
      </c>
      <c r="H49" s="118">
        <v>31.8</v>
      </c>
      <c r="I49" s="118">
        <v>2.4</v>
      </c>
      <c r="J49" s="119" t="s">
        <v>26</v>
      </c>
      <c r="K49" s="119" t="s">
        <v>26</v>
      </c>
      <c r="L49" s="119" t="s">
        <v>26</v>
      </c>
      <c r="M49" s="119" t="s">
        <v>26</v>
      </c>
      <c r="N49" s="119" t="s">
        <v>26</v>
      </c>
      <c r="O49" s="118">
        <v>2.8</v>
      </c>
      <c r="P49" s="119" t="s">
        <v>26</v>
      </c>
      <c r="Q49" s="118">
        <v>4</v>
      </c>
      <c r="R49" s="119" t="s">
        <v>26</v>
      </c>
      <c r="S49" s="127">
        <v>5.9</v>
      </c>
      <c r="T49" s="128">
        <v>7</v>
      </c>
      <c r="U49" s="122">
        <v>40</v>
      </c>
      <c r="V49" s="126" t="s">
        <v>26</v>
      </c>
      <c r="AC49" s="33"/>
      <c r="AD49" s="33"/>
      <c r="AE49" s="33"/>
    </row>
    <row r="50" spans="1:31">
      <c r="A50" s="15" t="s">
        <v>75</v>
      </c>
      <c r="B50" s="8" t="s">
        <v>89</v>
      </c>
      <c r="C50" s="8" t="s">
        <v>22</v>
      </c>
      <c r="D50" s="3" t="s">
        <v>23</v>
      </c>
      <c r="E50" s="23" t="s">
        <v>29</v>
      </c>
      <c r="F50" s="16" t="s">
        <v>92</v>
      </c>
      <c r="G50" s="118">
        <v>49</v>
      </c>
      <c r="H50" s="118">
        <v>4.0999999999999996</v>
      </c>
      <c r="I50" s="118">
        <v>21.2</v>
      </c>
      <c r="J50" s="118">
        <v>8.8800000000000008</v>
      </c>
      <c r="K50" s="119" t="s">
        <v>26</v>
      </c>
      <c r="L50" s="119" t="s">
        <v>26</v>
      </c>
      <c r="M50" s="119" t="s">
        <v>26</v>
      </c>
      <c r="N50" s="119" t="s">
        <v>26</v>
      </c>
      <c r="O50" s="118">
        <v>3.9</v>
      </c>
      <c r="P50" s="119" t="s">
        <v>26</v>
      </c>
      <c r="Q50" s="119" t="s">
        <v>26</v>
      </c>
      <c r="R50" s="119" t="s">
        <v>26</v>
      </c>
      <c r="S50" s="127">
        <v>19.399999999999999</v>
      </c>
      <c r="T50" s="121" t="s">
        <v>26</v>
      </c>
      <c r="U50" s="89">
        <v>2298</v>
      </c>
      <c r="V50" s="126" t="s">
        <v>26</v>
      </c>
      <c r="AC50" s="33"/>
      <c r="AD50" s="33"/>
      <c r="AE50" s="33"/>
    </row>
    <row r="51" spans="1:31">
      <c r="A51" s="15" t="s">
        <v>75</v>
      </c>
      <c r="B51" s="8" t="s">
        <v>89</v>
      </c>
      <c r="C51" s="8" t="s">
        <v>22</v>
      </c>
      <c r="D51" s="3" t="s">
        <v>23</v>
      </c>
      <c r="E51" s="23" t="s">
        <v>31</v>
      </c>
      <c r="F51" s="16" t="s">
        <v>93</v>
      </c>
      <c r="G51" s="118">
        <v>17</v>
      </c>
      <c r="H51" s="119" t="s">
        <v>26</v>
      </c>
      <c r="I51" s="118">
        <v>9.4</v>
      </c>
      <c r="J51" s="118">
        <v>22.6</v>
      </c>
      <c r="K51" s="119" t="s">
        <v>26</v>
      </c>
      <c r="L51" s="119" t="s">
        <v>26</v>
      </c>
      <c r="M51" s="119" t="s">
        <v>26</v>
      </c>
      <c r="N51" s="119" t="s">
        <v>26</v>
      </c>
      <c r="O51" s="118">
        <v>2.8</v>
      </c>
      <c r="P51" s="119" t="s">
        <v>26</v>
      </c>
      <c r="Q51" s="119" t="s">
        <v>26</v>
      </c>
      <c r="R51" s="119" t="s">
        <v>26</v>
      </c>
      <c r="S51" s="127">
        <v>22.5</v>
      </c>
      <c r="T51" s="121" t="s">
        <v>26</v>
      </c>
      <c r="U51" s="124">
        <v>1220</v>
      </c>
      <c r="V51" s="126" t="s">
        <v>26</v>
      </c>
      <c r="AC51" s="33"/>
      <c r="AD51" s="33"/>
      <c r="AE51" s="33"/>
    </row>
    <row r="52" spans="1:31">
      <c r="A52" s="15" t="s">
        <v>94</v>
      </c>
      <c r="B52" s="8" t="s">
        <v>59</v>
      </c>
      <c r="C52" s="8" t="s">
        <v>22</v>
      </c>
      <c r="D52" s="3" t="s">
        <v>54</v>
      </c>
      <c r="E52" s="23" t="s">
        <v>27</v>
      </c>
      <c r="F52" s="16" t="s">
        <v>95</v>
      </c>
      <c r="G52" s="118">
        <v>109</v>
      </c>
      <c r="H52" s="118">
        <v>40.5</v>
      </c>
      <c r="I52" s="118">
        <v>2.5</v>
      </c>
      <c r="J52" s="118">
        <v>0.9</v>
      </c>
      <c r="K52" s="119" t="s">
        <v>26</v>
      </c>
      <c r="L52" s="118">
        <v>0.8</v>
      </c>
      <c r="M52" s="119" t="s">
        <v>26</v>
      </c>
      <c r="N52" s="119" t="s">
        <v>26</v>
      </c>
      <c r="O52" s="118">
        <v>3.2</v>
      </c>
      <c r="P52" s="119" t="s">
        <v>26</v>
      </c>
      <c r="Q52" s="118">
        <v>5.7</v>
      </c>
      <c r="R52" s="119" t="s">
        <v>26</v>
      </c>
      <c r="S52" s="127">
        <v>2.5</v>
      </c>
      <c r="T52" s="121" t="s">
        <v>26</v>
      </c>
      <c r="U52" s="130">
        <v>649</v>
      </c>
      <c r="V52" s="126" t="s">
        <v>26</v>
      </c>
      <c r="AC52" s="33"/>
      <c r="AD52" s="33"/>
      <c r="AE52" s="33"/>
    </row>
    <row r="53" spans="1:31">
      <c r="A53" s="15" t="s">
        <v>94</v>
      </c>
      <c r="B53" s="8" t="s">
        <v>59</v>
      </c>
      <c r="C53" s="8" t="s">
        <v>22</v>
      </c>
      <c r="D53" s="3" t="s">
        <v>54</v>
      </c>
      <c r="E53" s="23" t="s">
        <v>29</v>
      </c>
      <c r="F53" s="16" t="s">
        <v>96</v>
      </c>
      <c r="G53" s="118">
        <v>37</v>
      </c>
      <c r="H53" s="118">
        <v>24.7</v>
      </c>
      <c r="I53" s="119" t="s">
        <v>26</v>
      </c>
      <c r="J53" s="118">
        <v>4.7</v>
      </c>
      <c r="K53" s="119" t="s">
        <v>26</v>
      </c>
      <c r="L53" s="119" t="s">
        <v>26</v>
      </c>
      <c r="M53" s="119" t="s">
        <v>26</v>
      </c>
      <c r="N53" s="119" t="s">
        <v>26</v>
      </c>
      <c r="O53" s="125" t="s">
        <v>26</v>
      </c>
      <c r="P53" s="119" t="s">
        <v>26</v>
      </c>
      <c r="Q53" s="118">
        <v>5.2</v>
      </c>
      <c r="R53" s="119" t="s">
        <v>26</v>
      </c>
      <c r="S53" s="127">
        <v>6.2</v>
      </c>
      <c r="T53" s="121" t="s">
        <v>26</v>
      </c>
      <c r="U53" s="122">
        <v>5462</v>
      </c>
      <c r="V53" s="126" t="s">
        <v>26</v>
      </c>
      <c r="AC53" s="33"/>
      <c r="AD53" s="33"/>
      <c r="AE53" s="33"/>
    </row>
    <row r="54" spans="1:31">
      <c r="A54" s="15" t="s">
        <v>94</v>
      </c>
      <c r="B54" s="8" t="s">
        <v>59</v>
      </c>
      <c r="C54" s="8" t="s">
        <v>22</v>
      </c>
      <c r="D54" s="3" t="s">
        <v>54</v>
      </c>
      <c r="E54" s="23" t="s">
        <v>31</v>
      </c>
      <c r="F54" s="16" t="s">
        <v>97</v>
      </c>
      <c r="G54" s="118">
        <v>17</v>
      </c>
      <c r="H54" s="118">
        <v>7.5</v>
      </c>
      <c r="I54" s="119" t="s">
        <v>26</v>
      </c>
      <c r="J54" s="118">
        <v>15</v>
      </c>
      <c r="K54" s="119" t="s">
        <v>26</v>
      </c>
      <c r="L54" s="119" t="s">
        <v>26</v>
      </c>
      <c r="M54" s="119" t="s">
        <v>26</v>
      </c>
      <c r="N54" s="119" t="s">
        <v>26</v>
      </c>
      <c r="O54" s="125" t="s">
        <v>26</v>
      </c>
      <c r="P54" s="119" t="s">
        <v>26</v>
      </c>
      <c r="Q54" s="119" t="s">
        <v>26</v>
      </c>
      <c r="R54" s="119" t="s">
        <v>26</v>
      </c>
      <c r="S54" s="120" t="s">
        <v>26</v>
      </c>
      <c r="T54" s="121" t="s">
        <v>26</v>
      </c>
      <c r="U54" s="122">
        <v>535</v>
      </c>
      <c r="V54" s="126" t="s">
        <v>26</v>
      </c>
      <c r="AC54" s="33"/>
      <c r="AD54" s="33"/>
      <c r="AE54" s="33"/>
    </row>
    <row r="55" spans="1:31">
      <c r="A55" s="15" t="s">
        <v>94</v>
      </c>
      <c r="B55" s="8" t="s">
        <v>98</v>
      </c>
      <c r="C55" s="8" t="s">
        <v>22</v>
      </c>
      <c r="D55" s="3" t="s">
        <v>33</v>
      </c>
      <c r="E55" s="23" t="s">
        <v>24</v>
      </c>
      <c r="F55" s="16" t="s">
        <v>99</v>
      </c>
      <c r="G55" s="118">
        <v>228</v>
      </c>
      <c r="H55" s="118">
        <v>18.399999999999999</v>
      </c>
      <c r="I55" s="119" t="s">
        <v>26</v>
      </c>
      <c r="J55" s="119" t="s">
        <v>26</v>
      </c>
      <c r="K55" s="119" t="s">
        <v>26</v>
      </c>
      <c r="L55" s="118">
        <v>0.4</v>
      </c>
      <c r="M55" s="119" t="s">
        <v>26</v>
      </c>
      <c r="N55" s="119" t="s">
        <v>26</v>
      </c>
      <c r="O55" s="118">
        <v>1.2</v>
      </c>
      <c r="P55" s="119" t="s">
        <v>26</v>
      </c>
      <c r="Q55" s="119" t="s">
        <v>26</v>
      </c>
      <c r="R55" s="119" t="s">
        <v>26</v>
      </c>
      <c r="S55" s="127">
        <v>1.4</v>
      </c>
      <c r="T55" s="128">
        <v>2</v>
      </c>
      <c r="U55" s="122">
        <v>60</v>
      </c>
      <c r="V55" s="89">
        <v>394</v>
      </c>
      <c r="AC55" s="33"/>
      <c r="AD55" s="33"/>
      <c r="AE55" s="33"/>
    </row>
    <row r="56" spans="1:31">
      <c r="A56" s="15" t="s">
        <v>94</v>
      </c>
      <c r="B56" s="8" t="s">
        <v>98</v>
      </c>
      <c r="C56" s="8" t="s">
        <v>22</v>
      </c>
      <c r="D56" s="3" t="s">
        <v>33</v>
      </c>
      <c r="E56" s="23" t="s">
        <v>27</v>
      </c>
      <c r="F56" s="16" t="s">
        <v>100</v>
      </c>
      <c r="G56" s="118">
        <v>108</v>
      </c>
      <c r="H56" s="118">
        <v>28.4</v>
      </c>
      <c r="I56" s="118">
        <v>9.5</v>
      </c>
      <c r="J56" s="119" t="s">
        <v>26</v>
      </c>
      <c r="K56" s="119" t="s">
        <v>26</v>
      </c>
      <c r="L56" s="119" t="s">
        <v>26</v>
      </c>
      <c r="M56" s="119" t="s">
        <v>26</v>
      </c>
      <c r="N56" s="119" t="s">
        <v>26</v>
      </c>
      <c r="O56" s="118">
        <v>1.8</v>
      </c>
      <c r="P56" s="119" t="s">
        <v>26</v>
      </c>
      <c r="Q56" s="119" t="s">
        <v>26</v>
      </c>
      <c r="R56" s="119" t="s">
        <v>26</v>
      </c>
      <c r="S56" s="127">
        <v>2.5</v>
      </c>
      <c r="T56" s="128">
        <v>1</v>
      </c>
      <c r="U56" s="122">
        <v>18</v>
      </c>
      <c r="V56" s="89">
        <v>225</v>
      </c>
      <c r="AC56" s="33"/>
      <c r="AD56" s="33"/>
      <c r="AE56" s="33"/>
    </row>
    <row r="57" spans="1:31">
      <c r="A57" s="15" t="s">
        <v>94</v>
      </c>
      <c r="B57" s="8" t="s">
        <v>98</v>
      </c>
      <c r="C57" s="8" t="s">
        <v>22</v>
      </c>
      <c r="D57" s="3" t="s">
        <v>33</v>
      </c>
      <c r="E57" s="23" t="s">
        <v>71</v>
      </c>
      <c r="F57" s="16" t="s">
        <v>101</v>
      </c>
      <c r="G57" s="118">
        <v>94</v>
      </c>
      <c r="H57" s="118">
        <v>14.5</v>
      </c>
      <c r="I57" s="118">
        <v>31.2</v>
      </c>
      <c r="J57" s="119" t="s">
        <v>26</v>
      </c>
      <c r="K57" s="119" t="s">
        <v>26</v>
      </c>
      <c r="L57" s="119" t="s">
        <v>26</v>
      </c>
      <c r="M57" s="119" t="s">
        <v>26</v>
      </c>
      <c r="N57" s="119" t="s">
        <v>26</v>
      </c>
      <c r="O57" s="118">
        <v>3.1</v>
      </c>
      <c r="P57" s="119" t="s">
        <v>26</v>
      </c>
      <c r="Q57" s="119" t="s">
        <v>26</v>
      </c>
      <c r="R57" s="119" t="s">
        <v>26</v>
      </c>
      <c r="S57" s="127">
        <v>4.8</v>
      </c>
      <c r="T57" s="121" t="s">
        <v>26</v>
      </c>
      <c r="U57" s="122">
        <v>220</v>
      </c>
      <c r="V57" s="89">
        <v>350</v>
      </c>
      <c r="AC57" s="33"/>
      <c r="AD57" s="33"/>
      <c r="AE57" s="33"/>
    </row>
    <row r="58" spans="1:31">
      <c r="A58" s="15" t="s">
        <v>94</v>
      </c>
      <c r="B58" s="8" t="s">
        <v>98</v>
      </c>
      <c r="C58" s="8" t="s">
        <v>22</v>
      </c>
      <c r="D58" s="3" t="s">
        <v>33</v>
      </c>
      <c r="E58" s="23" t="s">
        <v>29</v>
      </c>
      <c r="F58" s="16" t="s">
        <v>102</v>
      </c>
      <c r="G58" s="118">
        <v>52</v>
      </c>
      <c r="H58" s="118">
        <v>5.8</v>
      </c>
      <c r="I58" s="118">
        <v>24.5</v>
      </c>
      <c r="J58" s="118">
        <v>1.92</v>
      </c>
      <c r="K58" s="119" t="s">
        <v>26</v>
      </c>
      <c r="L58" s="119" t="s">
        <v>26</v>
      </c>
      <c r="M58" s="119" t="s">
        <v>26</v>
      </c>
      <c r="N58" s="119" t="s">
        <v>26</v>
      </c>
      <c r="O58" s="118">
        <v>5.9</v>
      </c>
      <c r="P58" s="119" t="s">
        <v>26</v>
      </c>
      <c r="Q58" s="119" t="s">
        <v>26</v>
      </c>
      <c r="R58" s="119" t="s">
        <v>26</v>
      </c>
      <c r="S58" s="127">
        <v>12.5</v>
      </c>
      <c r="T58" s="121" t="s">
        <v>26</v>
      </c>
      <c r="U58" s="122">
        <v>260</v>
      </c>
      <c r="V58" s="89">
        <v>621</v>
      </c>
      <c r="AC58" s="33"/>
      <c r="AD58" s="33"/>
      <c r="AE58" s="33"/>
    </row>
    <row r="59" spans="1:31">
      <c r="A59" s="15" t="s">
        <v>94</v>
      </c>
      <c r="B59" s="8" t="s">
        <v>98</v>
      </c>
      <c r="C59" s="8" t="s">
        <v>22</v>
      </c>
      <c r="D59" s="3" t="s">
        <v>33</v>
      </c>
      <c r="E59" s="23" t="s">
        <v>31</v>
      </c>
      <c r="F59" s="16" t="s">
        <v>103</v>
      </c>
      <c r="G59" s="118">
        <v>18</v>
      </c>
      <c r="H59" s="119" t="s">
        <v>26</v>
      </c>
      <c r="I59" s="118">
        <v>11.6</v>
      </c>
      <c r="J59" s="118">
        <v>5.24</v>
      </c>
      <c r="K59" s="119" t="s">
        <v>26</v>
      </c>
      <c r="L59" s="119" t="s">
        <v>26</v>
      </c>
      <c r="M59" s="119" t="s">
        <v>26</v>
      </c>
      <c r="N59" s="119" t="s">
        <v>26</v>
      </c>
      <c r="O59" s="118">
        <v>4.2</v>
      </c>
      <c r="P59" s="119" t="s">
        <v>26</v>
      </c>
      <c r="Q59" s="119" t="s">
        <v>26</v>
      </c>
      <c r="R59" s="119" t="s">
        <v>26</v>
      </c>
      <c r="S59" s="127">
        <v>16.8</v>
      </c>
      <c r="T59" s="121" t="s">
        <v>26</v>
      </c>
      <c r="U59" s="122">
        <v>120</v>
      </c>
      <c r="V59" s="89">
        <v>20</v>
      </c>
      <c r="AC59" s="33"/>
      <c r="AD59" s="33"/>
      <c r="AE59" s="33"/>
    </row>
    <row r="60" spans="1:31">
      <c r="A60" s="15" t="s">
        <v>94</v>
      </c>
      <c r="B60" s="8" t="s">
        <v>63</v>
      </c>
      <c r="C60" s="8" t="s">
        <v>22</v>
      </c>
      <c r="D60" s="3" t="s">
        <v>23</v>
      </c>
      <c r="E60" s="23" t="s">
        <v>24</v>
      </c>
      <c r="F60" s="16" t="s">
        <v>104</v>
      </c>
      <c r="G60" s="118">
        <v>232</v>
      </c>
      <c r="H60" s="118">
        <v>7.9</v>
      </c>
      <c r="I60" s="119" t="s">
        <v>26</v>
      </c>
      <c r="J60" s="119" t="s">
        <v>26</v>
      </c>
      <c r="K60" s="119" t="s">
        <v>26</v>
      </c>
      <c r="L60" s="119" t="s">
        <v>26</v>
      </c>
      <c r="M60" s="118">
        <v>1.1000000000000001</v>
      </c>
      <c r="N60" s="119" t="s">
        <v>26</v>
      </c>
      <c r="O60" s="118">
        <v>1.1000000000000001</v>
      </c>
      <c r="P60" s="119" t="s">
        <v>26</v>
      </c>
      <c r="Q60" s="118">
        <v>4.8</v>
      </c>
      <c r="R60" s="119" t="s">
        <v>26</v>
      </c>
      <c r="S60" s="120" t="s">
        <v>26</v>
      </c>
      <c r="T60" s="121" t="s">
        <v>26</v>
      </c>
      <c r="U60" s="124">
        <v>300</v>
      </c>
      <c r="V60" s="126" t="s">
        <v>26</v>
      </c>
      <c r="AC60" s="33"/>
      <c r="AD60" s="33"/>
      <c r="AE60" s="33"/>
    </row>
    <row r="61" spans="1:31">
      <c r="A61" s="15" t="s">
        <v>94</v>
      </c>
      <c r="B61" s="8" t="s">
        <v>63</v>
      </c>
      <c r="C61" s="8" t="s">
        <v>22</v>
      </c>
      <c r="D61" s="3" t="s">
        <v>23</v>
      </c>
      <c r="E61" s="23" t="s">
        <v>27</v>
      </c>
      <c r="F61" s="16" t="s">
        <v>105</v>
      </c>
      <c r="G61" s="118">
        <v>112</v>
      </c>
      <c r="H61" s="118">
        <v>12.2</v>
      </c>
      <c r="I61" s="118">
        <v>25.8</v>
      </c>
      <c r="J61" s="118">
        <v>0.7</v>
      </c>
      <c r="K61" s="119" t="s">
        <v>26</v>
      </c>
      <c r="L61" s="119" t="s">
        <v>26</v>
      </c>
      <c r="M61" s="118">
        <v>2.5</v>
      </c>
      <c r="N61" s="119" t="s">
        <v>26</v>
      </c>
      <c r="O61" s="118">
        <v>6.4</v>
      </c>
      <c r="P61" s="119" t="s">
        <v>26</v>
      </c>
      <c r="Q61" s="118">
        <v>3.8</v>
      </c>
      <c r="R61" s="119" t="s">
        <v>26</v>
      </c>
      <c r="S61" s="120" t="s">
        <v>26</v>
      </c>
      <c r="T61" s="121" t="s">
        <v>26</v>
      </c>
      <c r="U61" s="124">
        <v>140</v>
      </c>
      <c r="V61" s="126" t="s">
        <v>26</v>
      </c>
      <c r="AC61" s="33"/>
      <c r="AD61" s="33"/>
      <c r="AE61" s="33"/>
    </row>
    <row r="62" spans="1:31">
      <c r="A62" s="15" t="s">
        <v>94</v>
      </c>
      <c r="B62" s="8" t="s">
        <v>63</v>
      </c>
      <c r="C62" s="8" t="s">
        <v>22</v>
      </c>
      <c r="D62" s="3" t="s">
        <v>23</v>
      </c>
      <c r="E62" s="23" t="s">
        <v>29</v>
      </c>
      <c r="F62" s="16" t="s">
        <v>106</v>
      </c>
      <c r="G62" s="118">
        <v>51</v>
      </c>
      <c r="H62" s="118">
        <v>4.4000000000000004</v>
      </c>
      <c r="I62" s="118">
        <v>28.4</v>
      </c>
      <c r="J62" s="118">
        <v>4.5599999999999996</v>
      </c>
      <c r="K62" s="119" t="s">
        <v>26</v>
      </c>
      <c r="L62" s="119" t="s">
        <v>26</v>
      </c>
      <c r="M62" s="118">
        <v>3.8</v>
      </c>
      <c r="N62" s="119" t="s">
        <v>26</v>
      </c>
      <c r="O62" s="118">
        <v>18.5</v>
      </c>
      <c r="P62" s="119" t="s">
        <v>26</v>
      </c>
      <c r="Q62" s="119" t="s">
        <v>26</v>
      </c>
      <c r="R62" s="119" t="s">
        <v>26</v>
      </c>
      <c r="S62" s="120" t="s">
        <v>26</v>
      </c>
      <c r="T62" s="121" t="s">
        <v>26</v>
      </c>
      <c r="U62" s="124">
        <v>120</v>
      </c>
      <c r="V62" s="126" t="s">
        <v>26</v>
      </c>
      <c r="AC62" s="33"/>
      <c r="AD62" s="33"/>
      <c r="AE62" s="33"/>
    </row>
    <row r="63" spans="1:31">
      <c r="A63" s="15" t="s">
        <v>94</v>
      </c>
      <c r="B63" s="8" t="s">
        <v>63</v>
      </c>
      <c r="C63" s="8" t="s">
        <v>22</v>
      </c>
      <c r="D63" s="3" t="s">
        <v>23</v>
      </c>
      <c r="E63" s="23" t="s">
        <v>31</v>
      </c>
      <c r="F63" s="16" t="s">
        <v>107</v>
      </c>
      <c r="G63" s="118">
        <v>20</v>
      </c>
      <c r="H63" s="119" t="s">
        <v>26</v>
      </c>
      <c r="I63" s="118">
        <v>12.6</v>
      </c>
      <c r="J63" s="118">
        <v>18.55</v>
      </c>
      <c r="K63" s="119" t="s">
        <v>26</v>
      </c>
      <c r="L63" s="119" t="s">
        <v>26</v>
      </c>
      <c r="M63" s="119" t="s">
        <v>26</v>
      </c>
      <c r="N63" s="119" t="s">
        <v>26</v>
      </c>
      <c r="O63" s="118">
        <v>14.5</v>
      </c>
      <c r="P63" s="119" t="s">
        <v>26</v>
      </c>
      <c r="Q63" s="119" t="s">
        <v>26</v>
      </c>
      <c r="R63" s="119" t="s">
        <v>26</v>
      </c>
      <c r="S63" s="120" t="s">
        <v>26</v>
      </c>
      <c r="T63" s="121" t="s">
        <v>26</v>
      </c>
      <c r="U63" s="123" t="s">
        <v>26</v>
      </c>
      <c r="V63" s="126" t="s">
        <v>26</v>
      </c>
      <c r="AC63" s="33"/>
      <c r="AD63" s="33"/>
      <c r="AE63" s="33"/>
    </row>
    <row r="64" spans="1:31">
      <c r="A64" s="15" t="s">
        <v>94</v>
      </c>
      <c r="B64" s="8" t="s">
        <v>108</v>
      </c>
      <c r="C64" s="8" t="s">
        <v>22</v>
      </c>
      <c r="D64" s="8" t="s">
        <v>109</v>
      </c>
      <c r="E64" s="23" t="s">
        <v>24</v>
      </c>
      <c r="F64" s="16" t="s">
        <v>110</v>
      </c>
      <c r="G64" s="118">
        <v>220</v>
      </c>
      <c r="H64" s="118">
        <v>12.5</v>
      </c>
      <c r="I64" s="119" t="s">
        <v>26</v>
      </c>
      <c r="J64" s="119" t="s">
        <v>26</v>
      </c>
      <c r="K64" s="119" t="s">
        <v>26</v>
      </c>
      <c r="L64" s="119" t="s">
        <v>26</v>
      </c>
      <c r="M64" s="118">
        <v>3.9</v>
      </c>
      <c r="N64" s="119" t="s">
        <v>26</v>
      </c>
      <c r="O64" s="118">
        <v>2.8</v>
      </c>
      <c r="P64" s="119" t="s">
        <v>26</v>
      </c>
      <c r="Q64" s="118">
        <v>5.5</v>
      </c>
      <c r="R64" s="119" t="s">
        <v>26</v>
      </c>
      <c r="S64" s="120" t="s">
        <v>26</v>
      </c>
      <c r="T64" s="121" t="s">
        <v>26</v>
      </c>
      <c r="U64" s="129">
        <v>360</v>
      </c>
      <c r="V64" s="126" t="s">
        <v>26</v>
      </c>
      <c r="AC64" s="33"/>
      <c r="AD64" s="33"/>
      <c r="AE64" s="33"/>
    </row>
    <row r="65" spans="1:31">
      <c r="A65" s="15" t="s">
        <v>94</v>
      </c>
      <c r="B65" s="8" t="s">
        <v>108</v>
      </c>
      <c r="C65" s="8" t="s">
        <v>22</v>
      </c>
      <c r="D65" s="8" t="s">
        <v>109</v>
      </c>
      <c r="E65" s="23" t="s">
        <v>27</v>
      </c>
      <c r="F65" s="16" t="s">
        <v>111</v>
      </c>
      <c r="G65" s="118">
        <v>111</v>
      </c>
      <c r="H65" s="118">
        <v>18.399999999999999</v>
      </c>
      <c r="I65" s="118">
        <v>5.4</v>
      </c>
      <c r="J65" s="118">
        <v>0.82</v>
      </c>
      <c r="K65" s="119" t="s">
        <v>26</v>
      </c>
      <c r="L65" s="119" t="s">
        <v>26</v>
      </c>
      <c r="M65" s="118">
        <v>5.8</v>
      </c>
      <c r="N65" s="119" t="s">
        <v>26</v>
      </c>
      <c r="O65" s="118">
        <v>4.2</v>
      </c>
      <c r="P65" s="119" t="s">
        <v>26</v>
      </c>
      <c r="Q65" s="118">
        <v>6.2</v>
      </c>
      <c r="R65" s="119" t="s">
        <v>26</v>
      </c>
      <c r="S65" s="120" t="s">
        <v>26</v>
      </c>
      <c r="T65" s="121" t="s">
        <v>26</v>
      </c>
      <c r="U65" s="122">
        <v>140</v>
      </c>
      <c r="V65" s="126" t="s">
        <v>26</v>
      </c>
      <c r="AC65" s="33"/>
      <c r="AD65" s="33"/>
      <c r="AE65" s="33"/>
    </row>
    <row r="66" spans="1:31">
      <c r="A66" s="15" t="s">
        <v>94</v>
      </c>
      <c r="B66" s="8" t="s">
        <v>108</v>
      </c>
      <c r="C66" s="8" t="s">
        <v>22</v>
      </c>
      <c r="D66" s="8" t="s">
        <v>109</v>
      </c>
      <c r="E66" s="23" t="s">
        <v>29</v>
      </c>
      <c r="F66" s="16" t="s">
        <v>112</v>
      </c>
      <c r="G66" s="118">
        <v>48</v>
      </c>
      <c r="H66" s="118">
        <v>19.399999999999999</v>
      </c>
      <c r="I66" s="118">
        <v>7.4</v>
      </c>
      <c r="J66" s="118">
        <v>6.32</v>
      </c>
      <c r="K66" s="119" t="s">
        <v>26</v>
      </c>
      <c r="L66" s="119" t="s">
        <v>26</v>
      </c>
      <c r="M66" s="118">
        <v>5.0999999999999996</v>
      </c>
      <c r="N66" s="119" t="s">
        <v>26</v>
      </c>
      <c r="O66" s="118">
        <v>5.0999999999999996</v>
      </c>
      <c r="P66" s="119" t="s">
        <v>26</v>
      </c>
      <c r="Q66" s="118">
        <v>7.1</v>
      </c>
      <c r="R66" s="119" t="s">
        <v>26</v>
      </c>
      <c r="S66" s="120" t="s">
        <v>26</v>
      </c>
      <c r="T66" s="121" t="s">
        <v>26</v>
      </c>
      <c r="U66" s="123" t="s">
        <v>26</v>
      </c>
      <c r="V66" s="126" t="s">
        <v>26</v>
      </c>
      <c r="AC66" s="33"/>
      <c r="AD66" s="33"/>
      <c r="AE66" s="33"/>
    </row>
    <row r="67" spans="1:31">
      <c r="A67" s="15" t="s">
        <v>94</v>
      </c>
      <c r="B67" s="8" t="s">
        <v>108</v>
      </c>
      <c r="C67" s="8" t="s">
        <v>22</v>
      </c>
      <c r="D67" s="8" t="s">
        <v>109</v>
      </c>
      <c r="E67" s="23" t="s">
        <v>31</v>
      </c>
      <c r="F67" s="16" t="s">
        <v>113</v>
      </c>
      <c r="G67" s="118">
        <v>17</v>
      </c>
      <c r="H67" s="118">
        <v>21.5</v>
      </c>
      <c r="I67" s="118">
        <v>6.5</v>
      </c>
      <c r="J67" s="118">
        <v>19.399999999999999</v>
      </c>
      <c r="K67" s="119" t="s">
        <v>26</v>
      </c>
      <c r="L67" s="119" t="s">
        <v>26</v>
      </c>
      <c r="M67" s="119" t="s">
        <v>26</v>
      </c>
      <c r="N67" s="119" t="s">
        <v>26</v>
      </c>
      <c r="O67" s="118">
        <v>4.8</v>
      </c>
      <c r="P67" s="119" t="s">
        <v>26</v>
      </c>
      <c r="Q67" s="119" t="s">
        <v>26</v>
      </c>
      <c r="R67" s="119" t="s">
        <v>26</v>
      </c>
      <c r="S67" s="120" t="s">
        <v>26</v>
      </c>
      <c r="T67" s="121" t="s">
        <v>26</v>
      </c>
      <c r="U67" s="123" t="s">
        <v>26</v>
      </c>
      <c r="V67" s="126" t="s">
        <v>26</v>
      </c>
      <c r="AC67" s="33"/>
      <c r="AD67" s="33"/>
      <c r="AE67" s="33"/>
    </row>
    <row r="68" spans="1:31">
      <c r="A68" s="15" t="s">
        <v>94</v>
      </c>
      <c r="B68" s="8" t="s">
        <v>114</v>
      </c>
      <c r="C68" s="8" t="s">
        <v>22</v>
      </c>
      <c r="D68" s="3" t="s">
        <v>33</v>
      </c>
      <c r="E68" s="23" t="s">
        <v>27</v>
      </c>
      <c r="F68" s="16" t="s">
        <v>115</v>
      </c>
      <c r="G68" s="118">
        <v>101</v>
      </c>
      <c r="H68" s="118">
        <v>31.5</v>
      </c>
      <c r="I68" s="118">
        <v>4.2</v>
      </c>
      <c r="J68" s="119" t="s">
        <v>26</v>
      </c>
      <c r="K68" s="119" t="s">
        <v>26</v>
      </c>
      <c r="L68" s="119" t="s">
        <v>26</v>
      </c>
      <c r="M68" s="118">
        <v>9.4</v>
      </c>
      <c r="N68" s="119" t="s">
        <v>26</v>
      </c>
      <c r="O68" s="125" t="s">
        <v>26</v>
      </c>
      <c r="P68" s="119" t="s">
        <v>26</v>
      </c>
      <c r="Q68" s="119" t="s">
        <v>26</v>
      </c>
      <c r="R68" s="119" t="s">
        <v>26</v>
      </c>
      <c r="S68" s="127">
        <v>5.5</v>
      </c>
      <c r="T68" s="121" t="s">
        <v>26</v>
      </c>
      <c r="U68" s="123" t="s">
        <v>26</v>
      </c>
      <c r="V68" s="126" t="s">
        <v>26</v>
      </c>
      <c r="AC68" s="33"/>
      <c r="AD68" s="33"/>
      <c r="AE68" s="33"/>
    </row>
    <row r="69" spans="1:31">
      <c r="A69" s="15" t="s">
        <v>94</v>
      </c>
      <c r="B69" s="8" t="s">
        <v>114</v>
      </c>
      <c r="C69" s="8" t="s">
        <v>22</v>
      </c>
      <c r="D69" s="3" t="s">
        <v>33</v>
      </c>
      <c r="E69" s="23" t="s">
        <v>71</v>
      </c>
      <c r="F69" s="16" t="s">
        <v>116</v>
      </c>
      <c r="G69" s="118">
        <v>90</v>
      </c>
      <c r="H69" s="118">
        <v>15.5</v>
      </c>
      <c r="I69" s="118">
        <v>28.4</v>
      </c>
      <c r="J69" s="118">
        <v>1.1000000000000001</v>
      </c>
      <c r="K69" s="119" t="s">
        <v>26</v>
      </c>
      <c r="L69" s="119" t="s">
        <v>26</v>
      </c>
      <c r="M69" s="118">
        <v>8.5</v>
      </c>
      <c r="N69" s="119" t="s">
        <v>26</v>
      </c>
      <c r="O69" s="118">
        <v>2.8</v>
      </c>
      <c r="P69" s="119" t="s">
        <v>26</v>
      </c>
      <c r="Q69" s="119" t="s">
        <v>26</v>
      </c>
      <c r="R69" s="119" t="s">
        <v>26</v>
      </c>
      <c r="S69" s="127">
        <v>4</v>
      </c>
      <c r="T69" s="121" t="s">
        <v>26</v>
      </c>
      <c r="U69" s="123" t="s">
        <v>26</v>
      </c>
      <c r="V69" s="126" t="s">
        <v>26</v>
      </c>
      <c r="AC69" s="33"/>
      <c r="AD69" s="33"/>
      <c r="AE69" s="33"/>
    </row>
    <row r="70" spans="1:31">
      <c r="A70" s="15" t="s">
        <v>94</v>
      </c>
      <c r="B70" s="8" t="s">
        <v>114</v>
      </c>
      <c r="C70" s="8" t="s">
        <v>22</v>
      </c>
      <c r="D70" s="3" t="s">
        <v>33</v>
      </c>
      <c r="E70" s="23" t="s">
        <v>29</v>
      </c>
      <c r="F70" s="16" t="s">
        <v>117</v>
      </c>
      <c r="G70" s="118">
        <v>48</v>
      </c>
      <c r="H70" s="118">
        <v>8.5</v>
      </c>
      <c r="I70" s="118">
        <v>21.6</v>
      </c>
      <c r="J70" s="118">
        <v>1.86</v>
      </c>
      <c r="K70" s="119" t="s">
        <v>26</v>
      </c>
      <c r="L70" s="119" t="s">
        <v>26</v>
      </c>
      <c r="M70" s="118">
        <v>7.4</v>
      </c>
      <c r="N70" s="119" t="s">
        <v>26</v>
      </c>
      <c r="O70" s="118">
        <v>3.7</v>
      </c>
      <c r="P70" s="119" t="s">
        <v>26</v>
      </c>
      <c r="Q70" s="119" t="s">
        <v>26</v>
      </c>
      <c r="R70" s="119" t="s">
        <v>26</v>
      </c>
      <c r="S70" s="127">
        <v>8.4</v>
      </c>
      <c r="T70" s="121" t="s">
        <v>26</v>
      </c>
      <c r="U70" s="122">
        <v>200</v>
      </c>
      <c r="V70" s="126" t="s">
        <v>26</v>
      </c>
      <c r="AC70" s="33"/>
      <c r="AD70" s="33"/>
      <c r="AE70" s="33"/>
    </row>
    <row r="71" spans="1:31">
      <c r="A71" s="15" t="s">
        <v>118</v>
      </c>
      <c r="B71" s="8" t="s">
        <v>119</v>
      </c>
      <c r="C71" s="8" t="s">
        <v>22</v>
      </c>
      <c r="D71" s="1" t="s">
        <v>1341</v>
      </c>
      <c r="E71" s="23" t="s">
        <v>71</v>
      </c>
      <c r="F71" s="16" t="s">
        <v>120</v>
      </c>
      <c r="G71" s="118">
        <v>91</v>
      </c>
      <c r="H71" s="118">
        <v>32.5</v>
      </c>
      <c r="I71" s="118">
        <v>14.2</v>
      </c>
      <c r="J71" s="119" t="s">
        <v>26</v>
      </c>
      <c r="K71" s="119" t="s">
        <v>26</v>
      </c>
      <c r="L71" s="119" t="s">
        <v>26</v>
      </c>
      <c r="M71" s="118">
        <v>1.5</v>
      </c>
      <c r="N71" s="119" t="s">
        <v>26</v>
      </c>
      <c r="O71" s="118">
        <v>2.8</v>
      </c>
      <c r="P71" s="119" t="s">
        <v>26</v>
      </c>
      <c r="Q71" s="118">
        <v>6.8</v>
      </c>
      <c r="R71" s="119" t="s">
        <v>26</v>
      </c>
      <c r="S71" s="120" t="s">
        <v>26</v>
      </c>
      <c r="T71" s="121" t="s">
        <v>26</v>
      </c>
      <c r="U71" s="123" t="s">
        <v>26</v>
      </c>
      <c r="V71" s="126" t="s">
        <v>26</v>
      </c>
      <c r="AC71" s="33"/>
      <c r="AD71" s="33"/>
      <c r="AE71" s="33"/>
    </row>
    <row r="72" spans="1:31">
      <c r="A72" s="15" t="s">
        <v>118</v>
      </c>
      <c r="B72" s="8" t="s">
        <v>119</v>
      </c>
      <c r="C72" s="8" t="s">
        <v>22</v>
      </c>
      <c r="D72" s="1" t="s">
        <v>1341</v>
      </c>
      <c r="E72" s="23" t="s">
        <v>29</v>
      </c>
      <c r="F72" s="16" t="s">
        <v>121</v>
      </c>
      <c r="G72" s="118">
        <v>47</v>
      </c>
      <c r="H72" s="118">
        <v>22.8</v>
      </c>
      <c r="I72" s="118">
        <v>16.399999999999999</v>
      </c>
      <c r="J72" s="118">
        <v>5.88</v>
      </c>
      <c r="K72" s="119" t="s">
        <v>26</v>
      </c>
      <c r="L72" s="119" t="s">
        <v>26</v>
      </c>
      <c r="M72" s="118">
        <v>3.8</v>
      </c>
      <c r="N72" s="119" t="s">
        <v>26</v>
      </c>
      <c r="O72" s="118">
        <v>5.4</v>
      </c>
      <c r="P72" s="119" t="s">
        <v>26</v>
      </c>
      <c r="Q72" s="118">
        <v>4.2</v>
      </c>
      <c r="R72" s="119" t="s">
        <v>26</v>
      </c>
      <c r="S72" s="120" t="s">
        <v>26</v>
      </c>
      <c r="T72" s="121" t="s">
        <v>26</v>
      </c>
      <c r="U72" s="123" t="s">
        <v>26</v>
      </c>
      <c r="V72" s="126" t="s">
        <v>26</v>
      </c>
      <c r="AC72" s="33"/>
      <c r="AD72" s="33"/>
      <c r="AE72" s="33"/>
    </row>
    <row r="73" spans="1:31">
      <c r="A73" s="15" t="s">
        <v>118</v>
      </c>
      <c r="B73" s="8" t="s">
        <v>119</v>
      </c>
      <c r="C73" s="8" t="s">
        <v>22</v>
      </c>
      <c r="D73" s="1" t="s">
        <v>1341</v>
      </c>
      <c r="E73" s="23" t="s">
        <v>31</v>
      </c>
      <c r="F73" s="16" t="s">
        <v>122</v>
      </c>
      <c r="G73" s="118">
        <v>17</v>
      </c>
      <c r="H73" s="119" t="s">
        <v>26</v>
      </c>
      <c r="I73" s="118">
        <v>13.4</v>
      </c>
      <c r="J73" s="118">
        <v>14.55</v>
      </c>
      <c r="K73" s="119" t="s">
        <v>26</v>
      </c>
      <c r="L73" s="119" t="s">
        <v>26</v>
      </c>
      <c r="M73" s="119" t="s">
        <v>26</v>
      </c>
      <c r="N73" s="119" t="s">
        <v>26</v>
      </c>
      <c r="O73" s="118">
        <v>6.2</v>
      </c>
      <c r="P73" s="119" t="s">
        <v>26</v>
      </c>
      <c r="Q73" s="119" t="s">
        <v>26</v>
      </c>
      <c r="R73" s="119" t="s">
        <v>26</v>
      </c>
      <c r="S73" s="120" t="s">
        <v>26</v>
      </c>
      <c r="T73" s="121" t="s">
        <v>26</v>
      </c>
      <c r="U73" s="123" t="s">
        <v>26</v>
      </c>
      <c r="V73" s="126" t="s">
        <v>26</v>
      </c>
      <c r="AC73" s="33"/>
      <c r="AD73" s="33"/>
      <c r="AE73" s="33"/>
    </row>
    <row r="74" spans="1:31">
      <c r="A74" s="15" t="s">
        <v>118</v>
      </c>
      <c r="B74" s="8" t="s">
        <v>53</v>
      </c>
      <c r="C74" s="8" t="s">
        <v>22</v>
      </c>
      <c r="D74" s="3" t="s">
        <v>54</v>
      </c>
      <c r="E74" s="23" t="s">
        <v>27</v>
      </c>
      <c r="F74" s="16" t="s">
        <v>123</v>
      </c>
      <c r="G74" s="118">
        <v>107</v>
      </c>
      <c r="H74" s="118">
        <v>38.200000000000003</v>
      </c>
      <c r="I74" s="118">
        <v>4.0999999999999996</v>
      </c>
      <c r="J74" s="119" t="s">
        <v>26</v>
      </c>
      <c r="K74" s="119" t="s">
        <v>26</v>
      </c>
      <c r="L74" s="119" t="s">
        <v>26</v>
      </c>
      <c r="M74" s="118">
        <v>5.0999999999999996</v>
      </c>
      <c r="N74" s="119" t="s">
        <v>26</v>
      </c>
      <c r="O74" s="118">
        <v>1.9</v>
      </c>
      <c r="P74" s="119" t="s">
        <v>26</v>
      </c>
      <c r="Q74" s="118">
        <v>8.4</v>
      </c>
      <c r="R74" s="119" t="s">
        <v>26</v>
      </c>
      <c r="S74" s="120" t="s">
        <v>26</v>
      </c>
      <c r="T74" s="121" t="s">
        <v>26</v>
      </c>
      <c r="U74" s="122">
        <v>660</v>
      </c>
      <c r="V74" s="126" t="s">
        <v>26</v>
      </c>
      <c r="AC74" s="33"/>
      <c r="AD74" s="33"/>
      <c r="AE74" s="33"/>
    </row>
    <row r="75" spans="1:31">
      <c r="A75" s="15" t="s">
        <v>118</v>
      </c>
      <c r="B75" s="8" t="s">
        <v>53</v>
      </c>
      <c r="C75" s="8" t="s">
        <v>22</v>
      </c>
      <c r="D75" s="3" t="s">
        <v>54</v>
      </c>
      <c r="E75" s="23" t="s">
        <v>29</v>
      </c>
      <c r="F75" s="16" t="s">
        <v>124</v>
      </c>
      <c r="G75" s="118">
        <v>48</v>
      </c>
      <c r="H75" s="118">
        <v>27.2</v>
      </c>
      <c r="I75" s="118">
        <v>15.1</v>
      </c>
      <c r="J75" s="118">
        <v>3.54</v>
      </c>
      <c r="K75" s="119" t="s">
        <v>26</v>
      </c>
      <c r="L75" s="119" t="s">
        <v>26</v>
      </c>
      <c r="M75" s="119" t="s">
        <v>26</v>
      </c>
      <c r="N75" s="119" t="s">
        <v>26</v>
      </c>
      <c r="O75" s="118">
        <v>4.0999999999999996</v>
      </c>
      <c r="P75" s="119" t="s">
        <v>26</v>
      </c>
      <c r="Q75" s="118">
        <v>5.3</v>
      </c>
      <c r="R75" s="119" t="s">
        <v>26</v>
      </c>
      <c r="S75" s="120" t="s">
        <v>26</v>
      </c>
      <c r="T75" s="121" t="s">
        <v>26</v>
      </c>
      <c r="U75" s="122">
        <v>4646</v>
      </c>
      <c r="V75" s="126" t="s">
        <v>26</v>
      </c>
      <c r="AC75" s="33"/>
      <c r="AD75" s="33"/>
      <c r="AE75" s="33"/>
    </row>
    <row r="76" spans="1:31">
      <c r="A76" s="15" t="s">
        <v>118</v>
      </c>
      <c r="B76" s="8" t="s">
        <v>125</v>
      </c>
      <c r="C76" s="8" t="s">
        <v>22</v>
      </c>
      <c r="D76" s="3" t="s">
        <v>23</v>
      </c>
      <c r="E76" s="23" t="s">
        <v>24</v>
      </c>
      <c r="F76" s="16" t="s">
        <v>126</v>
      </c>
      <c r="G76" s="118">
        <v>238</v>
      </c>
      <c r="H76" s="118">
        <v>8.5</v>
      </c>
      <c r="I76" s="119" t="s">
        <v>26</v>
      </c>
      <c r="J76" s="119" t="s">
        <v>26</v>
      </c>
      <c r="K76" s="119" t="s">
        <v>26</v>
      </c>
      <c r="L76" s="119" t="s">
        <v>26</v>
      </c>
      <c r="M76" s="118">
        <v>5.8</v>
      </c>
      <c r="N76" s="119" t="s">
        <v>26</v>
      </c>
      <c r="O76" s="118">
        <v>2.1</v>
      </c>
      <c r="P76" s="119" t="s">
        <v>26</v>
      </c>
      <c r="Q76" s="118">
        <v>4.0999999999999996</v>
      </c>
      <c r="R76" s="119" t="s">
        <v>26</v>
      </c>
      <c r="S76" s="127">
        <v>4.2</v>
      </c>
      <c r="T76" s="121" t="s">
        <v>26</v>
      </c>
      <c r="U76" s="122">
        <v>240</v>
      </c>
      <c r="V76" s="126" t="s">
        <v>26</v>
      </c>
      <c r="AC76" s="33"/>
      <c r="AD76" s="33"/>
      <c r="AE76" s="33"/>
    </row>
    <row r="77" spans="1:31">
      <c r="A77" s="15" t="s">
        <v>118</v>
      </c>
      <c r="B77" s="8" t="s">
        <v>125</v>
      </c>
      <c r="C77" s="8" t="s">
        <v>22</v>
      </c>
      <c r="D77" s="3" t="s">
        <v>23</v>
      </c>
      <c r="E77" s="23" t="s">
        <v>27</v>
      </c>
      <c r="F77" s="16" t="s">
        <v>127</v>
      </c>
      <c r="G77" s="118">
        <v>112</v>
      </c>
      <c r="H77" s="118">
        <v>12.8</v>
      </c>
      <c r="I77" s="118">
        <v>11.2</v>
      </c>
      <c r="J77" s="118">
        <v>0.73</v>
      </c>
      <c r="K77" s="119" t="s">
        <v>26</v>
      </c>
      <c r="L77" s="119" t="s">
        <v>26</v>
      </c>
      <c r="M77" s="118">
        <v>5</v>
      </c>
      <c r="N77" s="119" t="s">
        <v>26</v>
      </c>
      <c r="O77" s="118">
        <v>2.8</v>
      </c>
      <c r="P77" s="119" t="s">
        <v>26</v>
      </c>
      <c r="Q77" s="118">
        <v>4.2</v>
      </c>
      <c r="R77" s="119" t="s">
        <v>26</v>
      </c>
      <c r="S77" s="127">
        <v>5.9</v>
      </c>
      <c r="T77" s="121" t="s">
        <v>26</v>
      </c>
      <c r="U77" s="122">
        <v>60</v>
      </c>
      <c r="V77" s="126" t="s">
        <v>26</v>
      </c>
      <c r="AC77" s="33"/>
      <c r="AD77" s="33"/>
      <c r="AE77" s="33"/>
    </row>
    <row r="78" spans="1:31">
      <c r="A78" s="15" t="s">
        <v>118</v>
      </c>
      <c r="B78" s="8" t="s">
        <v>125</v>
      </c>
      <c r="C78" s="8" t="s">
        <v>22</v>
      </c>
      <c r="D78" s="3" t="s">
        <v>23</v>
      </c>
      <c r="E78" s="23" t="s">
        <v>29</v>
      </c>
      <c r="F78" s="16" t="s">
        <v>128</v>
      </c>
      <c r="G78" s="118">
        <v>52</v>
      </c>
      <c r="H78" s="118">
        <v>4.2</v>
      </c>
      <c r="I78" s="118">
        <v>17.5</v>
      </c>
      <c r="J78" s="118">
        <v>2.94</v>
      </c>
      <c r="K78" s="119" t="s">
        <v>26</v>
      </c>
      <c r="L78" s="119" t="s">
        <v>26</v>
      </c>
      <c r="M78" s="119" t="s">
        <v>26</v>
      </c>
      <c r="N78" s="119" t="s">
        <v>26</v>
      </c>
      <c r="O78" s="118">
        <v>13.5</v>
      </c>
      <c r="P78" s="119" t="s">
        <v>26</v>
      </c>
      <c r="Q78" s="119" t="s">
        <v>26</v>
      </c>
      <c r="R78" s="119" t="s">
        <v>26</v>
      </c>
      <c r="S78" s="127">
        <v>9.4</v>
      </c>
      <c r="T78" s="121" t="s">
        <v>26</v>
      </c>
      <c r="U78" s="124">
        <v>2485</v>
      </c>
      <c r="V78" s="126" t="s">
        <v>26</v>
      </c>
      <c r="AC78" s="33"/>
      <c r="AD78" s="33"/>
      <c r="AE78" s="33"/>
    </row>
    <row r="79" spans="1:31">
      <c r="A79" s="15" t="s">
        <v>118</v>
      </c>
      <c r="B79" s="8" t="s">
        <v>125</v>
      </c>
      <c r="C79" s="8" t="s">
        <v>22</v>
      </c>
      <c r="D79" s="3" t="s">
        <v>23</v>
      </c>
      <c r="E79" s="23" t="s">
        <v>31</v>
      </c>
      <c r="F79" s="16" t="s">
        <v>129</v>
      </c>
      <c r="G79" s="118">
        <v>19</v>
      </c>
      <c r="H79" s="119" t="s">
        <v>26</v>
      </c>
      <c r="I79" s="118">
        <v>14.5</v>
      </c>
      <c r="J79" s="118">
        <v>7.58</v>
      </c>
      <c r="K79" s="119" t="s">
        <v>26</v>
      </c>
      <c r="L79" s="119" t="s">
        <v>26</v>
      </c>
      <c r="M79" s="119" t="s">
        <v>26</v>
      </c>
      <c r="N79" s="119" t="s">
        <v>26</v>
      </c>
      <c r="O79" s="118">
        <v>6.2</v>
      </c>
      <c r="P79" s="119" t="s">
        <v>26</v>
      </c>
      <c r="Q79" s="119" t="s">
        <v>26</v>
      </c>
      <c r="R79" s="119" t="s">
        <v>26</v>
      </c>
      <c r="S79" s="127">
        <v>11.8</v>
      </c>
      <c r="T79" s="121" t="s">
        <v>26</v>
      </c>
      <c r="U79" s="124">
        <v>1087</v>
      </c>
      <c r="V79" s="126" t="s">
        <v>26</v>
      </c>
      <c r="AC79" s="33"/>
      <c r="AD79" s="33"/>
      <c r="AE79" s="33"/>
    </row>
    <row r="80" spans="1:31">
      <c r="A80" s="15" t="s">
        <v>118</v>
      </c>
      <c r="B80" s="8" t="s">
        <v>130</v>
      </c>
      <c r="C80" s="8" t="s">
        <v>22</v>
      </c>
      <c r="D80" s="3" t="s">
        <v>23</v>
      </c>
      <c r="E80" s="23" t="s">
        <v>131</v>
      </c>
      <c r="F80" s="16" t="s">
        <v>1471</v>
      </c>
      <c r="G80" s="118">
        <v>12</v>
      </c>
      <c r="H80" s="118">
        <v>38.5</v>
      </c>
      <c r="I80" s="118">
        <v>4.2</v>
      </c>
      <c r="J80" s="119" t="s">
        <v>26</v>
      </c>
      <c r="K80" s="119" t="s">
        <v>26</v>
      </c>
      <c r="L80" s="119" t="s">
        <v>26</v>
      </c>
      <c r="M80" s="119" t="s">
        <v>26</v>
      </c>
      <c r="N80" s="119" t="s">
        <v>26</v>
      </c>
      <c r="O80" s="125" t="s">
        <v>26</v>
      </c>
      <c r="P80" s="119" t="s">
        <v>26</v>
      </c>
      <c r="Q80" s="119" t="s">
        <v>26</v>
      </c>
      <c r="R80" s="119" t="s">
        <v>26</v>
      </c>
      <c r="S80" s="120" t="s">
        <v>26</v>
      </c>
      <c r="T80" s="121" t="s">
        <v>26</v>
      </c>
      <c r="U80" s="124">
        <v>1284</v>
      </c>
      <c r="V80" s="126" t="s">
        <v>26</v>
      </c>
      <c r="AC80" s="33"/>
      <c r="AD80" s="33"/>
      <c r="AE80" s="33"/>
    </row>
    <row r="81" spans="1:31">
      <c r="A81" s="15" t="s">
        <v>118</v>
      </c>
      <c r="B81" s="8" t="s">
        <v>130</v>
      </c>
      <c r="C81" s="8" t="s">
        <v>22</v>
      </c>
      <c r="D81" s="3" t="s">
        <v>33</v>
      </c>
      <c r="E81" s="23" t="s">
        <v>24</v>
      </c>
      <c r="F81" s="16" t="s">
        <v>132</v>
      </c>
      <c r="G81" s="118">
        <v>228</v>
      </c>
      <c r="H81" s="118">
        <v>11.5</v>
      </c>
      <c r="I81" s="119" t="s">
        <v>26</v>
      </c>
      <c r="J81" s="119" t="s">
        <v>26</v>
      </c>
      <c r="K81" s="119" t="s">
        <v>26</v>
      </c>
      <c r="L81" s="118">
        <v>0.9</v>
      </c>
      <c r="M81" s="118">
        <v>1.5</v>
      </c>
      <c r="N81" s="119" t="s">
        <v>26</v>
      </c>
      <c r="O81" s="118">
        <v>1.2</v>
      </c>
      <c r="P81" s="119" t="s">
        <v>26</v>
      </c>
      <c r="Q81" s="118">
        <v>4.8</v>
      </c>
      <c r="R81" s="119" t="s">
        <v>26</v>
      </c>
      <c r="S81" s="120" t="s">
        <v>26</v>
      </c>
      <c r="T81" s="121" t="s">
        <v>26</v>
      </c>
      <c r="U81" s="129">
        <v>1453</v>
      </c>
      <c r="V81" s="89">
        <v>369</v>
      </c>
      <c r="AC81" s="33"/>
      <c r="AD81" s="33"/>
      <c r="AE81" s="33"/>
    </row>
    <row r="82" spans="1:31">
      <c r="A82" s="15" t="s">
        <v>118</v>
      </c>
      <c r="B82" s="8" t="s">
        <v>130</v>
      </c>
      <c r="C82" s="8" t="s">
        <v>22</v>
      </c>
      <c r="D82" s="3" t="s">
        <v>33</v>
      </c>
      <c r="E82" s="23" t="s">
        <v>27</v>
      </c>
      <c r="F82" s="16" t="s">
        <v>133</v>
      </c>
      <c r="G82" s="118">
        <v>108</v>
      </c>
      <c r="H82" s="118">
        <v>21.5</v>
      </c>
      <c r="I82" s="118">
        <v>4.2</v>
      </c>
      <c r="J82" s="119" t="s">
        <v>26</v>
      </c>
      <c r="K82" s="119" t="s">
        <v>26</v>
      </c>
      <c r="L82" s="119" t="s">
        <v>26</v>
      </c>
      <c r="M82" s="118">
        <v>3.5</v>
      </c>
      <c r="N82" s="119" t="s">
        <v>26</v>
      </c>
      <c r="O82" s="118">
        <v>2.8</v>
      </c>
      <c r="P82" s="119" t="s">
        <v>26</v>
      </c>
      <c r="Q82" s="119" t="s">
        <v>26</v>
      </c>
      <c r="R82" s="119" t="s">
        <v>26</v>
      </c>
      <c r="S82" s="120" t="s">
        <v>26</v>
      </c>
      <c r="T82" s="121" t="s">
        <v>26</v>
      </c>
      <c r="U82" s="123" t="s">
        <v>26</v>
      </c>
      <c r="V82" s="126" t="s">
        <v>26</v>
      </c>
      <c r="AC82" s="33"/>
      <c r="AD82" s="33"/>
      <c r="AE82" s="33"/>
    </row>
    <row r="83" spans="1:31">
      <c r="A83" s="15" t="s">
        <v>118</v>
      </c>
      <c r="B83" s="8" t="s">
        <v>130</v>
      </c>
      <c r="C83" s="8" t="s">
        <v>22</v>
      </c>
      <c r="D83" s="3" t="s">
        <v>33</v>
      </c>
      <c r="E83" s="23" t="s">
        <v>29</v>
      </c>
      <c r="F83" s="16" t="s">
        <v>134</v>
      </c>
      <c r="G83" s="118">
        <v>51</v>
      </c>
      <c r="H83" s="118">
        <v>2.9</v>
      </c>
      <c r="I83" s="118">
        <v>22.8</v>
      </c>
      <c r="J83" s="118">
        <v>1.82</v>
      </c>
      <c r="K83" s="119" t="s">
        <v>26</v>
      </c>
      <c r="L83" s="118">
        <v>3.8</v>
      </c>
      <c r="M83" s="118">
        <v>5.2</v>
      </c>
      <c r="N83" s="119" t="s">
        <v>26</v>
      </c>
      <c r="O83" s="118">
        <v>3.5</v>
      </c>
      <c r="P83" s="119" t="s">
        <v>26</v>
      </c>
      <c r="Q83" s="119" t="s">
        <v>26</v>
      </c>
      <c r="R83" s="119" t="s">
        <v>26</v>
      </c>
      <c r="S83" s="120" t="s">
        <v>26</v>
      </c>
      <c r="T83" s="121" t="s">
        <v>26</v>
      </c>
      <c r="U83" s="129">
        <v>2909</v>
      </c>
      <c r="V83" s="126" t="s">
        <v>26</v>
      </c>
      <c r="AC83" s="33"/>
      <c r="AD83" s="33"/>
      <c r="AE83" s="33"/>
    </row>
    <row r="84" spans="1:31">
      <c r="A84" s="15" t="s">
        <v>118</v>
      </c>
      <c r="B84" s="8" t="s">
        <v>130</v>
      </c>
      <c r="C84" s="8" t="s">
        <v>22</v>
      </c>
      <c r="D84" s="3" t="s">
        <v>33</v>
      </c>
      <c r="E84" s="23" t="s">
        <v>31</v>
      </c>
      <c r="F84" s="16" t="s">
        <v>135</v>
      </c>
      <c r="G84" s="118">
        <v>19</v>
      </c>
      <c r="H84" s="119" t="s">
        <v>26</v>
      </c>
      <c r="I84" s="118">
        <v>12.5</v>
      </c>
      <c r="J84" s="118">
        <v>5.6</v>
      </c>
      <c r="K84" s="119" t="s">
        <v>26</v>
      </c>
      <c r="L84" s="119" t="s">
        <v>26</v>
      </c>
      <c r="M84" s="119" t="s">
        <v>26</v>
      </c>
      <c r="N84" s="119" t="s">
        <v>26</v>
      </c>
      <c r="O84" s="125" t="s">
        <v>26</v>
      </c>
      <c r="P84" s="119" t="s">
        <v>26</v>
      </c>
      <c r="Q84" s="119" t="s">
        <v>26</v>
      </c>
      <c r="R84" s="119" t="s">
        <v>26</v>
      </c>
      <c r="S84" s="120" t="s">
        <v>26</v>
      </c>
      <c r="T84" s="121" t="s">
        <v>26</v>
      </c>
      <c r="U84" s="129">
        <v>394</v>
      </c>
      <c r="V84" s="126" t="s">
        <v>26</v>
      </c>
      <c r="AC84" s="33"/>
      <c r="AD84" s="33"/>
      <c r="AE84" s="33"/>
    </row>
    <row r="85" spans="1:31">
      <c r="A85" s="15" t="s">
        <v>118</v>
      </c>
      <c r="B85" s="8" t="s">
        <v>136</v>
      </c>
      <c r="C85" s="8" t="s">
        <v>22</v>
      </c>
      <c r="D85" s="3" t="s">
        <v>33</v>
      </c>
      <c r="E85" s="23" t="s">
        <v>27</v>
      </c>
      <c r="F85" s="16" t="s">
        <v>137</v>
      </c>
      <c r="G85" s="118">
        <v>105</v>
      </c>
      <c r="H85" s="118">
        <v>31.8</v>
      </c>
      <c r="I85" s="118">
        <v>2.8</v>
      </c>
      <c r="J85" s="119" t="s">
        <v>26</v>
      </c>
      <c r="K85" s="119" t="s">
        <v>26</v>
      </c>
      <c r="L85" s="119" t="s">
        <v>26</v>
      </c>
      <c r="M85" s="118">
        <v>6.8</v>
      </c>
      <c r="N85" s="119" t="s">
        <v>26</v>
      </c>
      <c r="O85" s="118">
        <v>4.5</v>
      </c>
      <c r="P85" s="119" t="s">
        <v>26</v>
      </c>
      <c r="Q85" s="119" t="s">
        <v>26</v>
      </c>
      <c r="R85" s="119" t="s">
        <v>26</v>
      </c>
      <c r="S85" s="120" t="s">
        <v>26</v>
      </c>
      <c r="T85" s="121" t="s">
        <v>26</v>
      </c>
      <c r="U85" s="123" t="s">
        <v>26</v>
      </c>
      <c r="V85" s="89">
        <v>237</v>
      </c>
      <c r="AC85" s="33"/>
      <c r="AD85" s="33"/>
      <c r="AE85" s="33"/>
    </row>
    <row r="86" spans="1:31">
      <c r="A86" s="15" t="s">
        <v>118</v>
      </c>
      <c r="B86" s="8" t="s">
        <v>136</v>
      </c>
      <c r="C86" s="8" t="s">
        <v>22</v>
      </c>
      <c r="D86" s="3" t="s">
        <v>33</v>
      </c>
      <c r="E86" s="23" t="s">
        <v>71</v>
      </c>
      <c r="F86" s="16" t="s">
        <v>138</v>
      </c>
      <c r="G86" s="118">
        <v>88</v>
      </c>
      <c r="H86" s="118">
        <v>20.8</v>
      </c>
      <c r="I86" s="118">
        <v>10.6</v>
      </c>
      <c r="J86" s="118">
        <v>1.2</v>
      </c>
      <c r="K86" s="119" t="s">
        <v>26</v>
      </c>
      <c r="L86" s="119" t="s">
        <v>26</v>
      </c>
      <c r="M86" s="118">
        <v>7.1</v>
      </c>
      <c r="N86" s="119" t="s">
        <v>26</v>
      </c>
      <c r="O86" s="118">
        <v>4.8</v>
      </c>
      <c r="P86" s="119" t="s">
        <v>26</v>
      </c>
      <c r="Q86" s="119" t="s">
        <v>26</v>
      </c>
      <c r="R86" s="119" t="s">
        <v>26</v>
      </c>
      <c r="S86" s="120" t="s">
        <v>26</v>
      </c>
      <c r="T86" s="121" t="s">
        <v>26</v>
      </c>
      <c r="U86" s="130">
        <v>41</v>
      </c>
      <c r="V86" s="89">
        <v>414</v>
      </c>
      <c r="AC86" s="33"/>
      <c r="AD86" s="33"/>
      <c r="AE86" s="33"/>
    </row>
    <row r="87" spans="1:31">
      <c r="A87" s="15" t="s">
        <v>118</v>
      </c>
      <c r="B87" s="8" t="s">
        <v>136</v>
      </c>
      <c r="C87" s="8" t="s">
        <v>22</v>
      </c>
      <c r="D87" s="3" t="s">
        <v>33</v>
      </c>
      <c r="E87" s="23" t="s">
        <v>29</v>
      </c>
      <c r="F87" s="16" t="s">
        <v>139</v>
      </c>
      <c r="G87" s="118">
        <v>49</v>
      </c>
      <c r="H87" s="118">
        <v>8.5</v>
      </c>
      <c r="I87" s="118">
        <v>19.399999999999999</v>
      </c>
      <c r="J87" s="118">
        <v>2.02</v>
      </c>
      <c r="K87" s="119" t="s">
        <v>26</v>
      </c>
      <c r="L87" s="119" t="s">
        <v>26</v>
      </c>
      <c r="M87" s="118">
        <v>7.4</v>
      </c>
      <c r="N87" s="119" t="s">
        <v>26</v>
      </c>
      <c r="O87" s="118">
        <v>5.4</v>
      </c>
      <c r="P87" s="119" t="s">
        <v>26</v>
      </c>
      <c r="Q87" s="119" t="s">
        <v>26</v>
      </c>
      <c r="R87" s="119" t="s">
        <v>26</v>
      </c>
      <c r="S87" s="120" t="s">
        <v>26</v>
      </c>
      <c r="T87" s="121" t="s">
        <v>26</v>
      </c>
      <c r="U87" s="122">
        <v>981</v>
      </c>
      <c r="V87" s="89">
        <v>354</v>
      </c>
      <c r="AC87" s="33"/>
      <c r="AD87" s="33"/>
      <c r="AE87" s="33"/>
    </row>
    <row r="88" spans="1:31">
      <c r="A88" s="15" t="s">
        <v>118</v>
      </c>
      <c r="B88" s="8" t="s">
        <v>136</v>
      </c>
      <c r="C88" s="8" t="s">
        <v>22</v>
      </c>
      <c r="D88" s="3" t="s">
        <v>33</v>
      </c>
      <c r="E88" s="23" t="s">
        <v>31</v>
      </c>
      <c r="F88" s="16" t="s">
        <v>140</v>
      </c>
      <c r="G88" s="118">
        <v>18</v>
      </c>
      <c r="H88" s="119" t="s">
        <v>26</v>
      </c>
      <c r="I88" s="118">
        <v>16.600000000000001</v>
      </c>
      <c r="J88" s="118">
        <v>5.92</v>
      </c>
      <c r="K88" s="119" t="s">
        <v>26</v>
      </c>
      <c r="L88" s="119" t="s">
        <v>26</v>
      </c>
      <c r="M88" s="119" t="s">
        <v>26</v>
      </c>
      <c r="N88" s="119" t="s">
        <v>26</v>
      </c>
      <c r="O88" s="125" t="s">
        <v>26</v>
      </c>
      <c r="P88" s="119" t="s">
        <v>26</v>
      </c>
      <c r="Q88" s="119" t="s">
        <v>26</v>
      </c>
      <c r="R88" s="119" t="s">
        <v>26</v>
      </c>
      <c r="S88" s="120" t="s">
        <v>26</v>
      </c>
      <c r="T88" s="121" t="s">
        <v>26</v>
      </c>
      <c r="U88" s="122">
        <v>921</v>
      </c>
      <c r="V88" s="89">
        <v>80</v>
      </c>
      <c r="AC88" s="33"/>
      <c r="AD88" s="33"/>
      <c r="AE88" s="33"/>
    </row>
    <row r="89" spans="1:31">
      <c r="A89" s="15" t="s">
        <v>118</v>
      </c>
      <c r="B89" s="8" t="s">
        <v>141</v>
      </c>
      <c r="C89" s="8" t="s">
        <v>22</v>
      </c>
      <c r="D89" s="3" t="s">
        <v>142</v>
      </c>
      <c r="E89" s="23" t="s">
        <v>24</v>
      </c>
      <c r="F89" s="16" t="s">
        <v>143</v>
      </c>
      <c r="G89" s="118">
        <v>218</v>
      </c>
      <c r="H89" s="118">
        <v>14.6</v>
      </c>
      <c r="I89" s="119" t="s">
        <v>26</v>
      </c>
      <c r="J89" s="119" t="s">
        <v>26</v>
      </c>
      <c r="K89" s="119" t="s">
        <v>26</v>
      </c>
      <c r="L89" s="119" t="s">
        <v>26</v>
      </c>
      <c r="M89" s="118">
        <v>6.5</v>
      </c>
      <c r="N89" s="119" t="s">
        <v>26</v>
      </c>
      <c r="O89" s="118">
        <v>3.5</v>
      </c>
      <c r="P89" s="119" t="s">
        <v>26</v>
      </c>
      <c r="Q89" s="118">
        <v>7.8</v>
      </c>
      <c r="R89" s="119" t="s">
        <v>26</v>
      </c>
      <c r="S89" s="120" t="s">
        <v>26</v>
      </c>
      <c r="T89" s="121" t="s">
        <v>26</v>
      </c>
      <c r="U89" s="123" t="s">
        <v>26</v>
      </c>
      <c r="V89" s="126" t="s">
        <v>26</v>
      </c>
      <c r="AC89" s="33"/>
      <c r="AD89" s="33"/>
      <c r="AE89" s="33"/>
    </row>
    <row r="90" spans="1:31">
      <c r="A90" s="15" t="s">
        <v>118</v>
      </c>
      <c r="B90" s="8" t="s">
        <v>141</v>
      </c>
      <c r="C90" s="8" t="s">
        <v>22</v>
      </c>
      <c r="D90" s="3" t="s">
        <v>142</v>
      </c>
      <c r="E90" s="23" t="s">
        <v>27</v>
      </c>
      <c r="F90" s="16" t="s">
        <v>144</v>
      </c>
      <c r="G90" s="118">
        <v>109</v>
      </c>
      <c r="H90" s="118">
        <v>18.399999999999999</v>
      </c>
      <c r="I90" s="118">
        <v>10.5</v>
      </c>
      <c r="J90" s="118">
        <v>0.9</v>
      </c>
      <c r="K90" s="119" t="s">
        <v>26</v>
      </c>
      <c r="L90" s="119" t="s">
        <v>26</v>
      </c>
      <c r="M90" s="118">
        <v>7.8</v>
      </c>
      <c r="N90" s="119" t="s">
        <v>26</v>
      </c>
      <c r="O90" s="118">
        <v>4.8</v>
      </c>
      <c r="P90" s="119" t="s">
        <v>26</v>
      </c>
      <c r="Q90" s="118">
        <v>6.5</v>
      </c>
      <c r="R90" s="119" t="s">
        <v>26</v>
      </c>
      <c r="S90" s="120" t="s">
        <v>26</v>
      </c>
      <c r="T90" s="121" t="s">
        <v>26</v>
      </c>
      <c r="U90" s="123" t="s">
        <v>26</v>
      </c>
      <c r="V90" s="126" t="s">
        <v>26</v>
      </c>
      <c r="AC90" s="33"/>
      <c r="AD90" s="33"/>
      <c r="AE90" s="33"/>
    </row>
    <row r="91" spans="1:31">
      <c r="A91" s="15" t="s">
        <v>118</v>
      </c>
      <c r="B91" s="8" t="s">
        <v>141</v>
      </c>
      <c r="C91" s="8" t="s">
        <v>22</v>
      </c>
      <c r="D91" s="3" t="s">
        <v>142</v>
      </c>
      <c r="E91" s="23" t="s">
        <v>29</v>
      </c>
      <c r="F91" s="16" t="s">
        <v>145</v>
      </c>
      <c r="G91" s="118">
        <v>48</v>
      </c>
      <c r="H91" s="118">
        <v>5.4</v>
      </c>
      <c r="I91" s="118">
        <v>18.8</v>
      </c>
      <c r="J91" s="118">
        <v>6.44</v>
      </c>
      <c r="K91" s="119" t="s">
        <v>26</v>
      </c>
      <c r="L91" s="119" t="s">
        <v>26</v>
      </c>
      <c r="M91" s="118">
        <v>11.2</v>
      </c>
      <c r="N91" s="119" t="s">
        <v>26</v>
      </c>
      <c r="O91" s="118">
        <v>7.9</v>
      </c>
      <c r="P91" s="119" t="s">
        <v>26</v>
      </c>
      <c r="Q91" s="119" t="s">
        <v>26</v>
      </c>
      <c r="R91" s="119" t="s">
        <v>26</v>
      </c>
      <c r="S91" s="120" t="s">
        <v>26</v>
      </c>
      <c r="T91" s="121" t="s">
        <v>26</v>
      </c>
      <c r="U91" s="122">
        <v>2723</v>
      </c>
      <c r="V91" s="126" t="s">
        <v>26</v>
      </c>
      <c r="AC91" s="33"/>
      <c r="AD91" s="33"/>
      <c r="AE91" s="33"/>
    </row>
    <row r="92" spans="1:31" ht="14.25" customHeight="1">
      <c r="A92" s="15" t="s">
        <v>118</v>
      </c>
      <c r="B92" s="8" t="s">
        <v>141</v>
      </c>
      <c r="C92" s="8" t="s">
        <v>22</v>
      </c>
      <c r="D92" s="3" t="s">
        <v>142</v>
      </c>
      <c r="E92" s="23" t="s">
        <v>31</v>
      </c>
      <c r="F92" s="16" t="s">
        <v>146</v>
      </c>
      <c r="G92" s="118">
        <v>18</v>
      </c>
      <c r="H92" s="119" t="s">
        <v>26</v>
      </c>
      <c r="I92" s="118">
        <v>7.5</v>
      </c>
      <c r="J92" s="118">
        <v>18.52</v>
      </c>
      <c r="K92" s="119" t="s">
        <v>26</v>
      </c>
      <c r="L92" s="119" t="s">
        <v>26</v>
      </c>
      <c r="M92" s="119" t="s">
        <v>26</v>
      </c>
      <c r="N92" s="119" t="s">
        <v>26</v>
      </c>
      <c r="O92" s="118">
        <v>4.2</v>
      </c>
      <c r="P92" s="119" t="s">
        <v>26</v>
      </c>
      <c r="Q92" s="119" t="s">
        <v>26</v>
      </c>
      <c r="R92" s="119" t="s">
        <v>26</v>
      </c>
      <c r="S92" s="120" t="s">
        <v>26</v>
      </c>
      <c r="T92" s="121" t="s">
        <v>26</v>
      </c>
      <c r="U92" s="131" t="s">
        <v>146</v>
      </c>
      <c r="V92" s="126" t="s">
        <v>26</v>
      </c>
      <c r="AC92" s="33"/>
      <c r="AD92" s="33"/>
      <c r="AE92" s="33"/>
    </row>
    <row r="93" spans="1:31">
      <c r="A93" s="15" t="s">
        <v>147</v>
      </c>
      <c r="B93" s="18" t="s">
        <v>39</v>
      </c>
      <c r="C93" s="3" t="s">
        <v>22</v>
      </c>
      <c r="D93" s="1" t="s">
        <v>1341</v>
      </c>
      <c r="E93" s="23" t="s">
        <v>71</v>
      </c>
      <c r="F93" s="16" t="s">
        <v>148</v>
      </c>
      <c r="G93" s="118">
        <v>95</v>
      </c>
      <c r="H93" s="118">
        <v>27.2</v>
      </c>
      <c r="I93" s="118">
        <v>11.4</v>
      </c>
      <c r="J93" s="118">
        <v>1.1000000000000001</v>
      </c>
      <c r="K93" s="119" t="s">
        <v>26</v>
      </c>
      <c r="L93" s="119" t="s">
        <v>26</v>
      </c>
      <c r="M93" s="119" t="s">
        <v>26</v>
      </c>
      <c r="N93" s="119" t="s">
        <v>26</v>
      </c>
      <c r="O93" s="118">
        <v>4.8</v>
      </c>
      <c r="P93" s="119" t="s">
        <v>26</v>
      </c>
      <c r="Q93" s="118">
        <v>7.2</v>
      </c>
      <c r="R93" s="118">
        <v>1.8</v>
      </c>
      <c r="S93" s="127">
        <v>3.1</v>
      </c>
      <c r="T93" s="121" t="s">
        <v>26</v>
      </c>
      <c r="U93" s="123" t="s">
        <v>26</v>
      </c>
      <c r="V93" s="126" t="s">
        <v>26</v>
      </c>
      <c r="AC93" s="33"/>
      <c r="AD93" s="33"/>
      <c r="AE93" s="33"/>
    </row>
    <row r="94" spans="1:31">
      <c r="A94" s="15" t="s">
        <v>147</v>
      </c>
      <c r="B94" s="18" t="s">
        <v>39</v>
      </c>
      <c r="C94" s="3" t="s">
        <v>22</v>
      </c>
      <c r="D94" s="1" t="s">
        <v>1341</v>
      </c>
      <c r="E94" s="23" t="s">
        <v>29</v>
      </c>
      <c r="F94" s="16" t="s">
        <v>149</v>
      </c>
      <c r="G94" s="118">
        <v>42</v>
      </c>
      <c r="H94" s="118">
        <v>22.4</v>
      </c>
      <c r="I94" s="118">
        <v>12.1</v>
      </c>
      <c r="J94" s="119" t="s">
        <v>26</v>
      </c>
      <c r="K94" s="119" t="s">
        <v>26</v>
      </c>
      <c r="L94" s="119" t="s">
        <v>26</v>
      </c>
      <c r="M94" s="119" t="s">
        <v>26</v>
      </c>
      <c r="N94" s="119" t="s">
        <v>26</v>
      </c>
      <c r="O94" s="118">
        <v>5.0999999999999996</v>
      </c>
      <c r="P94" s="119" t="s">
        <v>26</v>
      </c>
      <c r="Q94" s="119" t="s">
        <v>26</v>
      </c>
      <c r="R94" s="119" t="s">
        <v>26</v>
      </c>
      <c r="S94" s="120" t="s">
        <v>26</v>
      </c>
      <c r="T94" s="121" t="s">
        <v>26</v>
      </c>
      <c r="U94" s="123" t="s">
        <v>26</v>
      </c>
      <c r="V94" s="126" t="s">
        <v>26</v>
      </c>
      <c r="AC94" s="33"/>
      <c r="AD94" s="33"/>
      <c r="AE94" s="33"/>
    </row>
    <row r="95" spans="1:31">
      <c r="A95" s="15" t="s">
        <v>147</v>
      </c>
      <c r="B95" s="18" t="s">
        <v>39</v>
      </c>
      <c r="C95" s="3" t="s">
        <v>22</v>
      </c>
      <c r="D95" s="1" t="s">
        <v>1341</v>
      </c>
      <c r="E95" s="23" t="s">
        <v>31</v>
      </c>
      <c r="F95" s="16" t="s">
        <v>150</v>
      </c>
      <c r="G95" s="118">
        <v>17</v>
      </c>
      <c r="H95" s="119" t="s">
        <v>26</v>
      </c>
      <c r="I95" s="119" t="s">
        <v>26</v>
      </c>
      <c r="J95" s="118">
        <v>3.2</v>
      </c>
      <c r="K95" s="119" t="s">
        <v>26</v>
      </c>
      <c r="L95" s="119" t="s">
        <v>26</v>
      </c>
      <c r="M95" s="119" t="s">
        <v>26</v>
      </c>
      <c r="N95" s="119" t="s">
        <v>26</v>
      </c>
      <c r="O95" s="118">
        <v>6.1</v>
      </c>
      <c r="P95" s="119" t="s">
        <v>26</v>
      </c>
      <c r="Q95" s="119" t="s">
        <v>26</v>
      </c>
      <c r="R95" s="119" t="s">
        <v>26</v>
      </c>
      <c r="S95" s="120" t="s">
        <v>26</v>
      </c>
      <c r="T95" s="121" t="s">
        <v>26</v>
      </c>
      <c r="U95" s="123" t="s">
        <v>26</v>
      </c>
      <c r="V95" s="126" t="s">
        <v>26</v>
      </c>
      <c r="AC95" s="33"/>
      <c r="AD95" s="33"/>
      <c r="AE95" s="33"/>
    </row>
    <row r="96" spans="1:31">
      <c r="A96" s="15" t="s">
        <v>147</v>
      </c>
      <c r="B96" s="18" t="s">
        <v>151</v>
      </c>
      <c r="C96" s="3" t="s">
        <v>22</v>
      </c>
      <c r="D96" s="3" t="s">
        <v>54</v>
      </c>
      <c r="E96" s="23" t="s">
        <v>27</v>
      </c>
      <c r="F96" s="16" t="s">
        <v>152</v>
      </c>
      <c r="G96" s="118">
        <v>102</v>
      </c>
      <c r="H96" s="118">
        <v>29.6</v>
      </c>
      <c r="I96" s="118">
        <v>4.9000000000000004</v>
      </c>
      <c r="J96" s="118">
        <v>0.8</v>
      </c>
      <c r="K96" s="119" t="s">
        <v>26</v>
      </c>
      <c r="L96" s="119" t="s">
        <v>26</v>
      </c>
      <c r="M96" s="119" t="s">
        <v>26</v>
      </c>
      <c r="N96" s="119" t="s">
        <v>26</v>
      </c>
      <c r="O96" s="118">
        <v>2.8</v>
      </c>
      <c r="P96" s="119" t="s">
        <v>26</v>
      </c>
      <c r="Q96" s="118">
        <v>8.9</v>
      </c>
      <c r="R96" s="119" t="s">
        <v>26</v>
      </c>
      <c r="S96" s="120" t="s">
        <v>26</v>
      </c>
      <c r="T96" s="121" t="s">
        <v>26</v>
      </c>
      <c r="U96" s="122">
        <v>950</v>
      </c>
      <c r="V96" s="126" t="s">
        <v>26</v>
      </c>
      <c r="AC96" s="33"/>
      <c r="AD96" s="33"/>
      <c r="AE96" s="33"/>
    </row>
    <row r="97" spans="1:31">
      <c r="A97" s="15" t="s">
        <v>147</v>
      </c>
      <c r="B97" s="18" t="s">
        <v>151</v>
      </c>
      <c r="C97" s="3" t="s">
        <v>22</v>
      </c>
      <c r="D97" s="3" t="s">
        <v>54</v>
      </c>
      <c r="E97" s="23" t="s">
        <v>29</v>
      </c>
      <c r="F97" s="16" t="s">
        <v>153</v>
      </c>
      <c r="G97" s="118">
        <v>44</v>
      </c>
      <c r="H97" s="118">
        <v>25.6</v>
      </c>
      <c r="I97" s="118">
        <v>14.2</v>
      </c>
      <c r="J97" s="118">
        <v>4.4800000000000004</v>
      </c>
      <c r="K97" s="119" t="s">
        <v>26</v>
      </c>
      <c r="L97" s="119" t="s">
        <v>26</v>
      </c>
      <c r="M97" s="119" t="s">
        <v>26</v>
      </c>
      <c r="N97" s="119" t="s">
        <v>26</v>
      </c>
      <c r="O97" s="118">
        <v>6.2</v>
      </c>
      <c r="P97" s="119" t="s">
        <v>26</v>
      </c>
      <c r="Q97" s="119" t="s">
        <v>26</v>
      </c>
      <c r="R97" s="119" t="s">
        <v>26</v>
      </c>
      <c r="S97" s="120" t="s">
        <v>26</v>
      </c>
      <c r="T97" s="121" t="s">
        <v>26</v>
      </c>
      <c r="U97" s="122">
        <v>2306</v>
      </c>
      <c r="V97" s="126" t="s">
        <v>26</v>
      </c>
      <c r="AC97" s="33"/>
      <c r="AD97" s="33"/>
      <c r="AE97" s="33"/>
    </row>
    <row r="98" spans="1:31">
      <c r="A98" s="15" t="s">
        <v>147</v>
      </c>
      <c r="B98" s="18" t="s">
        <v>151</v>
      </c>
      <c r="C98" s="3" t="s">
        <v>22</v>
      </c>
      <c r="D98" s="3" t="s">
        <v>54</v>
      </c>
      <c r="E98" s="23" t="s">
        <v>31</v>
      </c>
      <c r="F98" s="16" t="s">
        <v>154</v>
      </c>
      <c r="G98" s="118">
        <v>18</v>
      </c>
      <c r="H98" s="119" t="s">
        <v>26</v>
      </c>
      <c r="I98" s="118">
        <v>5.9</v>
      </c>
      <c r="J98" s="118">
        <v>12.24</v>
      </c>
      <c r="K98" s="119" t="s">
        <v>26</v>
      </c>
      <c r="L98" s="119" t="s">
        <v>26</v>
      </c>
      <c r="M98" s="119" t="s">
        <v>26</v>
      </c>
      <c r="N98" s="119" t="s">
        <v>26</v>
      </c>
      <c r="O98" s="125" t="s">
        <v>26</v>
      </c>
      <c r="P98" s="119" t="s">
        <v>26</v>
      </c>
      <c r="Q98" s="119" t="s">
        <v>26</v>
      </c>
      <c r="R98" s="119" t="s">
        <v>26</v>
      </c>
      <c r="S98" s="120" t="s">
        <v>26</v>
      </c>
      <c r="T98" s="121" t="s">
        <v>26</v>
      </c>
      <c r="U98" s="122">
        <v>800</v>
      </c>
      <c r="V98" s="126" t="s">
        <v>26</v>
      </c>
      <c r="AC98" s="33"/>
      <c r="AD98" s="33"/>
      <c r="AE98" s="33"/>
    </row>
    <row r="99" spans="1:31">
      <c r="A99" s="15" t="s">
        <v>147</v>
      </c>
      <c r="B99" s="8" t="s">
        <v>155</v>
      </c>
      <c r="C99" s="3" t="s">
        <v>22</v>
      </c>
      <c r="D99" s="3" t="s">
        <v>23</v>
      </c>
      <c r="E99" s="23" t="s">
        <v>131</v>
      </c>
      <c r="F99" s="16" t="s">
        <v>1470</v>
      </c>
      <c r="G99" s="118">
        <v>6</v>
      </c>
      <c r="H99" s="118">
        <v>75</v>
      </c>
      <c r="I99" s="118">
        <v>13.46</v>
      </c>
      <c r="J99" s="118">
        <v>8.58</v>
      </c>
      <c r="K99" s="119" t="s">
        <v>26</v>
      </c>
      <c r="L99" s="119" t="s">
        <v>26</v>
      </c>
      <c r="M99" s="119" t="s">
        <v>26</v>
      </c>
      <c r="N99" s="119" t="s">
        <v>26</v>
      </c>
      <c r="O99" s="125" t="s">
        <v>26</v>
      </c>
      <c r="P99" s="119" t="s">
        <v>26</v>
      </c>
      <c r="Q99" s="119" t="s">
        <v>26</v>
      </c>
      <c r="R99" s="119" t="s">
        <v>26</v>
      </c>
      <c r="S99" s="127">
        <v>3</v>
      </c>
      <c r="T99" s="121" t="s">
        <v>26</v>
      </c>
      <c r="U99" s="124">
        <v>1933</v>
      </c>
      <c r="V99" s="126" t="s">
        <v>26</v>
      </c>
      <c r="AC99" s="33"/>
      <c r="AD99" s="33"/>
      <c r="AE99" s="33"/>
    </row>
    <row r="100" spans="1:31">
      <c r="A100" s="15" t="s">
        <v>147</v>
      </c>
      <c r="B100" s="8" t="s">
        <v>155</v>
      </c>
      <c r="C100" s="3" t="s">
        <v>22</v>
      </c>
      <c r="D100" s="3" t="s">
        <v>23</v>
      </c>
      <c r="E100" s="23" t="s">
        <v>24</v>
      </c>
      <c r="F100" s="16" t="s">
        <v>1278</v>
      </c>
      <c r="G100" s="118">
        <v>245</v>
      </c>
      <c r="H100" s="118">
        <v>8.1</v>
      </c>
      <c r="I100" s="119" t="s">
        <v>26</v>
      </c>
      <c r="J100" s="119" t="s">
        <v>26</v>
      </c>
      <c r="K100" s="119" t="s">
        <v>26</v>
      </c>
      <c r="L100" s="119" t="s">
        <v>26</v>
      </c>
      <c r="M100" s="118">
        <v>8.5</v>
      </c>
      <c r="N100" s="119" t="s">
        <v>26</v>
      </c>
      <c r="O100" s="118">
        <v>1.2</v>
      </c>
      <c r="P100" s="119" t="s">
        <v>26</v>
      </c>
      <c r="Q100" s="119" t="s">
        <v>26</v>
      </c>
      <c r="R100" s="119" t="s">
        <v>26</v>
      </c>
      <c r="S100" s="120" t="s">
        <v>26</v>
      </c>
      <c r="T100" s="121" t="s">
        <v>26</v>
      </c>
      <c r="U100" s="122">
        <v>115</v>
      </c>
      <c r="V100" s="89">
        <v>715</v>
      </c>
      <c r="AC100" s="33"/>
      <c r="AD100" s="33"/>
      <c r="AE100" s="33"/>
    </row>
    <row r="101" spans="1:31">
      <c r="A101" s="15" t="s">
        <v>147</v>
      </c>
      <c r="B101" s="8" t="s">
        <v>155</v>
      </c>
      <c r="C101" s="3" t="s">
        <v>22</v>
      </c>
      <c r="D101" s="3" t="s">
        <v>23</v>
      </c>
      <c r="E101" s="23" t="s">
        <v>27</v>
      </c>
      <c r="F101" s="16" t="s">
        <v>352</v>
      </c>
      <c r="G101" s="118">
        <v>112</v>
      </c>
      <c r="H101" s="118">
        <v>15.4</v>
      </c>
      <c r="I101" s="118">
        <v>11.2</v>
      </c>
      <c r="J101" s="119" t="s">
        <v>26</v>
      </c>
      <c r="K101" s="119" t="s">
        <v>26</v>
      </c>
      <c r="L101" s="119" t="s">
        <v>26</v>
      </c>
      <c r="M101" s="118">
        <v>7.4</v>
      </c>
      <c r="N101" s="119" t="s">
        <v>26</v>
      </c>
      <c r="O101" s="118">
        <v>1.8</v>
      </c>
      <c r="P101" s="119" t="s">
        <v>26</v>
      </c>
      <c r="Q101" s="119" t="s">
        <v>26</v>
      </c>
      <c r="R101" s="119" t="s">
        <v>26</v>
      </c>
      <c r="S101" s="120" t="s">
        <v>26</v>
      </c>
      <c r="T101" s="128">
        <v>1</v>
      </c>
      <c r="U101" s="122">
        <v>38</v>
      </c>
      <c r="V101" s="89">
        <v>580</v>
      </c>
      <c r="AC101" s="33"/>
      <c r="AD101" s="33"/>
      <c r="AE101" s="33"/>
    </row>
    <row r="102" spans="1:31">
      <c r="A102" s="15" t="s">
        <v>147</v>
      </c>
      <c r="B102" s="8" t="s">
        <v>155</v>
      </c>
      <c r="C102" s="3" t="s">
        <v>22</v>
      </c>
      <c r="D102" s="3" t="s">
        <v>23</v>
      </c>
      <c r="E102" s="23" t="s">
        <v>29</v>
      </c>
      <c r="F102" s="16" t="s">
        <v>1472</v>
      </c>
      <c r="G102" s="118">
        <v>52</v>
      </c>
      <c r="H102" s="118">
        <v>3.4</v>
      </c>
      <c r="I102" s="118">
        <v>25.8</v>
      </c>
      <c r="J102" s="118">
        <v>2.54</v>
      </c>
      <c r="K102" s="119" t="s">
        <v>26</v>
      </c>
      <c r="L102" s="119" t="s">
        <v>26</v>
      </c>
      <c r="M102" s="119" t="s">
        <v>26</v>
      </c>
      <c r="N102" s="119" t="s">
        <v>26</v>
      </c>
      <c r="O102" s="118">
        <v>3.5</v>
      </c>
      <c r="P102" s="119" t="s">
        <v>26</v>
      </c>
      <c r="Q102" s="119" t="s">
        <v>26</v>
      </c>
      <c r="R102" s="119" t="s">
        <v>26</v>
      </c>
      <c r="S102" s="120" t="s">
        <v>26</v>
      </c>
      <c r="T102" s="121" t="s">
        <v>26</v>
      </c>
      <c r="U102" s="124">
        <v>1427</v>
      </c>
      <c r="V102" s="132">
        <v>1100</v>
      </c>
      <c r="AC102" s="33"/>
      <c r="AD102" s="33"/>
      <c r="AE102" s="33"/>
    </row>
    <row r="103" spans="1:31">
      <c r="A103" s="15" t="s">
        <v>147</v>
      </c>
      <c r="B103" s="8" t="s">
        <v>155</v>
      </c>
      <c r="C103" s="3" t="s">
        <v>22</v>
      </c>
      <c r="D103" s="3" t="s">
        <v>23</v>
      </c>
      <c r="E103" s="23" t="s">
        <v>31</v>
      </c>
      <c r="F103" s="16" t="s">
        <v>1473</v>
      </c>
      <c r="G103" s="118">
        <v>19</v>
      </c>
      <c r="H103" s="119" t="s">
        <v>26</v>
      </c>
      <c r="I103" s="118">
        <v>14.52</v>
      </c>
      <c r="J103" s="118">
        <v>7.28</v>
      </c>
      <c r="K103" s="119" t="s">
        <v>26</v>
      </c>
      <c r="L103" s="119" t="s">
        <v>26</v>
      </c>
      <c r="M103" s="119" t="s">
        <v>26</v>
      </c>
      <c r="N103" s="119" t="s">
        <v>26</v>
      </c>
      <c r="O103" s="118">
        <v>2.9</v>
      </c>
      <c r="P103" s="119" t="s">
        <v>26</v>
      </c>
      <c r="Q103" s="119" t="s">
        <v>26</v>
      </c>
      <c r="R103" s="119" t="s">
        <v>26</v>
      </c>
      <c r="S103" s="120" t="s">
        <v>26</v>
      </c>
      <c r="T103" s="121" t="s">
        <v>26</v>
      </c>
      <c r="U103" s="124">
        <v>707</v>
      </c>
      <c r="V103" s="89">
        <v>144</v>
      </c>
      <c r="AC103" s="33"/>
      <c r="AD103" s="33"/>
      <c r="AE103" s="33"/>
    </row>
    <row r="104" spans="1:31">
      <c r="A104" s="15" t="s">
        <v>147</v>
      </c>
      <c r="B104" s="8" t="s">
        <v>156</v>
      </c>
      <c r="C104" s="3" t="s">
        <v>22</v>
      </c>
      <c r="D104" s="3" t="s">
        <v>33</v>
      </c>
      <c r="E104" s="23" t="s">
        <v>71</v>
      </c>
      <c r="F104" s="16" t="s">
        <v>157</v>
      </c>
      <c r="G104" s="118">
        <v>95</v>
      </c>
      <c r="H104" s="118">
        <v>31.5</v>
      </c>
      <c r="I104" s="118">
        <v>12.8</v>
      </c>
      <c r="J104" s="119" t="s">
        <v>26</v>
      </c>
      <c r="K104" s="119" t="s">
        <v>26</v>
      </c>
      <c r="L104" s="119" t="s">
        <v>26</v>
      </c>
      <c r="M104" s="119" t="s">
        <v>26</v>
      </c>
      <c r="N104" s="119" t="s">
        <v>26</v>
      </c>
      <c r="O104" s="118">
        <v>2.5</v>
      </c>
      <c r="P104" s="119" t="s">
        <v>26</v>
      </c>
      <c r="Q104" s="119" t="s">
        <v>26</v>
      </c>
      <c r="R104" s="119" t="s">
        <v>26</v>
      </c>
      <c r="S104" s="127">
        <v>6.2</v>
      </c>
      <c r="T104" s="121" t="s">
        <v>26</v>
      </c>
      <c r="U104" s="124">
        <v>1933</v>
      </c>
      <c r="V104" s="89">
        <v>476</v>
      </c>
      <c r="AC104" s="33"/>
      <c r="AD104" s="33"/>
      <c r="AE104" s="33"/>
    </row>
    <row r="105" spans="1:31">
      <c r="A105" s="15" t="s">
        <v>147</v>
      </c>
      <c r="B105" s="8" t="s">
        <v>156</v>
      </c>
      <c r="C105" s="3" t="s">
        <v>22</v>
      </c>
      <c r="D105" s="3" t="s">
        <v>33</v>
      </c>
      <c r="E105" s="23" t="s">
        <v>29</v>
      </c>
      <c r="F105" s="16" t="s">
        <v>158</v>
      </c>
      <c r="G105" s="118">
        <v>48</v>
      </c>
      <c r="H105" s="118">
        <v>6.8</v>
      </c>
      <c r="I105" s="118">
        <v>18.399999999999999</v>
      </c>
      <c r="J105" s="118">
        <v>1.34</v>
      </c>
      <c r="K105" s="119" t="s">
        <v>26</v>
      </c>
      <c r="L105" s="119" t="s">
        <v>26</v>
      </c>
      <c r="M105" s="119" t="s">
        <v>26</v>
      </c>
      <c r="N105" s="119" t="s">
        <v>26</v>
      </c>
      <c r="O105" s="118">
        <v>5.0999999999999996</v>
      </c>
      <c r="P105" s="119" t="s">
        <v>26</v>
      </c>
      <c r="Q105" s="119" t="s">
        <v>26</v>
      </c>
      <c r="R105" s="119" t="s">
        <v>26</v>
      </c>
      <c r="S105" s="127">
        <v>11.2</v>
      </c>
      <c r="T105" s="121" t="s">
        <v>26</v>
      </c>
      <c r="U105" s="123" t="s">
        <v>26</v>
      </c>
      <c r="V105" s="126" t="s">
        <v>26</v>
      </c>
      <c r="AC105" s="33"/>
      <c r="AD105" s="33"/>
      <c r="AE105" s="33"/>
    </row>
    <row r="106" spans="1:31">
      <c r="A106" s="15" t="s">
        <v>147</v>
      </c>
      <c r="B106" s="8" t="s">
        <v>98</v>
      </c>
      <c r="C106" s="3" t="s">
        <v>22</v>
      </c>
      <c r="D106" s="3" t="s">
        <v>23</v>
      </c>
      <c r="E106" s="23" t="s">
        <v>24</v>
      </c>
      <c r="F106" s="16" t="s">
        <v>159</v>
      </c>
      <c r="G106" s="118">
        <v>238</v>
      </c>
      <c r="H106" s="118">
        <v>11.5</v>
      </c>
      <c r="I106" s="119" t="s">
        <v>26</v>
      </c>
      <c r="J106" s="119" t="s">
        <v>26</v>
      </c>
      <c r="K106" s="119" t="s">
        <v>26</v>
      </c>
      <c r="L106" s="119" t="s">
        <v>26</v>
      </c>
      <c r="M106" s="119" t="s">
        <v>26</v>
      </c>
      <c r="N106" s="119" t="s">
        <v>26</v>
      </c>
      <c r="O106" s="118">
        <v>2.4</v>
      </c>
      <c r="P106" s="119" t="s">
        <v>26</v>
      </c>
      <c r="Q106" s="119" t="s">
        <v>26</v>
      </c>
      <c r="R106" s="119" t="s">
        <v>26</v>
      </c>
      <c r="S106" s="120" t="s">
        <v>26</v>
      </c>
      <c r="T106" s="121" t="s">
        <v>26</v>
      </c>
      <c r="U106" s="122">
        <v>220</v>
      </c>
      <c r="V106" s="126" t="s">
        <v>26</v>
      </c>
      <c r="AC106" s="33"/>
      <c r="AD106" s="33"/>
      <c r="AE106" s="33"/>
    </row>
    <row r="107" spans="1:31">
      <c r="A107" s="15" t="s">
        <v>147</v>
      </c>
      <c r="B107" s="8" t="s">
        <v>98</v>
      </c>
      <c r="C107" s="3" t="s">
        <v>22</v>
      </c>
      <c r="D107" s="3" t="s">
        <v>23</v>
      </c>
      <c r="E107" s="23" t="s">
        <v>27</v>
      </c>
      <c r="F107" s="16" t="s">
        <v>160</v>
      </c>
      <c r="G107" s="118">
        <v>112</v>
      </c>
      <c r="H107" s="118">
        <v>15</v>
      </c>
      <c r="I107" s="118">
        <v>8.6</v>
      </c>
      <c r="J107" s="118">
        <v>1.05</v>
      </c>
      <c r="K107" s="119" t="s">
        <v>26</v>
      </c>
      <c r="L107" s="119" t="s">
        <v>26</v>
      </c>
      <c r="M107" s="119" t="s">
        <v>26</v>
      </c>
      <c r="N107" s="119" t="s">
        <v>26</v>
      </c>
      <c r="O107" s="118">
        <v>3.2</v>
      </c>
      <c r="P107" s="118">
        <v>4.5</v>
      </c>
      <c r="Q107" s="119" t="s">
        <v>26</v>
      </c>
      <c r="R107" s="119" t="s">
        <v>26</v>
      </c>
      <c r="S107" s="120" t="s">
        <v>26</v>
      </c>
      <c r="T107" s="121" t="s">
        <v>26</v>
      </c>
      <c r="U107" s="122">
        <v>340</v>
      </c>
      <c r="V107" s="126" t="s">
        <v>26</v>
      </c>
      <c r="AC107" s="33"/>
      <c r="AD107" s="33"/>
      <c r="AE107" s="33"/>
    </row>
    <row r="108" spans="1:31">
      <c r="A108" s="15" t="s">
        <v>147</v>
      </c>
      <c r="B108" s="8" t="s">
        <v>98</v>
      </c>
      <c r="C108" s="3" t="s">
        <v>22</v>
      </c>
      <c r="D108" s="3" t="s">
        <v>23</v>
      </c>
      <c r="E108" s="23" t="s">
        <v>29</v>
      </c>
      <c r="F108" s="16" t="s">
        <v>161</v>
      </c>
      <c r="G108" s="118">
        <v>51</v>
      </c>
      <c r="H108" s="118">
        <v>38</v>
      </c>
      <c r="I108" s="118">
        <v>24.6</v>
      </c>
      <c r="J108" s="118">
        <v>3.58</v>
      </c>
      <c r="K108" s="119" t="s">
        <v>26</v>
      </c>
      <c r="L108" s="119" t="s">
        <v>26</v>
      </c>
      <c r="M108" s="119" t="s">
        <v>26</v>
      </c>
      <c r="N108" s="119" t="s">
        <v>26</v>
      </c>
      <c r="O108" s="118">
        <v>4.0999999999999996</v>
      </c>
      <c r="P108" s="119" t="s">
        <v>26</v>
      </c>
      <c r="Q108" s="119" t="s">
        <v>26</v>
      </c>
      <c r="R108" s="119" t="s">
        <v>26</v>
      </c>
      <c r="S108" s="120" t="s">
        <v>26</v>
      </c>
      <c r="T108" s="121" t="s">
        <v>26</v>
      </c>
      <c r="U108" s="124">
        <v>217</v>
      </c>
      <c r="V108" s="126" t="s">
        <v>26</v>
      </c>
      <c r="AC108" s="33"/>
      <c r="AD108" s="33"/>
      <c r="AE108" s="33"/>
    </row>
    <row r="109" spans="1:31">
      <c r="A109" s="15" t="s">
        <v>147</v>
      </c>
      <c r="B109" s="8" t="s">
        <v>98</v>
      </c>
      <c r="C109" s="3" t="s">
        <v>22</v>
      </c>
      <c r="D109" s="3" t="s">
        <v>23</v>
      </c>
      <c r="E109" s="23" t="s">
        <v>31</v>
      </c>
      <c r="F109" s="16" t="s">
        <v>162</v>
      </c>
      <c r="G109" s="118">
        <v>15</v>
      </c>
      <c r="H109" s="118">
        <v>28.6</v>
      </c>
      <c r="I109" s="118">
        <v>11.5</v>
      </c>
      <c r="J109" s="118">
        <v>8.56</v>
      </c>
      <c r="K109" s="119" t="s">
        <v>26</v>
      </c>
      <c r="L109" s="119" t="s">
        <v>26</v>
      </c>
      <c r="M109" s="119" t="s">
        <v>26</v>
      </c>
      <c r="N109" s="119" t="s">
        <v>26</v>
      </c>
      <c r="O109" s="118">
        <v>3.8</v>
      </c>
      <c r="P109" s="119" t="s">
        <v>26</v>
      </c>
      <c r="Q109" s="119" t="s">
        <v>26</v>
      </c>
      <c r="R109" s="119" t="s">
        <v>26</v>
      </c>
      <c r="S109" s="120" t="s">
        <v>26</v>
      </c>
      <c r="T109" s="121" t="s">
        <v>26</v>
      </c>
      <c r="U109" s="124">
        <v>974</v>
      </c>
      <c r="V109" s="126" t="s">
        <v>26</v>
      </c>
      <c r="AC109" s="33"/>
      <c r="AD109" s="33"/>
      <c r="AE109" s="33"/>
    </row>
    <row r="110" spans="1:31">
      <c r="A110" s="15" t="s">
        <v>147</v>
      </c>
      <c r="B110" s="8" t="s">
        <v>163</v>
      </c>
      <c r="C110" s="3" t="s">
        <v>22</v>
      </c>
      <c r="D110" s="8" t="s">
        <v>109</v>
      </c>
      <c r="E110" s="23" t="s">
        <v>24</v>
      </c>
      <c r="F110" s="16" t="s">
        <v>164</v>
      </c>
      <c r="G110" s="118">
        <v>222</v>
      </c>
      <c r="H110" s="118">
        <v>12.8</v>
      </c>
      <c r="I110" s="119" t="s">
        <v>26</v>
      </c>
      <c r="J110" s="119" t="s">
        <v>26</v>
      </c>
      <c r="K110" s="119" t="s">
        <v>26</v>
      </c>
      <c r="L110" s="119" t="s">
        <v>26</v>
      </c>
      <c r="M110" s="118">
        <v>7.2</v>
      </c>
      <c r="N110" s="119" t="s">
        <v>26</v>
      </c>
      <c r="O110" s="118">
        <v>2.2000000000000002</v>
      </c>
      <c r="P110" s="119" t="s">
        <v>26</v>
      </c>
      <c r="Q110" s="119" t="s">
        <v>26</v>
      </c>
      <c r="R110" s="119" t="s">
        <v>26</v>
      </c>
      <c r="S110" s="120" t="s">
        <v>26</v>
      </c>
      <c r="T110" s="121" t="s">
        <v>26</v>
      </c>
      <c r="U110" s="123" t="s">
        <v>26</v>
      </c>
      <c r="V110" s="126" t="s">
        <v>26</v>
      </c>
      <c r="AC110" s="33"/>
      <c r="AD110" s="33"/>
      <c r="AE110" s="33"/>
    </row>
    <row r="111" spans="1:31">
      <c r="A111" s="15" t="s">
        <v>147</v>
      </c>
      <c r="B111" s="8" t="s">
        <v>163</v>
      </c>
      <c r="C111" s="3" t="s">
        <v>22</v>
      </c>
      <c r="D111" s="8" t="s">
        <v>109</v>
      </c>
      <c r="E111" s="23" t="s">
        <v>27</v>
      </c>
      <c r="F111" s="16" t="s">
        <v>165</v>
      </c>
      <c r="G111" s="118">
        <v>102</v>
      </c>
      <c r="H111" s="118">
        <v>22.8</v>
      </c>
      <c r="I111" s="118">
        <v>11.2</v>
      </c>
      <c r="J111" s="118">
        <v>0.8</v>
      </c>
      <c r="K111" s="119" t="s">
        <v>26</v>
      </c>
      <c r="L111" s="119" t="s">
        <v>26</v>
      </c>
      <c r="M111" s="118">
        <v>5.0999999999999996</v>
      </c>
      <c r="N111" s="119" t="s">
        <v>26</v>
      </c>
      <c r="O111" s="118">
        <v>3.8</v>
      </c>
      <c r="P111" s="119" t="s">
        <v>26</v>
      </c>
      <c r="Q111" s="119" t="s">
        <v>26</v>
      </c>
      <c r="R111" s="119" t="s">
        <v>26</v>
      </c>
      <c r="S111" s="120" t="s">
        <v>26</v>
      </c>
      <c r="T111" s="121" t="s">
        <v>26</v>
      </c>
      <c r="U111" s="123" t="s">
        <v>26</v>
      </c>
      <c r="V111" s="126" t="s">
        <v>26</v>
      </c>
      <c r="AC111" s="33"/>
      <c r="AD111" s="33"/>
      <c r="AE111" s="33"/>
    </row>
    <row r="112" spans="1:31">
      <c r="A112" s="15" t="s">
        <v>147</v>
      </c>
      <c r="B112" s="8" t="s">
        <v>163</v>
      </c>
      <c r="C112" s="3" t="s">
        <v>22</v>
      </c>
      <c r="D112" s="8" t="s">
        <v>109</v>
      </c>
      <c r="E112" s="23" t="s">
        <v>29</v>
      </c>
      <c r="F112" s="16" t="s">
        <v>166</v>
      </c>
      <c r="G112" s="118">
        <v>48</v>
      </c>
      <c r="H112" s="118">
        <v>15.6</v>
      </c>
      <c r="I112" s="118">
        <v>7.8</v>
      </c>
      <c r="J112" s="118">
        <v>5.82</v>
      </c>
      <c r="K112" s="119" t="s">
        <v>26</v>
      </c>
      <c r="L112" s="119" t="s">
        <v>26</v>
      </c>
      <c r="M112" s="119" t="s">
        <v>26</v>
      </c>
      <c r="N112" s="119" t="s">
        <v>26</v>
      </c>
      <c r="O112" s="118">
        <v>4.2</v>
      </c>
      <c r="P112" s="119" t="s">
        <v>26</v>
      </c>
      <c r="Q112" s="119" t="s">
        <v>26</v>
      </c>
      <c r="R112" s="119" t="s">
        <v>26</v>
      </c>
      <c r="S112" s="120" t="s">
        <v>26</v>
      </c>
      <c r="T112" s="121" t="s">
        <v>26</v>
      </c>
      <c r="U112" s="122">
        <v>4188</v>
      </c>
      <c r="V112" s="126" t="s">
        <v>26</v>
      </c>
      <c r="AC112" s="33"/>
      <c r="AD112" s="33"/>
      <c r="AE112" s="33"/>
    </row>
    <row r="113" spans="1:31">
      <c r="A113" s="15" t="s">
        <v>147</v>
      </c>
      <c r="B113" s="8" t="s">
        <v>163</v>
      </c>
      <c r="C113" s="3" t="s">
        <v>22</v>
      </c>
      <c r="D113" s="8" t="s">
        <v>109</v>
      </c>
      <c r="E113" s="23" t="s">
        <v>31</v>
      </c>
      <c r="F113" s="16" t="s">
        <v>167</v>
      </c>
      <c r="G113" s="118">
        <v>18</v>
      </c>
      <c r="H113" s="119" t="s">
        <v>26</v>
      </c>
      <c r="I113" s="119" t="s">
        <v>26</v>
      </c>
      <c r="J113" s="118">
        <v>10.86</v>
      </c>
      <c r="K113" s="119" t="s">
        <v>26</v>
      </c>
      <c r="L113" s="119" t="s">
        <v>26</v>
      </c>
      <c r="M113" s="119" t="s">
        <v>26</v>
      </c>
      <c r="N113" s="119" t="s">
        <v>26</v>
      </c>
      <c r="O113" s="118">
        <v>4.5</v>
      </c>
      <c r="P113" s="119" t="s">
        <v>26</v>
      </c>
      <c r="Q113" s="119" t="s">
        <v>26</v>
      </c>
      <c r="R113" s="119" t="s">
        <v>26</v>
      </c>
      <c r="S113" s="120" t="s">
        <v>26</v>
      </c>
      <c r="T113" s="121" t="s">
        <v>26</v>
      </c>
      <c r="U113" s="122">
        <v>379</v>
      </c>
      <c r="V113" s="126" t="s">
        <v>26</v>
      </c>
      <c r="AC113" s="33"/>
      <c r="AD113" s="33"/>
      <c r="AE113" s="33"/>
    </row>
    <row r="114" spans="1:31">
      <c r="A114" s="15" t="s">
        <v>147</v>
      </c>
      <c r="B114" s="8" t="s">
        <v>168</v>
      </c>
      <c r="C114" s="3" t="s">
        <v>22</v>
      </c>
      <c r="D114" s="3" t="s">
        <v>33</v>
      </c>
      <c r="E114" s="23" t="s">
        <v>24</v>
      </c>
      <c r="F114" s="16" t="s">
        <v>169</v>
      </c>
      <c r="G114" s="118">
        <v>192</v>
      </c>
      <c r="H114" s="118">
        <v>38.5</v>
      </c>
      <c r="I114" s="119" t="s">
        <v>26</v>
      </c>
      <c r="J114" s="119" t="s">
        <v>26</v>
      </c>
      <c r="K114" s="119" t="s">
        <v>26</v>
      </c>
      <c r="L114" s="119" t="s">
        <v>26</v>
      </c>
      <c r="M114" s="118">
        <v>6.5</v>
      </c>
      <c r="N114" s="119" t="s">
        <v>26</v>
      </c>
      <c r="O114" s="118">
        <v>3.5</v>
      </c>
      <c r="P114" s="119" t="s">
        <v>26</v>
      </c>
      <c r="Q114" s="118">
        <v>1.8</v>
      </c>
      <c r="R114" s="119" t="s">
        <v>26</v>
      </c>
      <c r="S114" s="120" t="s">
        <v>26</v>
      </c>
      <c r="T114" s="121" t="s">
        <v>26</v>
      </c>
      <c r="U114" s="123" t="s">
        <v>26</v>
      </c>
      <c r="V114" s="126" t="s">
        <v>26</v>
      </c>
      <c r="AC114" s="33"/>
      <c r="AD114" s="33"/>
      <c r="AE114" s="33"/>
    </row>
    <row r="115" spans="1:31">
      <c r="A115" s="15" t="s">
        <v>147</v>
      </c>
      <c r="B115" s="8" t="s">
        <v>168</v>
      </c>
      <c r="C115" s="3" t="s">
        <v>22</v>
      </c>
      <c r="D115" s="3" t="s">
        <v>33</v>
      </c>
      <c r="E115" s="23" t="s">
        <v>27</v>
      </c>
      <c r="F115" s="16" t="s">
        <v>170</v>
      </c>
      <c r="G115" s="118">
        <v>101</v>
      </c>
      <c r="H115" s="118">
        <v>25.4</v>
      </c>
      <c r="I115" s="118">
        <v>11.2</v>
      </c>
      <c r="J115" s="119" t="s">
        <v>26</v>
      </c>
      <c r="K115" s="119" t="s">
        <v>26</v>
      </c>
      <c r="L115" s="119" t="s">
        <v>26</v>
      </c>
      <c r="M115" s="118">
        <v>5.8</v>
      </c>
      <c r="N115" s="119" t="s">
        <v>26</v>
      </c>
      <c r="O115" s="118">
        <v>4.0999999999999996</v>
      </c>
      <c r="P115" s="119" t="s">
        <v>26</v>
      </c>
      <c r="Q115" s="119" t="s">
        <v>26</v>
      </c>
      <c r="R115" s="119" t="s">
        <v>26</v>
      </c>
      <c r="S115" s="120" t="s">
        <v>26</v>
      </c>
      <c r="T115" s="121" t="s">
        <v>26</v>
      </c>
      <c r="U115" s="123" t="s">
        <v>26</v>
      </c>
      <c r="V115" s="126" t="s">
        <v>26</v>
      </c>
      <c r="AC115" s="33"/>
      <c r="AD115" s="33"/>
      <c r="AE115" s="33"/>
    </row>
    <row r="116" spans="1:31">
      <c r="A116" s="15" t="s">
        <v>147</v>
      </c>
      <c r="B116" s="8" t="s">
        <v>168</v>
      </c>
      <c r="C116" s="3" t="s">
        <v>22</v>
      </c>
      <c r="D116" s="3" t="s">
        <v>33</v>
      </c>
      <c r="E116" s="23" t="s">
        <v>29</v>
      </c>
      <c r="F116" s="16" t="s">
        <v>171</v>
      </c>
      <c r="G116" s="118">
        <v>48</v>
      </c>
      <c r="H116" s="118">
        <v>5.5</v>
      </c>
      <c r="I116" s="118">
        <v>18.600000000000001</v>
      </c>
      <c r="J116" s="118">
        <v>1.22</v>
      </c>
      <c r="K116" s="119" t="s">
        <v>26</v>
      </c>
      <c r="L116" s="119" t="s">
        <v>26</v>
      </c>
      <c r="M116" s="119" t="s">
        <v>26</v>
      </c>
      <c r="N116" s="119" t="s">
        <v>26</v>
      </c>
      <c r="O116" s="118">
        <v>4.2</v>
      </c>
      <c r="P116" s="119" t="s">
        <v>26</v>
      </c>
      <c r="Q116" s="119" t="s">
        <v>26</v>
      </c>
      <c r="R116" s="119" t="s">
        <v>26</v>
      </c>
      <c r="S116" s="120" t="s">
        <v>26</v>
      </c>
      <c r="T116" s="121" t="s">
        <v>26</v>
      </c>
      <c r="U116" s="122">
        <v>60</v>
      </c>
      <c r="V116" s="126" t="s">
        <v>26</v>
      </c>
      <c r="AC116" s="33"/>
      <c r="AD116" s="33"/>
      <c r="AE116" s="33"/>
    </row>
    <row r="117" spans="1:31">
      <c r="A117" s="15" t="s">
        <v>147</v>
      </c>
      <c r="B117" s="8" t="s">
        <v>168</v>
      </c>
      <c r="C117" s="3" t="s">
        <v>22</v>
      </c>
      <c r="D117" s="3" t="s">
        <v>33</v>
      </c>
      <c r="E117" s="23" t="s">
        <v>31</v>
      </c>
      <c r="F117" s="16" t="s">
        <v>172</v>
      </c>
      <c r="G117" s="118">
        <v>18</v>
      </c>
      <c r="H117" s="118">
        <v>18.600000000000001</v>
      </c>
      <c r="I117" s="119" t="s">
        <v>26</v>
      </c>
      <c r="J117" s="119" t="s">
        <v>26</v>
      </c>
      <c r="K117" s="119" t="s">
        <v>26</v>
      </c>
      <c r="L117" s="119" t="s">
        <v>26</v>
      </c>
      <c r="M117" s="119" t="s">
        <v>26</v>
      </c>
      <c r="N117" s="119" t="s">
        <v>26</v>
      </c>
      <c r="O117" s="118">
        <v>3.3</v>
      </c>
      <c r="P117" s="119" t="s">
        <v>26</v>
      </c>
      <c r="Q117" s="119" t="s">
        <v>26</v>
      </c>
      <c r="R117" s="119" t="s">
        <v>26</v>
      </c>
      <c r="S117" s="120" t="s">
        <v>26</v>
      </c>
      <c r="T117" s="121" t="s">
        <v>26</v>
      </c>
      <c r="U117" s="122">
        <v>906</v>
      </c>
      <c r="V117" s="126" t="s">
        <v>26</v>
      </c>
      <c r="AC117" s="33"/>
      <c r="AD117" s="33"/>
      <c r="AE117" s="33"/>
    </row>
    <row r="118" spans="1:31">
      <c r="A118" s="15" t="s">
        <v>147</v>
      </c>
      <c r="B118" s="8" t="s">
        <v>68</v>
      </c>
      <c r="C118" s="3" t="s">
        <v>22</v>
      </c>
      <c r="D118" s="3" t="s">
        <v>142</v>
      </c>
      <c r="E118" s="23" t="s">
        <v>24</v>
      </c>
      <c r="F118" s="16" t="s">
        <v>1474</v>
      </c>
      <c r="G118" s="118">
        <v>218</v>
      </c>
      <c r="H118" s="118">
        <v>14.8</v>
      </c>
      <c r="I118" s="119" t="s">
        <v>26</v>
      </c>
      <c r="J118" s="119" t="s">
        <v>26</v>
      </c>
      <c r="K118" s="119" t="s">
        <v>26</v>
      </c>
      <c r="L118" s="118">
        <v>18.600000000000001</v>
      </c>
      <c r="M118" s="118">
        <v>11.5</v>
      </c>
      <c r="N118" s="119" t="s">
        <v>26</v>
      </c>
      <c r="O118" s="118">
        <v>2.1</v>
      </c>
      <c r="P118" s="119" t="s">
        <v>26</v>
      </c>
      <c r="Q118" s="119" t="s">
        <v>26</v>
      </c>
      <c r="R118" s="119" t="s">
        <v>26</v>
      </c>
      <c r="S118" s="120" t="s">
        <v>26</v>
      </c>
      <c r="T118" s="121" t="s">
        <v>26</v>
      </c>
      <c r="U118" s="133">
        <v>2687</v>
      </c>
      <c r="V118" s="126" t="s">
        <v>26</v>
      </c>
      <c r="AC118" s="33"/>
      <c r="AD118" s="33"/>
      <c r="AE118" s="33"/>
    </row>
    <row r="119" spans="1:31">
      <c r="A119" s="15" t="s">
        <v>147</v>
      </c>
      <c r="B119" s="8" t="s">
        <v>68</v>
      </c>
      <c r="C119" s="3" t="s">
        <v>22</v>
      </c>
      <c r="D119" s="3" t="s">
        <v>142</v>
      </c>
      <c r="E119" s="23" t="s">
        <v>27</v>
      </c>
      <c r="F119" s="16" t="s">
        <v>1475</v>
      </c>
      <c r="G119" s="118">
        <v>104</v>
      </c>
      <c r="H119" s="118">
        <v>21.6</v>
      </c>
      <c r="I119" s="118">
        <v>5.4</v>
      </c>
      <c r="J119" s="118">
        <v>1.8</v>
      </c>
      <c r="K119" s="119" t="s">
        <v>26</v>
      </c>
      <c r="L119" s="118">
        <v>21.2</v>
      </c>
      <c r="M119" s="118">
        <v>10.8</v>
      </c>
      <c r="N119" s="119" t="s">
        <v>26</v>
      </c>
      <c r="O119" s="118">
        <v>3.2</v>
      </c>
      <c r="P119" s="119" t="s">
        <v>26</v>
      </c>
      <c r="Q119" s="119" t="s">
        <v>26</v>
      </c>
      <c r="R119" s="119" t="s">
        <v>26</v>
      </c>
      <c r="S119" s="120" t="s">
        <v>26</v>
      </c>
      <c r="T119" s="121" t="s">
        <v>26</v>
      </c>
      <c r="U119" s="133">
        <v>1687</v>
      </c>
      <c r="V119" s="126" t="s">
        <v>26</v>
      </c>
      <c r="AC119" s="33"/>
      <c r="AD119" s="33"/>
      <c r="AE119" s="33"/>
    </row>
    <row r="120" spans="1:31">
      <c r="A120" s="15" t="s">
        <v>147</v>
      </c>
      <c r="B120" s="8" t="s">
        <v>68</v>
      </c>
      <c r="C120" s="3" t="s">
        <v>22</v>
      </c>
      <c r="D120" s="3" t="s">
        <v>142</v>
      </c>
      <c r="E120" s="23" t="s">
        <v>29</v>
      </c>
      <c r="F120" s="16" t="s">
        <v>173</v>
      </c>
      <c r="G120" s="118">
        <v>46</v>
      </c>
      <c r="H120" s="118">
        <v>20.5</v>
      </c>
      <c r="I120" s="118">
        <v>8.4</v>
      </c>
      <c r="J120" s="118">
        <v>7.42</v>
      </c>
      <c r="K120" s="119" t="s">
        <v>26</v>
      </c>
      <c r="L120" s="118">
        <v>16.5</v>
      </c>
      <c r="M120" s="118">
        <v>8.4</v>
      </c>
      <c r="N120" s="119" t="s">
        <v>26</v>
      </c>
      <c r="O120" s="118">
        <v>5.8</v>
      </c>
      <c r="P120" s="119" t="s">
        <v>26</v>
      </c>
      <c r="Q120" s="119" t="s">
        <v>26</v>
      </c>
      <c r="R120" s="119" t="s">
        <v>26</v>
      </c>
      <c r="S120" s="120" t="s">
        <v>26</v>
      </c>
      <c r="T120" s="121" t="s">
        <v>26</v>
      </c>
      <c r="U120" s="133">
        <v>1972</v>
      </c>
      <c r="V120" s="126" t="s">
        <v>26</v>
      </c>
      <c r="AC120" s="33"/>
      <c r="AD120" s="33"/>
      <c r="AE120" s="33"/>
    </row>
    <row r="121" spans="1:31">
      <c r="A121" s="15" t="s">
        <v>147</v>
      </c>
      <c r="B121" s="8" t="s">
        <v>68</v>
      </c>
      <c r="C121" s="3" t="s">
        <v>22</v>
      </c>
      <c r="D121" s="3" t="s">
        <v>142</v>
      </c>
      <c r="E121" s="23" t="s">
        <v>31</v>
      </c>
      <c r="F121" s="16" t="s">
        <v>174</v>
      </c>
      <c r="G121" s="118">
        <v>18</v>
      </c>
      <c r="H121" s="119" t="s">
        <v>26</v>
      </c>
      <c r="I121" s="119" t="s">
        <v>26</v>
      </c>
      <c r="J121" s="118">
        <v>18.559999999999999</v>
      </c>
      <c r="K121" s="119" t="s">
        <v>26</v>
      </c>
      <c r="L121" s="118">
        <v>7.8</v>
      </c>
      <c r="M121" s="118">
        <v>7.6</v>
      </c>
      <c r="N121" s="119" t="s">
        <v>26</v>
      </c>
      <c r="O121" s="118">
        <v>4.5999999999999996</v>
      </c>
      <c r="P121" s="119" t="s">
        <v>26</v>
      </c>
      <c r="Q121" s="119" t="s">
        <v>26</v>
      </c>
      <c r="R121" s="119" t="s">
        <v>26</v>
      </c>
      <c r="S121" s="120" t="s">
        <v>26</v>
      </c>
      <c r="T121" s="121" t="s">
        <v>26</v>
      </c>
      <c r="U121" s="133">
        <v>719</v>
      </c>
      <c r="V121" s="126" t="s">
        <v>26</v>
      </c>
      <c r="AC121" s="33"/>
      <c r="AD121" s="33"/>
      <c r="AE121" s="33"/>
    </row>
    <row r="122" spans="1:31">
      <c r="A122" s="15" t="s">
        <v>175</v>
      </c>
      <c r="B122" s="18" t="s">
        <v>53</v>
      </c>
      <c r="C122" s="3" t="s">
        <v>22</v>
      </c>
      <c r="D122" s="3" t="s">
        <v>54</v>
      </c>
      <c r="E122" s="23" t="s">
        <v>27</v>
      </c>
      <c r="F122" s="16" t="s">
        <v>176</v>
      </c>
      <c r="G122" s="118">
        <v>103</v>
      </c>
      <c r="H122" s="118">
        <v>20.100000000000001</v>
      </c>
      <c r="I122" s="118">
        <v>14.6</v>
      </c>
      <c r="J122" s="118">
        <v>1.4</v>
      </c>
      <c r="K122" s="119" t="s">
        <v>26</v>
      </c>
      <c r="L122" s="119" t="s">
        <v>26</v>
      </c>
      <c r="M122" s="119" t="s">
        <v>26</v>
      </c>
      <c r="N122" s="119" t="s">
        <v>26</v>
      </c>
      <c r="O122" s="118">
        <v>5.2</v>
      </c>
      <c r="P122" s="118">
        <v>1</v>
      </c>
      <c r="Q122" s="118">
        <v>9.6</v>
      </c>
      <c r="R122" s="118">
        <v>1.3</v>
      </c>
      <c r="S122" s="127">
        <v>3.4</v>
      </c>
      <c r="T122" s="121" t="s">
        <v>26</v>
      </c>
      <c r="U122" s="122">
        <v>3802</v>
      </c>
      <c r="V122" s="126" t="s">
        <v>26</v>
      </c>
      <c r="AC122" s="33"/>
      <c r="AD122" s="33"/>
      <c r="AE122" s="33"/>
    </row>
    <row r="123" spans="1:31">
      <c r="A123" s="15" t="s">
        <v>175</v>
      </c>
      <c r="B123" s="18" t="s">
        <v>53</v>
      </c>
      <c r="C123" s="8" t="s">
        <v>22</v>
      </c>
      <c r="D123" s="3" t="s">
        <v>54</v>
      </c>
      <c r="E123" s="23" t="s">
        <v>29</v>
      </c>
      <c r="F123" s="16" t="s">
        <v>177</v>
      </c>
      <c r="G123" s="118">
        <v>42</v>
      </c>
      <c r="H123" s="118">
        <v>18.600000000000001</v>
      </c>
      <c r="I123" s="118">
        <v>24.7</v>
      </c>
      <c r="J123" s="118">
        <v>3.64</v>
      </c>
      <c r="K123" s="119" t="s">
        <v>26</v>
      </c>
      <c r="L123" s="119" t="s">
        <v>26</v>
      </c>
      <c r="M123" s="118">
        <v>0.6</v>
      </c>
      <c r="N123" s="119" t="s">
        <v>26</v>
      </c>
      <c r="O123" s="118">
        <v>5.7</v>
      </c>
      <c r="P123" s="119" t="s">
        <v>26</v>
      </c>
      <c r="Q123" s="118">
        <v>3.4</v>
      </c>
      <c r="R123" s="118">
        <v>2.1</v>
      </c>
      <c r="S123" s="127">
        <v>3.9</v>
      </c>
      <c r="T123" s="121" t="s">
        <v>26</v>
      </c>
      <c r="U123" s="133">
        <v>5702</v>
      </c>
      <c r="V123" s="126" t="s">
        <v>26</v>
      </c>
      <c r="AC123" s="33"/>
      <c r="AD123" s="33"/>
      <c r="AE123" s="33"/>
    </row>
    <row r="124" spans="1:31">
      <c r="A124" s="15" t="s">
        <v>175</v>
      </c>
      <c r="B124" s="18" t="s">
        <v>53</v>
      </c>
      <c r="C124" s="8" t="s">
        <v>22</v>
      </c>
      <c r="D124" s="8" t="s">
        <v>54</v>
      </c>
      <c r="E124" s="23" t="s">
        <v>31</v>
      </c>
      <c r="F124" s="16" t="s">
        <v>178</v>
      </c>
      <c r="G124" s="118">
        <v>14</v>
      </c>
      <c r="H124" s="119" t="s">
        <v>26</v>
      </c>
      <c r="I124" s="118">
        <v>4.7</v>
      </c>
      <c r="J124" s="118">
        <v>8.5</v>
      </c>
      <c r="K124" s="119" t="s">
        <v>26</v>
      </c>
      <c r="L124" s="119" t="s">
        <v>26</v>
      </c>
      <c r="M124" s="119" t="s">
        <v>26</v>
      </c>
      <c r="N124" s="119" t="s">
        <v>26</v>
      </c>
      <c r="O124" s="118">
        <v>4.7</v>
      </c>
      <c r="P124" s="118">
        <v>1.9</v>
      </c>
      <c r="Q124" s="119" t="s">
        <v>26</v>
      </c>
      <c r="R124" s="118">
        <v>1.8</v>
      </c>
      <c r="S124" s="127">
        <v>5.8</v>
      </c>
      <c r="T124" s="121" t="s">
        <v>26</v>
      </c>
      <c r="U124" s="133">
        <v>406</v>
      </c>
      <c r="V124" s="126" t="s">
        <v>26</v>
      </c>
      <c r="AC124" s="33"/>
      <c r="AD124" s="33"/>
      <c r="AE124" s="33"/>
    </row>
    <row r="125" spans="1:31">
      <c r="A125" s="15" t="s">
        <v>175</v>
      </c>
      <c r="B125" s="15" t="s">
        <v>179</v>
      </c>
      <c r="C125" s="8" t="s">
        <v>22</v>
      </c>
      <c r="D125" s="1" t="s">
        <v>1341</v>
      </c>
      <c r="E125" s="25" t="s">
        <v>71</v>
      </c>
      <c r="F125" s="16" t="s">
        <v>180</v>
      </c>
      <c r="G125" s="118">
        <v>120</v>
      </c>
      <c r="H125" s="118">
        <v>9.6999999999999993</v>
      </c>
      <c r="I125" s="118">
        <v>60.4</v>
      </c>
      <c r="J125" s="119" t="s">
        <v>26</v>
      </c>
      <c r="K125" s="119" t="s">
        <v>26</v>
      </c>
      <c r="L125" s="119" t="s">
        <v>26</v>
      </c>
      <c r="M125" s="119" t="s">
        <v>26</v>
      </c>
      <c r="N125" s="119" t="s">
        <v>26</v>
      </c>
      <c r="O125" s="118">
        <v>4.7</v>
      </c>
      <c r="P125" s="118">
        <v>0.9</v>
      </c>
      <c r="Q125" s="118">
        <v>2.1</v>
      </c>
      <c r="R125" s="118">
        <v>1.3</v>
      </c>
      <c r="S125" s="127">
        <v>2.7</v>
      </c>
      <c r="T125" s="121" t="s">
        <v>26</v>
      </c>
      <c r="U125" s="129">
        <v>86</v>
      </c>
      <c r="V125" s="126" t="s">
        <v>26</v>
      </c>
      <c r="AC125" s="33"/>
      <c r="AD125" s="33"/>
      <c r="AE125" s="33"/>
    </row>
    <row r="126" spans="1:31">
      <c r="A126" s="15" t="s">
        <v>175</v>
      </c>
      <c r="B126" s="15" t="s">
        <v>179</v>
      </c>
      <c r="C126" s="8" t="s">
        <v>22</v>
      </c>
      <c r="D126" s="1" t="s">
        <v>1341</v>
      </c>
      <c r="E126" s="25" t="s">
        <v>29</v>
      </c>
      <c r="F126" s="16" t="s">
        <v>181</v>
      </c>
      <c r="G126" s="118">
        <v>40</v>
      </c>
      <c r="H126" s="118">
        <v>7.9</v>
      </c>
      <c r="I126" s="118">
        <v>15.7</v>
      </c>
      <c r="J126" s="119" t="s">
        <v>26</v>
      </c>
      <c r="K126" s="119" t="s">
        <v>26</v>
      </c>
      <c r="L126" s="119" t="s">
        <v>26</v>
      </c>
      <c r="M126" s="119" t="s">
        <v>26</v>
      </c>
      <c r="N126" s="119" t="s">
        <v>26</v>
      </c>
      <c r="O126" s="118">
        <v>3.9</v>
      </c>
      <c r="P126" s="119" t="s">
        <v>26</v>
      </c>
      <c r="Q126" s="119" t="s">
        <v>26</v>
      </c>
      <c r="R126" s="118">
        <v>1.7</v>
      </c>
      <c r="S126" s="127">
        <v>4.0999999999999996</v>
      </c>
      <c r="T126" s="121" t="s">
        <v>26</v>
      </c>
      <c r="U126" s="129">
        <v>35.700000000000003</v>
      </c>
      <c r="V126" s="126" t="s">
        <v>26</v>
      </c>
      <c r="AC126" s="33"/>
      <c r="AD126" s="33"/>
      <c r="AE126" s="33"/>
    </row>
    <row r="127" spans="1:31">
      <c r="A127" s="15" t="s">
        <v>175</v>
      </c>
      <c r="B127" s="15" t="s">
        <v>179</v>
      </c>
      <c r="C127" s="8" t="s">
        <v>22</v>
      </c>
      <c r="D127" s="1" t="s">
        <v>1341</v>
      </c>
      <c r="E127" s="25" t="s">
        <v>31</v>
      </c>
      <c r="F127" s="16" t="s">
        <v>182</v>
      </c>
      <c r="G127" s="118">
        <v>15</v>
      </c>
      <c r="H127" s="119" t="s">
        <v>26</v>
      </c>
      <c r="I127" s="118">
        <v>6.1</v>
      </c>
      <c r="J127" s="118">
        <v>1.2</v>
      </c>
      <c r="K127" s="119" t="s">
        <v>26</v>
      </c>
      <c r="L127" s="119" t="s">
        <v>26</v>
      </c>
      <c r="M127" s="119" t="s">
        <v>26</v>
      </c>
      <c r="N127" s="119" t="s">
        <v>26</v>
      </c>
      <c r="O127" s="118">
        <v>4.0999999999999996</v>
      </c>
      <c r="P127" s="118">
        <v>1.6</v>
      </c>
      <c r="Q127" s="119" t="s">
        <v>26</v>
      </c>
      <c r="R127" s="119" t="s">
        <v>26</v>
      </c>
      <c r="S127" s="127">
        <v>2.7</v>
      </c>
      <c r="T127" s="121" t="s">
        <v>26</v>
      </c>
      <c r="U127" s="129">
        <v>19.600000000000001</v>
      </c>
      <c r="V127" s="126" t="s">
        <v>26</v>
      </c>
      <c r="AC127" s="33"/>
      <c r="AD127" s="33"/>
      <c r="AE127" s="33"/>
    </row>
    <row r="128" spans="1:31">
      <c r="A128" s="15" t="s">
        <v>175</v>
      </c>
      <c r="B128" s="8" t="s">
        <v>183</v>
      </c>
      <c r="C128" s="8" t="s">
        <v>22</v>
      </c>
      <c r="D128" s="3" t="s">
        <v>33</v>
      </c>
      <c r="E128" s="25" t="s">
        <v>71</v>
      </c>
      <c r="F128" s="16" t="s">
        <v>184</v>
      </c>
      <c r="G128" s="118">
        <v>108</v>
      </c>
      <c r="H128" s="118">
        <v>14.5</v>
      </c>
      <c r="I128" s="118">
        <v>24.8</v>
      </c>
      <c r="J128" s="119" t="s">
        <v>26</v>
      </c>
      <c r="K128" s="119" t="s">
        <v>26</v>
      </c>
      <c r="L128" s="119" t="s">
        <v>26</v>
      </c>
      <c r="M128" s="119" t="s">
        <v>26</v>
      </c>
      <c r="N128" s="119" t="s">
        <v>26</v>
      </c>
      <c r="O128" s="118">
        <v>3.2</v>
      </c>
      <c r="P128" s="119" t="s">
        <v>26</v>
      </c>
      <c r="Q128" s="118">
        <v>8.5</v>
      </c>
      <c r="R128" s="119" t="s">
        <v>26</v>
      </c>
      <c r="S128" s="120" t="s">
        <v>26</v>
      </c>
      <c r="T128" s="121" t="s">
        <v>26</v>
      </c>
      <c r="U128" s="122">
        <v>780</v>
      </c>
      <c r="V128" s="126" t="s">
        <v>26</v>
      </c>
      <c r="AC128" s="33"/>
      <c r="AD128" s="33"/>
      <c r="AE128" s="33"/>
    </row>
    <row r="129" spans="1:31">
      <c r="A129" s="15" t="s">
        <v>175</v>
      </c>
      <c r="B129" s="8" t="s">
        <v>183</v>
      </c>
      <c r="C129" s="8" t="s">
        <v>22</v>
      </c>
      <c r="D129" s="3" t="s">
        <v>33</v>
      </c>
      <c r="E129" s="25" t="s">
        <v>29</v>
      </c>
      <c r="F129" s="16" t="s">
        <v>185</v>
      </c>
      <c r="G129" s="118">
        <v>45</v>
      </c>
      <c r="H129" s="118">
        <v>17.16</v>
      </c>
      <c r="I129" s="118">
        <v>15.12</v>
      </c>
      <c r="J129" s="118">
        <v>1.4</v>
      </c>
      <c r="K129" s="119" t="s">
        <v>26</v>
      </c>
      <c r="L129" s="119" t="s">
        <v>26</v>
      </c>
      <c r="M129" s="119" t="s">
        <v>26</v>
      </c>
      <c r="N129" s="119" t="s">
        <v>26</v>
      </c>
      <c r="O129" s="118">
        <v>3.8</v>
      </c>
      <c r="P129" s="119" t="s">
        <v>26</v>
      </c>
      <c r="Q129" s="118">
        <v>4.2</v>
      </c>
      <c r="R129" s="119" t="s">
        <v>26</v>
      </c>
      <c r="S129" s="120" t="s">
        <v>26</v>
      </c>
      <c r="T129" s="121" t="s">
        <v>26</v>
      </c>
      <c r="U129" s="122">
        <v>200</v>
      </c>
      <c r="V129" s="126" t="s">
        <v>26</v>
      </c>
      <c r="AC129" s="33"/>
      <c r="AD129" s="33"/>
      <c r="AE129" s="33"/>
    </row>
    <row r="130" spans="1:31">
      <c r="A130" s="15" t="s">
        <v>175</v>
      </c>
      <c r="B130" s="8" t="s">
        <v>186</v>
      </c>
      <c r="C130" s="8" t="s">
        <v>22</v>
      </c>
      <c r="D130" s="3" t="s">
        <v>23</v>
      </c>
      <c r="E130" s="23" t="s">
        <v>24</v>
      </c>
      <c r="F130" s="16" t="s">
        <v>187</v>
      </c>
      <c r="G130" s="118">
        <v>242</v>
      </c>
      <c r="H130" s="118">
        <v>7.6</v>
      </c>
      <c r="I130" s="119" t="s">
        <v>26</v>
      </c>
      <c r="J130" s="119" t="s">
        <v>26</v>
      </c>
      <c r="K130" s="119" t="s">
        <v>26</v>
      </c>
      <c r="L130" s="119" t="s">
        <v>26</v>
      </c>
      <c r="M130" s="119" t="s">
        <v>26</v>
      </c>
      <c r="N130" s="119" t="s">
        <v>26</v>
      </c>
      <c r="O130" s="118">
        <v>1.2</v>
      </c>
      <c r="P130" s="119" t="s">
        <v>26</v>
      </c>
      <c r="Q130" s="118">
        <v>11.5</v>
      </c>
      <c r="R130" s="118">
        <v>1.7</v>
      </c>
      <c r="S130" s="120" t="s">
        <v>26</v>
      </c>
      <c r="T130" s="121" t="s">
        <v>26</v>
      </c>
      <c r="U130" s="122">
        <v>560</v>
      </c>
      <c r="V130" s="126" t="s">
        <v>26</v>
      </c>
      <c r="AC130" s="33"/>
      <c r="AD130" s="33"/>
      <c r="AE130" s="33"/>
    </row>
    <row r="131" spans="1:31">
      <c r="A131" s="15" t="s">
        <v>175</v>
      </c>
      <c r="B131" s="8" t="s">
        <v>186</v>
      </c>
      <c r="C131" s="8" t="s">
        <v>22</v>
      </c>
      <c r="D131" s="3" t="s">
        <v>23</v>
      </c>
      <c r="E131" s="23" t="s">
        <v>27</v>
      </c>
      <c r="F131" s="16" t="s">
        <v>188</v>
      </c>
      <c r="G131" s="118">
        <v>102</v>
      </c>
      <c r="H131" s="118">
        <v>25.8</v>
      </c>
      <c r="I131" s="118">
        <v>11.6</v>
      </c>
      <c r="J131" s="119" t="s">
        <v>26</v>
      </c>
      <c r="K131" s="119" t="s">
        <v>26</v>
      </c>
      <c r="L131" s="119" t="s">
        <v>26</v>
      </c>
      <c r="M131" s="119" t="s">
        <v>26</v>
      </c>
      <c r="N131" s="119" t="s">
        <v>26</v>
      </c>
      <c r="O131" s="118">
        <v>3.8</v>
      </c>
      <c r="P131" s="119" t="s">
        <v>26</v>
      </c>
      <c r="Q131" s="118">
        <v>5.4</v>
      </c>
      <c r="R131" s="118">
        <v>1.6</v>
      </c>
      <c r="S131" s="120" t="s">
        <v>26</v>
      </c>
      <c r="T131" s="128">
        <v>2</v>
      </c>
      <c r="U131" s="123" t="s">
        <v>26</v>
      </c>
      <c r="V131" s="126" t="s">
        <v>26</v>
      </c>
      <c r="AC131" s="33"/>
      <c r="AD131" s="33"/>
      <c r="AE131" s="33"/>
    </row>
    <row r="132" spans="1:31">
      <c r="A132" s="15" t="s">
        <v>175</v>
      </c>
      <c r="B132" s="8" t="s">
        <v>186</v>
      </c>
      <c r="C132" s="8" t="s">
        <v>22</v>
      </c>
      <c r="D132" s="3" t="s">
        <v>23</v>
      </c>
      <c r="E132" s="23" t="s">
        <v>29</v>
      </c>
      <c r="F132" s="16" t="s">
        <v>189</v>
      </c>
      <c r="G132" s="118">
        <v>48</v>
      </c>
      <c r="H132" s="118">
        <v>18.5</v>
      </c>
      <c r="I132" s="118">
        <v>16.399999999999999</v>
      </c>
      <c r="J132" s="118">
        <v>4.0599999999999996</v>
      </c>
      <c r="K132" s="119" t="s">
        <v>26</v>
      </c>
      <c r="L132" s="119" t="s">
        <v>26</v>
      </c>
      <c r="M132" s="119" t="s">
        <v>26</v>
      </c>
      <c r="N132" s="119" t="s">
        <v>26</v>
      </c>
      <c r="O132" s="118">
        <v>5.8</v>
      </c>
      <c r="P132" s="119" t="s">
        <v>26</v>
      </c>
      <c r="Q132" s="119" t="s">
        <v>26</v>
      </c>
      <c r="R132" s="119" t="s">
        <v>26</v>
      </c>
      <c r="S132" s="120" t="s">
        <v>26</v>
      </c>
      <c r="T132" s="121" t="s">
        <v>26</v>
      </c>
      <c r="U132" s="124">
        <v>2150</v>
      </c>
      <c r="V132" s="126" t="s">
        <v>26</v>
      </c>
      <c r="AC132" s="33"/>
      <c r="AD132" s="33"/>
      <c r="AE132" s="33"/>
    </row>
    <row r="133" spans="1:31">
      <c r="A133" s="15" t="s">
        <v>175</v>
      </c>
      <c r="B133" s="8" t="s">
        <v>186</v>
      </c>
      <c r="C133" s="8" t="s">
        <v>22</v>
      </c>
      <c r="D133" s="3" t="s">
        <v>23</v>
      </c>
      <c r="E133" s="23" t="s">
        <v>31</v>
      </c>
      <c r="F133" s="16" t="s">
        <v>190</v>
      </c>
      <c r="G133" s="118">
        <v>18</v>
      </c>
      <c r="H133" s="118">
        <v>29.5</v>
      </c>
      <c r="I133" s="119" t="s">
        <v>26</v>
      </c>
      <c r="J133" s="118">
        <v>11.8</v>
      </c>
      <c r="K133" s="119" t="s">
        <v>26</v>
      </c>
      <c r="L133" s="119" t="s">
        <v>26</v>
      </c>
      <c r="M133" s="119" t="s">
        <v>26</v>
      </c>
      <c r="N133" s="119" t="s">
        <v>26</v>
      </c>
      <c r="O133" s="118">
        <v>2.9</v>
      </c>
      <c r="P133" s="119" t="s">
        <v>26</v>
      </c>
      <c r="Q133" s="119" t="s">
        <v>26</v>
      </c>
      <c r="R133" s="119" t="s">
        <v>26</v>
      </c>
      <c r="S133" s="120" t="s">
        <v>26</v>
      </c>
      <c r="T133" s="121" t="s">
        <v>26</v>
      </c>
      <c r="U133" s="124">
        <v>1708</v>
      </c>
      <c r="V133" s="126" t="s">
        <v>26</v>
      </c>
      <c r="AC133" s="33"/>
      <c r="AD133" s="33"/>
      <c r="AE133" s="33"/>
    </row>
    <row r="134" spans="1:31">
      <c r="A134" s="15" t="s">
        <v>175</v>
      </c>
      <c r="B134" s="8" t="s">
        <v>191</v>
      </c>
      <c r="C134" s="8" t="s">
        <v>22</v>
      </c>
      <c r="D134" s="3" t="s">
        <v>23</v>
      </c>
      <c r="E134" s="23" t="s">
        <v>24</v>
      </c>
      <c r="F134" s="16" t="s">
        <v>138</v>
      </c>
      <c r="G134" s="118">
        <v>248</v>
      </c>
      <c r="H134" s="118">
        <v>8.4</v>
      </c>
      <c r="I134" s="119" t="s">
        <v>26</v>
      </c>
      <c r="J134" s="119" t="s">
        <v>26</v>
      </c>
      <c r="K134" s="119" t="s">
        <v>26</v>
      </c>
      <c r="L134" s="119" t="s">
        <v>26</v>
      </c>
      <c r="M134" s="118">
        <v>8.8000000000000007</v>
      </c>
      <c r="N134" s="119" t="s">
        <v>26</v>
      </c>
      <c r="O134" s="118">
        <v>1.8</v>
      </c>
      <c r="P134" s="119" t="s">
        <v>26</v>
      </c>
      <c r="Q134" s="118">
        <v>15.9</v>
      </c>
      <c r="R134" s="118">
        <v>1.2</v>
      </c>
      <c r="S134" s="120" t="s">
        <v>26</v>
      </c>
      <c r="T134" s="121" t="s">
        <v>26</v>
      </c>
      <c r="U134" s="122">
        <v>820</v>
      </c>
      <c r="V134" s="89">
        <v>797</v>
      </c>
      <c r="AC134" s="33"/>
      <c r="AD134" s="33"/>
      <c r="AE134" s="33"/>
    </row>
    <row r="135" spans="1:31">
      <c r="A135" s="15" t="s">
        <v>175</v>
      </c>
      <c r="B135" s="8" t="s">
        <v>191</v>
      </c>
      <c r="C135" s="8" t="s">
        <v>22</v>
      </c>
      <c r="D135" s="3" t="s">
        <v>23</v>
      </c>
      <c r="E135" s="23" t="s">
        <v>27</v>
      </c>
      <c r="F135" s="16" t="s">
        <v>192</v>
      </c>
      <c r="G135" s="118">
        <v>114</v>
      </c>
      <c r="H135" s="118">
        <v>18.8</v>
      </c>
      <c r="I135" s="118">
        <v>6.5</v>
      </c>
      <c r="J135" s="119" t="s">
        <v>26</v>
      </c>
      <c r="K135" s="119" t="s">
        <v>26</v>
      </c>
      <c r="L135" s="119" t="s">
        <v>26</v>
      </c>
      <c r="M135" s="118">
        <v>5.9</v>
      </c>
      <c r="N135" s="119" t="s">
        <v>26</v>
      </c>
      <c r="O135" s="118">
        <v>2.5</v>
      </c>
      <c r="P135" s="119" t="s">
        <v>26</v>
      </c>
      <c r="Q135" s="118">
        <v>6.6</v>
      </c>
      <c r="R135" s="118">
        <v>2.4</v>
      </c>
      <c r="S135" s="120" t="s">
        <v>26</v>
      </c>
      <c r="T135" s="121" t="s">
        <v>26</v>
      </c>
      <c r="U135" s="122">
        <v>180</v>
      </c>
      <c r="V135" s="89">
        <v>382</v>
      </c>
      <c r="AC135" s="33"/>
      <c r="AD135" s="33"/>
      <c r="AE135" s="33"/>
    </row>
    <row r="136" spans="1:31">
      <c r="A136" s="15" t="s">
        <v>175</v>
      </c>
      <c r="B136" s="8" t="s">
        <v>191</v>
      </c>
      <c r="C136" s="8" t="s">
        <v>22</v>
      </c>
      <c r="D136" s="3" t="s">
        <v>23</v>
      </c>
      <c r="E136" s="23" t="s">
        <v>29</v>
      </c>
      <c r="F136" s="16" t="s">
        <v>193</v>
      </c>
      <c r="G136" s="118">
        <v>49</v>
      </c>
      <c r="H136" s="118">
        <v>20.2</v>
      </c>
      <c r="I136" s="118">
        <v>15.8</v>
      </c>
      <c r="J136" s="118">
        <v>5.46</v>
      </c>
      <c r="K136" s="119" t="s">
        <v>26</v>
      </c>
      <c r="L136" s="119" t="s">
        <v>26</v>
      </c>
      <c r="M136" s="118">
        <v>14.5</v>
      </c>
      <c r="N136" s="119" t="s">
        <v>26</v>
      </c>
      <c r="O136" s="118">
        <v>5.5</v>
      </c>
      <c r="P136" s="119" t="s">
        <v>26</v>
      </c>
      <c r="Q136" s="119" t="s">
        <v>26</v>
      </c>
      <c r="R136" s="119" t="s">
        <v>26</v>
      </c>
      <c r="S136" s="120" t="s">
        <v>26</v>
      </c>
      <c r="T136" s="121" t="s">
        <v>26</v>
      </c>
      <c r="U136" s="124">
        <v>2474</v>
      </c>
      <c r="V136" s="89">
        <v>325</v>
      </c>
      <c r="AC136" s="33"/>
      <c r="AD136" s="33"/>
      <c r="AE136" s="33"/>
    </row>
    <row r="137" spans="1:31">
      <c r="A137" s="15" t="s">
        <v>175</v>
      </c>
      <c r="B137" s="8" t="s">
        <v>191</v>
      </c>
      <c r="C137" s="8" t="s">
        <v>22</v>
      </c>
      <c r="D137" s="3" t="s">
        <v>23</v>
      </c>
      <c r="E137" s="23" t="s">
        <v>31</v>
      </c>
      <c r="F137" s="16" t="s">
        <v>194</v>
      </c>
      <c r="G137" s="118">
        <v>18</v>
      </c>
      <c r="H137" s="118">
        <v>14.5</v>
      </c>
      <c r="I137" s="119" t="s">
        <v>26</v>
      </c>
      <c r="J137" s="118">
        <v>14.5</v>
      </c>
      <c r="K137" s="119" t="s">
        <v>26</v>
      </c>
      <c r="L137" s="119" t="s">
        <v>26</v>
      </c>
      <c r="M137" s="119" t="s">
        <v>26</v>
      </c>
      <c r="N137" s="119" t="s">
        <v>26</v>
      </c>
      <c r="O137" s="118">
        <v>3.8</v>
      </c>
      <c r="P137" s="119" t="s">
        <v>26</v>
      </c>
      <c r="Q137" s="119" t="s">
        <v>26</v>
      </c>
      <c r="R137" s="119" t="s">
        <v>26</v>
      </c>
      <c r="S137" s="120" t="s">
        <v>26</v>
      </c>
      <c r="T137" s="121" t="s">
        <v>26</v>
      </c>
      <c r="U137" s="124">
        <v>928</v>
      </c>
      <c r="V137" s="89">
        <v>239</v>
      </c>
      <c r="AC137" s="33"/>
      <c r="AD137" s="33"/>
      <c r="AE137" s="33"/>
    </row>
    <row r="138" spans="1:31">
      <c r="A138" s="15" t="s">
        <v>175</v>
      </c>
      <c r="B138" s="8" t="s">
        <v>108</v>
      </c>
      <c r="C138" s="8" t="s">
        <v>22</v>
      </c>
      <c r="D138" s="3" t="s">
        <v>142</v>
      </c>
      <c r="E138" s="23" t="s">
        <v>24</v>
      </c>
      <c r="F138" s="16" t="s">
        <v>195</v>
      </c>
      <c r="G138" s="118">
        <v>230</v>
      </c>
      <c r="H138" s="118">
        <v>18</v>
      </c>
      <c r="I138" s="119" t="s">
        <v>26</v>
      </c>
      <c r="J138" s="119" t="s">
        <v>26</v>
      </c>
      <c r="K138" s="119" t="s">
        <v>26</v>
      </c>
      <c r="L138" s="119" t="s">
        <v>26</v>
      </c>
      <c r="M138" s="119" t="s">
        <v>26</v>
      </c>
      <c r="N138" s="119" t="s">
        <v>26</v>
      </c>
      <c r="O138" s="118">
        <v>2.2000000000000002</v>
      </c>
      <c r="P138" s="119" t="s">
        <v>26</v>
      </c>
      <c r="Q138" s="118">
        <v>11.5</v>
      </c>
      <c r="R138" s="119" t="s">
        <v>26</v>
      </c>
      <c r="S138" s="120" t="s">
        <v>26</v>
      </c>
      <c r="T138" s="121" t="s">
        <v>26</v>
      </c>
      <c r="U138" s="122">
        <v>874</v>
      </c>
      <c r="V138" s="126" t="s">
        <v>26</v>
      </c>
      <c r="AC138" s="33"/>
      <c r="AD138" s="33"/>
      <c r="AE138" s="33"/>
    </row>
    <row r="139" spans="1:31">
      <c r="A139" s="15" t="s">
        <v>175</v>
      </c>
      <c r="B139" s="8" t="s">
        <v>108</v>
      </c>
      <c r="C139" s="8" t="s">
        <v>22</v>
      </c>
      <c r="D139" s="3" t="s">
        <v>142</v>
      </c>
      <c r="E139" s="23" t="s">
        <v>27</v>
      </c>
      <c r="F139" s="16" t="s">
        <v>196</v>
      </c>
      <c r="G139" s="118">
        <v>104</v>
      </c>
      <c r="H139" s="118">
        <v>22.8</v>
      </c>
      <c r="I139" s="118">
        <v>11.6</v>
      </c>
      <c r="J139" s="119" t="s">
        <v>26</v>
      </c>
      <c r="K139" s="119" t="s">
        <v>26</v>
      </c>
      <c r="L139" s="118">
        <v>0.5</v>
      </c>
      <c r="M139" s="118">
        <v>4.8</v>
      </c>
      <c r="N139" s="119" t="s">
        <v>26</v>
      </c>
      <c r="O139" s="118">
        <v>2.8</v>
      </c>
      <c r="P139" s="119" t="s">
        <v>26</v>
      </c>
      <c r="Q139" s="118">
        <v>12.2</v>
      </c>
      <c r="R139" s="119" t="s">
        <v>26</v>
      </c>
      <c r="S139" s="120" t="s">
        <v>26</v>
      </c>
      <c r="T139" s="121" t="s">
        <v>26</v>
      </c>
      <c r="U139" s="122">
        <v>114</v>
      </c>
      <c r="V139" s="126" t="s">
        <v>26</v>
      </c>
      <c r="AC139" s="33"/>
      <c r="AD139" s="33"/>
      <c r="AE139" s="33"/>
    </row>
    <row r="140" spans="1:31">
      <c r="A140" s="15" t="s">
        <v>175</v>
      </c>
      <c r="B140" s="8" t="s">
        <v>108</v>
      </c>
      <c r="C140" s="8" t="s">
        <v>22</v>
      </c>
      <c r="D140" s="3" t="s">
        <v>142</v>
      </c>
      <c r="E140" s="23" t="s">
        <v>29</v>
      </c>
      <c r="F140" s="16" t="s">
        <v>197</v>
      </c>
      <c r="G140" s="118">
        <v>45</v>
      </c>
      <c r="H140" s="118">
        <v>25.6</v>
      </c>
      <c r="I140" s="118">
        <v>15.2</v>
      </c>
      <c r="J140" s="118">
        <v>5.84</v>
      </c>
      <c r="K140" s="119" t="s">
        <v>26</v>
      </c>
      <c r="L140" s="119" t="s">
        <v>26</v>
      </c>
      <c r="M140" s="118">
        <v>5.6</v>
      </c>
      <c r="N140" s="119" t="s">
        <v>26</v>
      </c>
      <c r="O140" s="118">
        <v>4.5999999999999996</v>
      </c>
      <c r="P140" s="119" t="s">
        <v>26</v>
      </c>
      <c r="Q140" s="119" t="s">
        <v>26</v>
      </c>
      <c r="R140" s="119" t="s">
        <v>26</v>
      </c>
      <c r="S140" s="120" t="s">
        <v>26</v>
      </c>
      <c r="T140" s="121" t="s">
        <v>26</v>
      </c>
      <c r="U140" s="122">
        <v>2407</v>
      </c>
      <c r="V140" s="126" t="s">
        <v>26</v>
      </c>
      <c r="AC140" s="33"/>
      <c r="AD140" s="33"/>
      <c r="AE140" s="33"/>
    </row>
    <row r="141" spans="1:31">
      <c r="A141" s="15" t="s">
        <v>175</v>
      </c>
      <c r="B141" s="8" t="s">
        <v>108</v>
      </c>
      <c r="C141" s="8" t="s">
        <v>22</v>
      </c>
      <c r="D141" s="3" t="s">
        <v>142</v>
      </c>
      <c r="E141" s="23" t="s">
        <v>31</v>
      </c>
      <c r="F141" s="16" t="s">
        <v>198</v>
      </c>
      <c r="G141" s="118">
        <v>17</v>
      </c>
      <c r="H141" s="118">
        <v>26.8</v>
      </c>
      <c r="I141" s="119" t="s">
        <v>26</v>
      </c>
      <c r="J141" s="118">
        <v>18.5</v>
      </c>
      <c r="K141" s="119" t="s">
        <v>26</v>
      </c>
      <c r="L141" s="119" t="s">
        <v>26</v>
      </c>
      <c r="M141" s="119" t="s">
        <v>26</v>
      </c>
      <c r="N141" s="119" t="s">
        <v>26</v>
      </c>
      <c r="O141" s="118">
        <v>5.0999999999999996</v>
      </c>
      <c r="P141" s="119" t="s">
        <v>26</v>
      </c>
      <c r="Q141" s="119" t="s">
        <v>26</v>
      </c>
      <c r="R141" s="119" t="s">
        <v>26</v>
      </c>
      <c r="S141" s="120" t="s">
        <v>26</v>
      </c>
      <c r="T141" s="121" t="s">
        <v>26</v>
      </c>
      <c r="U141" s="133">
        <v>459</v>
      </c>
      <c r="V141" s="126" t="s">
        <v>26</v>
      </c>
      <c r="AC141" s="33"/>
      <c r="AD141" s="33"/>
      <c r="AE141" s="33"/>
    </row>
    <row r="142" spans="1:31">
      <c r="A142" s="15" t="s">
        <v>175</v>
      </c>
      <c r="B142" s="8" t="s">
        <v>199</v>
      </c>
      <c r="C142" s="8" t="s">
        <v>22</v>
      </c>
      <c r="D142" s="8" t="s">
        <v>109</v>
      </c>
      <c r="E142" s="23" t="s">
        <v>24</v>
      </c>
      <c r="F142" s="16" t="s">
        <v>200</v>
      </c>
      <c r="G142" s="118">
        <v>231</v>
      </c>
      <c r="H142" s="118">
        <v>12.6</v>
      </c>
      <c r="I142" s="119" t="s">
        <v>26</v>
      </c>
      <c r="J142" s="118">
        <v>4.88</v>
      </c>
      <c r="K142" s="119" t="s">
        <v>26</v>
      </c>
      <c r="L142" s="118">
        <v>0.5</v>
      </c>
      <c r="M142" s="118">
        <v>8.8000000000000007</v>
      </c>
      <c r="N142" s="119" t="s">
        <v>26</v>
      </c>
      <c r="O142" s="118">
        <v>3.1</v>
      </c>
      <c r="P142" s="119" t="s">
        <v>26</v>
      </c>
      <c r="Q142" s="118">
        <v>6.6</v>
      </c>
      <c r="R142" s="119" t="s">
        <v>26</v>
      </c>
      <c r="S142" s="120" t="s">
        <v>26</v>
      </c>
      <c r="T142" s="121" t="s">
        <v>26</v>
      </c>
      <c r="U142" s="122">
        <v>555</v>
      </c>
      <c r="V142" s="126" t="s">
        <v>26</v>
      </c>
      <c r="AC142" s="33"/>
      <c r="AD142" s="33"/>
      <c r="AE142" s="33"/>
    </row>
    <row r="143" spans="1:31">
      <c r="A143" s="15" t="s">
        <v>175</v>
      </c>
      <c r="B143" s="8" t="s">
        <v>199</v>
      </c>
      <c r="C143" s="8" t="s">
        <v>22</v>
      </c>
      <c r="D143" s="8" t="s">
        <v>109</v>
      </c>
      <c r="E143" s="23" t="s">
        <v>27</v>
      </c>
      <c r="F143" s="16" t="s">
        <v>201</v>
      </c>
      <c r="G143" s="118">
        <v>108</v>
      </c>
      <c r="H143" s="118">
        <v>18.399999999999999</v>
      </c>
      <c r="I143" s="118">
        <v>6.5</v>
      </c>
      <c r="J143" s="118">
        <v>16.22</v>
      </c>
      <c r="K143" s="119" t="s">
        <v>26</v>
      </c>
      <c r="L143" s="119" t="s">
        <v>26</v>
      </c>
      <c r="M143" s="118">
        <v>7.2</v>
      </c>
      <c r="N143" s="119" t="s">
        <v>26</v>
      </c>
      <c r="O143" s="118">
        <v>3.8</v>
      </c>
      <c r="P143" s="119" t="s">
        <v>26</v>
      </c>
      <c r="Q143" s="119" t="s">
        <v>26</v>
      </c>
      <c r="R143" s="119" t="s">
        <v>26</v>
      </c>
      <c r="S143" s="120" t="s">
        <v>26</v>
      </c>
      <c r="T143" s="121" t="s">
        <v>26</v>
      </c>
      <c r="U143" s="122">
        <v>80</v>
      </c>
      <c r="V143" s="126" t="s">
        <v>26</v>
      </c>
      <c r="AC143" s="33"/>
      <c r="AD143" s="33"/>
      <c r="AE143" s="33"/>
    </row>
    <row r="144" spans="1:31">
      <c r="A144" s="15" t="s">
        <v>175</v>
      </c>
      <c r="B144" s="8" t="s">
        <v>199</v>
      </c>
      <c r="C144" s="8" t="s">
        <v>22</v>
      </c>
      <c r="D144" s="8" t="s">
        <v>109</v>
      </c>
      <c r="E144" s="23" t="s">
        <v>29</v>
      </c>
      <c r="F144" s="16" t="s">
        <v>48</v>
      </c>
      <c r="G144" s="118">
        <v>46</v>
      </c>
      <c r="H144" s="118">
        <v>21.5</v>
      </c>
      <c r="I144" s="118">
        <v>11.6</v>
      </c>
      <c r="J144" s="119" t="s">
        <v>26</v>
      </c>
      <c r="K144" s="119" t="s">
        <v>26</v>
      </c>
      <c r="L144" s="119" t="s">
        <v>26</v>
      </c>
      <c r="M144" s="119" t="s">
        <v>26</v>
      </c>
      <c r="N144" s="119" t="s">
        <v>26</v>
      </c>
      <c r="O144" s="118">
        <v>6.8</v>
      </c>
      <c r="P144" s="119" t="s">
        <v>26</v>
      </c>
      <c r="Q144" s="119" t="s">
        <v>26</v>
      </c>
      <c r="R144" s="119" t="s">
        <v>26</v>
      </c>
      <c r="S144" s="120" t="s">
        <v>26</v>
      </c>
      <c r="T144" s="121" t="s">
        <v>26</v>
      </c>
      <c r="U144" s="133">
        <v>2465</v>
      </c>
      <c r="V144" s="126" t="s">
        <v>26</v>
      </c>
      <c r="AC144" s="33"/>
      <c r="AD144" s="33"/>
      <c r="AE144" s="33"/>
    </row>
    <row r="145" spans="1:31">
      <c r="A145" s="15" t="s">
        <v>175</v>
      </c>
      <c r="B145" s="8" t="s">
        <v>199</v>
      </c>
      <c r="C145" s="8" t="s">
        <v>22</v>
      </c>
      <c r="D145" s="8" t="s">
        <v>109</v>
      </c>
      <c r="E145" s="23" t="s">
        <v>31</v>
      </c>
      <c r="F145" s="16" t="s">
        <v>202</v>
      </c>
      <c r="G145" s="118">
        <v>17</v>
      </c>
      <c r="H145" s="119" t="s">
        <v>26</v>
      </c>
      <c r="I145" s="119" t="s">
        <v>26</v>
      </c>
      <c r="J145" s="119" t="s">
        <v>26</v>
      </c>
      <c r="K145" s="119" t="s">
        <v>26</v>
      </c>
      <c r="L145" s="119" t="s">
        <v>26</v>
      </c>
      <c r="M145" s="119" t="s">
        <v>26</v>
      </c>
      <c r="N145" s="119" t="s">
        <v>26</v>
      </c>
      <c r="O145" s="118">
        <v>5.4</v>
      </c>
      <c r="P145" s="119" t="s">
        <v>26</v>
      </c>
      <c r="Q145" s="119" t="s">
        <v>26</v>
      </c>
      <c r="R145" s="119" t="s">
        <v>26</v>
      </c>
      <c r="S145" s="120" t="s">
        <v>26</v>
      </c>
      <c r="T145" s="121" t="s">
        <v>26</v>
      </c>
      <c r="U145" s="133">
        <v>1141</v>
      </c>
      <c r="V145" s="126" t="s">
        <v>26</v>
      </c>
      <c r="AC145" s="33"/>
      <c r="AD145" s="33"/>
      <c r="AE145" s="33"/>
    </row>
    <row r="146" spans="1:31">
      <c r="A146" s="15" t="s">
        <v>175</v>
      </c>
      <c r="B146" s="8" t="s">
        <v>47</v>
      </c>
      <c r="C146" s="8" t="s">
        <v>22</v>
      </c>
      <c r="D146" s="3" t="s">
        <v>33</v>
      </c>
      <c r="E146" s="23" t="s">
        <v>24</v>
      </c>
      <c r="F146" s="16" t="s">
        <v>203</v>
      </c>
      <c r="G146" s="118">
        <v>198</v>
      </c>
      <c r="H146" s="118">
        <v>28.5</v>
      </c>
      <c r="I146" s="119" t="s">
        <v>26</v>
      </c>
      <c r="J146" s="119" t="s">
        <v>26</v>
      </c>
      <c r="K146" s="119" t="s">
        <v>26</v>
      </c>
      <c r="L146" s="119" t="s">
        <v>26</v>
      </c>
      <c r="M146" s="118">
        <v>11.5</v>
      </c>
      <c r="N146" s="119" t="s">
        <v>26</v>
      </c>
      <c r="O146" s="118">
        <v>2.5</v>
      </c>
      <c r="P146" s="119" t="s">
        <v>26</v>
      </c>
      <c r="Q146" s="118">
        <v>8.5</v>
      </c>
      <c r="R146" s="118">
        <v>1.5</v>
      </c>
      <c r="S146" s="127">
        <v>6.1</v>
      </c>
      <c r="T146" s="121" t="s">
        <v>26</v>
      </c>
      <c r="U146" s="122">
        <v>380</v>
      </c>
      <c r="V146" s="126" t="s">
        <v>26</v>
      </c>
      <c r="AC146" s="33"/>
      <c r="AD146" s="33"/>
      <c r="AE146" s="33"/>
    </row>
    <row r="147" spans="1:31">
      <c r="A147" s="15" t="s">
        <v>175</v>
      </c>
      <c r="B147" s="8" t="s">
        <v>47</v>
      </c>
      <c r="C147" s="8" t="s">
        <v>22</v>
      </c>
      <c r="D147" s="3" t="s">
        <v>33</v>
      </c>
      <c r="E147" s="23" t="s">
        <v>27</v>
      </c>
      <c r="F147" s="16" t="s">
        <v>204</v>
      </c>
      <c r="G147" s="118">
        <v>99</v>
      </c>
      <c r="H147" s="118">
        <v>41.5</v>
      </c>
      <c r="I147" s="118">
        <v>2.5</v>
      </c>
      <c r="J147" s="119" t="s">
        <v>26</v>
      </c>
      <c r="K147" s="119" t="s">
        <v>26</v>
      </c>
      <c r="L147" s="119" t="s">
        <v>26</v>
      </c>
      <c r="M147" s="118">
        <v>10.8</v>
      </c>
      <c r="N147" s="119" t="s">
        <v>26</v>
      </c>
      <c r="O147" s="118">
        <v>4.8</v>
      </c>
      <c r="P147" s="119" t="s">
        <v>26</v>
      </c>
      <c r="Q147" s="119" t="s">
        <v>26</v>
      </c>
      <c r="R147" s="118">
        <v>2.5</v>
      </c>
      <c r="S147" s="127">
        <v>8.5</v>
      </c>
      <c r="T147" s="121" t="s">
        <v>26</v>
      </c>
      <c r="U147" s="123" t="s">
        <v>26</v>
      </c>
      <c r="V147" s="126" t="s">
        <v>26</v>
      </c>
      <c r="AC147" s="33"/>
      <c r="AD147" s="33"/>
      <c r="AE147" s="33"/>
    </row>
    <row r="148" spans="1:31">
      <c r="A148" s="15" t="s">
        <v>175</v>
      </c>
      <c r="B148" s="8" t="s">
        <v>47</v>
      </c>
      <c r="C148" s="8" t="s">
        <v>22</v>
      </c>
      <c r="D148" s="3" t="s">
        <v>33</v>
      </c>
      <c r="E148" s="23" t="s">
        <v>29</v>
      </c>
      <c r="F148" s="16" t="s">
        <v>205</v>
      </c>
      <c r="G148" s="118">
        <v>49</v>
      </c>
      <c r="H148" s="118">
        <v>5.8</v>
      </c>
      <c r="I148" s="118">
        <v>16.5</v>
      </c>
      <c r="J148" s="118">
        <v>1.55</v>
      </c>
      <c r="K148" s="119" t="s">
        <v>26</v>
      </c>
      <c r="L148" s="119" t="s">
        <v>26</v>
      </c>
      <c r="M148" s="118">
        <v>6.5</v>
      </c>
      <c r="N148" s="119" t="s">
        <v>26</v>
      </c>
      <c r="O148" s="118">
        <v>6</v>
      </c>
      <c r="P148" s="119" t="s">
        <v>26</v>
      </c>
      <c r="Q148" s="119" t="s">
        <v>26</v>
      </c>
      <c r="R148" s="119" t="s">
        <v>26</v>
      </c>
      <c r="S148" s="127">
        <v>17.2</v>
      </c>
      <c r="T148" s="121" t="s">
        <v>26</v>
      </c>
      <c r="U148" s="123" t="s">
        <v>26</v>
      </c>
      <c r="V148" s="126" t="s">
        <v>26</v>
      </c>
      <c r="AC148" s="33"/>
      <c r="AD148" s="33"/>
      <c r="AE148" s="33"/>
    </row>
    <row r="149" spans="1:31">
      <c r="A149" s="15" t="s">
        <v>175</v>
      </c>
      <c r="B149" s="8" t="s">
        <v>47</v>
      </c>
      <c r="C149" s="8" t="s">
        <v>22</v>
      </c>
      <c r="D149" s="3" t="s">
        <v>33</v>
      </c>
      <c r="E149" s="23" t="s">
        <v>31</v>
      </c>
      <c r="F149" s="16" t="s">
        <v>206</v>
      </c>
      <c r="G149" s="118">
        <v>18</v>
      </c>
      <c r="H149" s="119" t="s">
        <v>26</v>
      </c>
      <c r="I149" s="119" t="s">
        <v>26</v>
      </c>
      <c r="J149" s="118">
        <v>4.22</v>
      </c>
      <c r="K149" s="119" t="s">
        <v>26</v>
      </c>
      <c r="L149" s="119" t="s">
        <v>26</v>
      </c>
      <c r="M149" s="119" t="s">
        <v>26</v>
      </c>
      <c r="N149" s="119" t="s">
        <v>26</v>
      </c>
      <c r="O149" s="118">
        <v>4.2</v>
      </c>
      <c r="P149" s="119" t="s">
        <v>26</v>
      </c>
      <c r="Q149" s="119" t="s">
        <v>26</v>
      </c>
      <c r="R149" s="119" t="s">
        <v>26</v>
      </c>
      <c r="S149" s="127">
        <v>21.5</v>
      </c>
      <c r="T149" s="121" t="s">
        <v>26</v>
      </c>
      <c r="U149" s="122">
        <v>536</v>
      </c>
      <c r="V149" s="126" t="s">
        <v>26</v>
      </c>
      <c r="AC149" s="33"/>
      <c r="AD149" s="33"/>
      <c r="AE149" s="33"/>
    </row>
    <row r="150" spans="1:31">
      <c r="A150" s="15" t="s">
        <v>207</v>
      </c>
      <c r="B150" s="8" t="s">
        <v>59</v>
      </c>
      <c r="C150" s="8" t="s">
        <v>22</v>
      </c>
      <c r="D150" s="8" t="s">
        <v>54</v>
      </c>
      <c r="E150" s="25" t="s">
        <v>27</v>
      </c>
      <c r="F150" s="16" t="s">
        <v>208</v>
      </c>
      <c r="G150" s="118">
        <v>106</v>
      </c>
      <c r="H150" s="118">
        <v>39.5</v>
      </c>
      <c r="I150" s="118">
        <v>7.1</v>
      </c>
      <c r="J150" s="118">
        <v>0.8</v>
      </c>
      <c r="K150" s="119" t="s">
        <v>26</v>
      </c>
      <c r="L150" s="119" t="s">
        <v>26</v>
      </c>
      <c r="M150" s="119" t="s">
        <v>26</v>
      </c>
      <c r="N150" s="119" t="s">
        <v>26</v>
      </c>
      <c r="O150" s="118">
        <v>7.5</v>
      </c>
      <c r="P150" s="119" t="s">
        <v>26</v>
      </c>
      <c r="Q150" s="118">
        <v>12.5</v>
      </c>
      <c r="R150" s="119" t="s">
        <v>26</v>
      </c>
      <c r="S150" s="120" t="s">
        <v>26</v>
      </c>
      <c r="T150" s="121" t="s">
        <v>26</v>
      </c>
      <c r="U150" s="122">
        <v>2185</v>
      </c>
      <c r="V150" s="126" t="s">
        <v>26</v>
      </c>
      <c r="AC150" s="33"/>
      <c r="AD150" s="33"/>
      <c r="AE150" s="33"/>
    </row>
    <row r="151" spans="1:31">
      <c r="A151" s="15" t="s">
        <v>207</v>
      </c>
      <c r="B151" s="8" t="s">
        <v>59</v>
      </c>
      <c r="C151" s="8" t="s">
        <v>22</v>
      </c>
      <c r="D151" s="8" t="s">
        <v>54</v>
      </c>
      <c r="E151" s="25" t="s">
        <v>29</v>
      </c>
      <c r="F151" s="16" t="s">
        <v>209</v>
      </c>
      <c r="G151" s="118">
        <v>40</v>
      </c>
      <c r="H151" s="118">
        <v>22.5</v>
      </c>
      <c r="I151" s="118">
        <v>20.2</v>
      </c>
      <c r="J151" s="118">
        <v>3.5</v>
      </c>
      <c r="K151" s="119" t="s">
        <v>26</v>
      </c>
      <c r="L151" s="119" t="s">
        <v>26</v>
      </c>
      <c r="M151" s="119" t="s">
        <v>26</v>
      </c>
      <c r="N151" s="119" t="s">
        <v>26</v>
      </c>
      <c r="O151" s="118">
        <v>6.8</v>
      </c>
      <c r="P151" s="119" t="s">
        <v>26</v>
      </c>
      <c r="Q151" s="119" t="s">
        <v>26</v>
      </c>
      <c r="R151" s="119" t="s">
        <v>26</v>
      </c>
      <c r="S151" s="120" t="s">
        <v>26</v>
      </c>
      <c r="T151" s="121" t="s">
        <v>26</v>
      </c>
      <c r="U151" s="130">
        <v>5602</v>
      </c>
      <c r="V151" s="126" t="s">
        <v>26</v>
      </c>
      <c r="AC151" s="33"/>
      <c r="AD151" s="33"/>
      <c r="AE151" s="33"/>
    </row>
    <row r="152" spans="1:31">
      <c r="A152" s="15" t="s">
        <v>207</v>
      </c>
      <c r="B152" s="8" t="s">
        <v>59</v>
      </c>
      <c r="C152" s="8" t="s">
        <v>22</v>
      </c>
      <c r="D152" s="8" t="s">
        <v>54</v>
      </c>
      <c r="E152" s="25" t="s">
        <v>31</v>
      </c>
      <c r="F152" s="16" t="s">
        <v>210</v>
      </c>
      <c r="G152" s="118">
        <v>14</v>
      </c>
      <c r="H152" s="118">
        <v>22.5</v>
      </c>
      <c r="I152" s="119" t="s">
        <v>26</v>
      </c>
      <c r="J152" s="118">
        <v>12.5</v>
      </c>
      <c r="K152" s="119" t="s">
        <v>26</v>
      </c>
      <c r="L152" s="119" t="s">
        <v>26</v>
      </c>
      <c r="M152" s="119" t="s">
        <v>26</v>
      </c>
      <c r="N152" s="119" t="s">
        <v>26</v>
      </c>
      <c r="O152" s="125" t="s">
        <v>26</v>
      </c>
      <c r="P152" s="119" t="s">
        <v>26</v>
      </c>
      <c r="Q152" s="119" t="s">
        <v>26</v>
      </c>
      <c r="R152" s="119" t="s">
        <v>26</v>
      </c>
      <c r="S152" s="120" t="s">
        <v>26</v>
      </c>
      <c r="T152" s="121" t="s">
        <v>26</v>
      </c>
      <c r="U152" s="130">
        <v>206</v>
      </c>
      <c r="V152" s="126" t="s">
        <v>26</v>
      </c>
      <c r="AC152" s="33"/>
      <c r="AD152" s="33"/>
      <c r="AE152" s="33"/>
    </row>
    <row r="153" spans="1:31">
      <c r="A153" s="15" t="s">
        <v>207</v>
      </c>
      <c r="B153" s="8" t="s">
        <v>211</v>
      </c>
      <c r="C153" s="8" t="s">
        <v>22</v>
      </c>
      <c r="D153" s="3" t="s">
        <v>23</v>
      </c>
      <c r="E153" s="23" t="s">
        <v>24</v>
      </c>
      <c r="F153" s="16" t="s">
        <v>212</v>
      </c>
      <c r="G153" s="118">
        <v>245</v>
      </c>
      <c r="H153" s="118">
        <v>21.1</v>
      </c>
      <c r="I153" s="119" t="s">
        <v>26</v>
      </c>
      <c r="J153" s="119" t="s">
        <v>26</v>
      </c>
      <c r="K153" s="119" t="s">
        <v>26</v>
      </c>
      <c r="L153" s="119" t="s">
        <v>26</v>
      </c>
      <c r="M153" s="119" t="s">
        <v>26</v>
      </c>
      <c r="N153" s="119" t="s">
        <v>26</v>
      </c>
      <c r="O153" s="125" t="s">
        <v>26</v>
      </c>
      <c r="P153" s="119" t="s">
        <v>26</v>
      </c>
      <c r="Q153" s="118">
        <v>9.1999999999999993</v>
      </c>
      <c r="R153" s="119" t="s">
        <v>26</v>
      </c>
      <c r="S153" s="120" t="s">
        <v>26</v>
      </c>
      <c r="T153" s="121" t="s">
        <v>26</v>
      </c>
      <c r="U153" s="89">
        <v>110</v>
      </c>
      <c r="V153" s="126" t="s">
        <v>26</v>
      </c>
      <c r="AC153" s="33"/>
      <c r="AD153" s="33"/>
      <c r="AE153" s="33"/>
    </row>
    <row r="154" spans="1:31">
      <c r="A154" s="15" t="s">
        <v>207</v>
      </c>
      <c r="B154" s="8" t="s">
        <v>211</v>
      </c>
      <c r="C154" s="8" t="s">
        <v>22</v>
      </c>
      <c r="D154" s="3" t="s">
        <v>23</v>
      </c>
      <c r="E154" s="23" t="s">
        <v>27</v>
      </c>
      <c r="F154" s="16" t="s">
        <v>213</v>
      </c>
      <c r="G154" s="118">
        <v>123</v>
      </c>
      <c r="H154" s="118">
        <v>20.3</v>
      </c>
      <c r="I154" s="118">
        <v>7.7</v>
      </c>
      <c r="J154" s="118">
        <v>0.7</v>
      </c>
      <c r="K154" s="119" t="s">
        <v>26</v>
      </c>
      <c r="L154" s="119" t="s">
        <v>26</v>
      </c>
      <c r="M154" s="119" t="s">
        <v>26</v>
      </c>
      <c r="N154" s="119" t="s">
        <v>26</v>
      </c>
      <c r="O154" s="118">
        <v>4.2</v>
      </c>
      <c r="P154" s="119" t="s">
        <v>26</v>
      </c>
      <c r="Q154" s="118">
        <v>3.8</v>
      </c>
      <c r="R154" s="119" t="s">
        <v>26</v>
      </c>
      <c r="S154" s="120" t="s">
        <v>26</v>
      </c>
      <c r="T154" s="121" t="s">
        <v>26</v>
      </c>
      <c r="U154" s="123" t="s">
        <v>26</v>
      </c>
      <c r="V154" s="126" t="s">
        <v>26</v>
      </c>
      <c r="AC154" s="33"/>
      <c r="AD154" s="33"/>
      <c r="AE154" s="33"/>
    </row>
    <row r="155" spans="1:31">
      <c r="A155" s="15" t="s">
        <v>207</v>
      </c>
      <c r="B155" s="8" t="s">
        <v>211</v>
      </c>
      <c r="C155" s="8" t="s">
        <v>22</v>
      </c>
      <c r="D155" s="3" t="s">
        <v>23</v>
      </c>
      <c r="E155" s="23" t="s">
        <v>29</v>
      </c>
      <c r="F155" s="16" t="s">
        <v>214</v>
      </c>
      <c r="G155" s="118">
        <v>52</v>
      </c>
      <c r="H155" s="118">
        <v>11.7</v>
      </c>
      <c r="I155" s="118">
        <v>28.2</v>
      </c>
      <c r="J155" s="119" t="s">
        <v>26</v>
      </c>
      <c r="K155" s="119" t="s">
        <v>26</v>
      </c>
      <c r="L155" s="119" t="s">
        <v>26</v>
      </c>
      <c r="M155" s="119" t="s">
        <v>26</v>
      </c>
      <c r="N155" s="119" t="s">
        <v>26</v>
      </c>
      <c r="O155" s="118">
        <v>6.4</v>
      </c>
      <c r="P155" s="119" t="s">
        <v>26</v>
      </c>
      <c r="Q155" s="119" t="s">
        <v>26</v>
      </c>
      <c r="R155" s="119" t="s">
        <v>26</v>
      </c>
      <c r="S155" s="120" t="s">
        <v>26</v>
      </c>
      <c r="T155" s="121" t="s">
        <v>26</v>
      </c>
      <c r="U155" s="89">
        <v>2402</v>
      </c>
      <c r="V155" s="126" t="s">
        <v>26</v>
      </c>
      <c r="AC155" s="33"/>
      <c r="AD155" s="33"/>
      <c r="AE155" s="33"/>
    </row>
    <row r="156" spans="1:31">
      <c r="A156" s="15" t="s">
        <v>207</v>
      </c>
      <c r="B156" s="8" t="s">
        <v>211</v>
      </c>
      <c r="C156" s="8" t="s">
        <v>22</v>
      </c>
      <c r="D156" s="3" t="s">
        <v>23</v>
      </c>
      <c r="E156" s="23" t="s">
        <v>31</v>
      </c>
      <c r="F156" s="16" t="s">
        <v>215</v>
      </c>
      <c r="G156" s="118">
        <v>19</v>
      </c>
      <c r="H156" s="119" t="s">
        <v>26</v>
      </c>
      <c r="I156" s="119" t="s">
        <v>26</v>
      </c>
      <c r="J156" s="118">
        <v>5.5</v>
      </c>
      <c r="K156" s="119" t="s">
        <v>26</v>
      </c>
      <c r="L156" s="119" t="s">
        <v>26</v>
      </c>
      <c r="M156" s="119" t="s">
        <v>26</v>
      </c>
      <c r="N156" s="119" t="s">
        <v>26</v>
      </c>
      <c r="O156" s="125" t="s">
        <v>26</v>
      </c>
      <c r="P156" s="119" t="s">
        <v>26</v>
      </c>
      <c r="Q156" s="119" t="s">
        <v>26</v>
      </c>
      <c r="R156" s="119" t="s">
        <v>26</v>
      </c>
      <c r="S156" s="120" t="s">
        <v>26</v>
      </c>
      <c r="T156" s="121" t="s">
        <v>26</v>
      </c>
      <c r="U156" s="89">
        <v>1488</v>
      </c>
      <c r="V156" s="126" t="s">
        <v>26</v>
      </c>
      <c r="AC156" s="33"/>
      <c r="AD156" s="33"/>
      <c r="AE156" s="33"/>
    </row>
    <row r="157" spans="1:31">
      <c r="A157" s="15" t="s">
        <v>207</v>
      </c>
      <c r="B157" s="8" t="s">
        <v>211</v>
      </c>
      <c r="C157" s="8" t="s">
        <v>22</v>
      </c>
      <c r="D157" s="3" t="s">
        <v>23</v>
      </c>
      <c r="E157" s="25" t="s">
        <v>131</v>
      </c>
      <c r="F157" s="16" t="s">
        <v>216</v>
      </c>
      <c r="G157" s="118">
        <v>7</v>
      </c>
      <c r="H157" s="118">
        <v>52</v>
      </c>
      <c r="I157" s="119" t="s">
        <v>26</v>
      </c>
      <c r="J157" s="118">
        <v>28.8</v>
      </c>
      <c r="K157" s="119" t="s">
        <v>26</v>
      </c>
      <c r="L157" s="119" t="s">
        <v>26</v>
      </c>
      <c r="M157" s="119" t="s">
        <v>26</v>
      </c>
      <c r="N157" s="119" t="s">
        <v>26</v>
      </c>
      <c r="O157" s="125" t="s">
        <v>26</v>
      </c>
      <c r="P157" s="119" t="s">
        <v>26</v>
      </c>
      <c r="Q157" s="119" t="s">
        <v>26</v>
      </c>
      <c r="R157" s="119" t="s">
        <v>26</v>
      </c>
      <c r="S157" s="120" t="s">
        <v>26</v>
      </c>
      <c r="T157" s="121" t="s">
        <v>26</v>
      </c>
      <c r="U157" s="133">
        <v>1947</v>
      </c>
      <c r="V157" s="126" t="s">
        <v>26</v>
      </c>
      <c r="AC157" s="33"/>
      <c r="AD157" s="33"/>
      <c r="AE157" s="33"/>
    </row>
    <row r="158" spans="1:31">
      <c r="A158" s="15" t="s">
        <v>207</v>
      </c>
      <c r="B158" s="8" t="s">
        <v>155</v>
      </c>
      <c r="C158" s="8" t="s">
        <v>22</v>
      </c>
      <c r="D158" s="3" t="s">
        <v>33</v>
      </c>
      <c r="E158" s="25" t="s">
        <v>71</v>
      </c>
      <c r="F158" s="16" t="s">
        <v>217</v>
      </c>
      <c r="G158" s="118">
        <v>124</v>
      </c>
      <c r="H158" s="118">
        <v>24.5</v>
      </c>
      <c r="I158" s="118">
        <v>19.5</v>
      </c>
      <c r="J158" s="119" t="s">
        <v>26</v>
      </c>
      <c r="K158" s="119" t="s">
        <v>26</v>
      </c>
      <c r="L158" s="119" t="s">
        <v>26</v>
      </c>
      <c r="M158" s="118">
        <v>0.9</v>
      </c>
      <c r="N158" s="119" t="s">
        <v>26</v>
      </c>
      <c r="O158" s="118">
        <v>0.8</v>
      </c>
      <c r="P158" s="119" t="s">
        <v>26</v>
      </c>
      <c r="Q158" s="118">
        <v>6.5</v>
      </c>
      <c r="R158" s="118">
        <v>2.2000000000000002</v>
      </c>
      <c r="S158" s="127">
        <v>0.9</v>
      </c>
      <c r="T158" s="121" t="s">
        <v>26</v>
      </c>
      <c r="U158" s="122">
        <v>190</v>
      </c>
      <c r="V158" s="126" t="s">
        <v>26</v>
      </c>
      <c r="AC158" s="33"/>
      <c r="AD158" s="33"/>
      <c r="AE158" s="33"/>
    </row>
    <row r="159" spans="1:31">
      <c r="A159" s="15" t="s">
        <v>207</v>
      </c>
      <c r="B159" s="8" t="s">
        <v>155</v>
      </c>
      <c r="C159" s="8" t="s">
        <v>22</v>
      </c>
      <c r="D159" s="3" t="s">
        <v>33</v>
      </c>
      <c r="E159" s="25" t="s">
        <v>29</v>
      </c>
      <c r="F159" s="16" t="s">
        <v>218</v>
      </c>
      <c r="G159" s="118">
        <v>45</v>
      </c>
      <c r="H159" s="118">
        <v>14.7</v>
      </c>
      <c r="I159" s="118">
        <v>7.5</v>
      </c>
      <c r="J159" s="118">
        <v>0.6</v>
      </c>
      <c r="K159" s="119" t="s">
        <v>26</v>
      </c>
      <c r="L159" s="119" t="s">
        <v>26</v>
      </c>
      <c r="M159" s="119" t="s">
        <v>26</v>
      </c>
      <c r="N159" s="119" t="s">
        <v>26</v>
      </c>
      <c r="O159" s="125" t="s">
        <v>26</v>
      </c>
      <c r="P159" s="119" t="s">
        <v>26</v>
      </c>
      <c r="Q159" s="118">
        <v>2.5</v>
      </c>
      <c r="R159" s="118">
        <v>1.4</v>
      </c>
      <c r="S159" s="127">
        <v>2.2000000000000002</v>
      </c>
      <c r="T159" s="121" t="s">
        <v>26</v>
      </c>
      <c r="U159" s="122">
        <v>80</v>
      </c>
      <c r="V159" s="126" t="s">
        <v>26</v>
      </c>
      <c r="AC159" s="33"/>
      <c r="AD159" s="33"/>
      <c r="AE159" s="33"/>
    </row>
    <row r="160" spans="1:31">
      <c r="A160" s="15" t="s">
        <v>207</v>
      </c>
      <c r="B160" s="8" t="s">
        <v>163</v>
      </c>
      <c r="C160" s="8" t="s">
        <v>22</v>
      </c>
      <c r="D160" s="3" t="s">
        <v>23</v>
      </c>
      <c r="E160" s="23" t="s">
        <v>24</v>
      </c>
      <c r="F160" s="16" t="s">
        <v>60</v>
      </c>
      <c r="G160" s="118">
        <v>260</v>
      </c>
      <c r="H160" s="118">
        <v>14.5</v>
      </c>
      <c r="I160" s="119" t="s">
        <v>26</v>
      </c>
      <c r="J160" s="119" t="s">
        <v>26</v>
      </c>
      <c r="K160" s="119" t="s">
        <v>26</v>
      </c>
      <c r="L160" s="118">
        <v>0.3</v>
      </c>
      <c r="M160" s="118">
        <v>0.5</v>
      </c>
      <c r="N160" s="119" t="s">
        <v>26</v>
      </c>
      <c r="O160" s="118">
        <v>0.5</v>
      </c>
      <c r="P160" s="119" t="s">
        <v>26</v>
      </c>
      <c r="Q160" s="118">
        <v>6</v>
      </c>
      <c r="R160" s="118">
        <v>1.4</v>
      </c>
      <c r="S160" s="127">
        <v>0.9</v>
      </c>
      <c r="T160" s="121" t="s">
        <v>26</v>
      </c>
      <c r="U160" s="89">
        <v>90</v>
      </c>
      <c r="V160" s="126" t="s">
        <v>26</v>
      </c>
      <c r="AC160" s="33"/>
      <c r="AD160" s="33"/>
      <c r="AE160" s="33"/>
    </row>
    <row r="161" spans="1:31">
      <c r="A161" s="15" t="s">
        <v>207</v>
      </c>
      <c r="B161" s="8" t="s">
        <v>163</v>
      </c>
      <c r="C161" s="8" t="s">
        <v>22</v>
      </c>
      <c r="D161" s="3" t="s">
        <v>23</v>
      </c>
      <c r="E161" s="23" t="s">
        <v>27</v>
      </c>
      <c r="F161" s="16" t="s">
        <v>219</v>
      </c>
      <c r="G161" s="118">
        <v>120</v>
      </c>
      <c r="H161" s="118">
        <v>30.5</v>
      </c>
      <c r="I161" s="118">
        <v>8.1</v>
      </c>
      <c r="J161" s="118">
        <v>0.4</v>
      </c>
      <c r="K161" s="119" t="s">
        <v>26</v>
      </c>
      <c r="L161" s="119" t="s">
        <v>26</v>
      </c>
      <c r="M161" s="118">
        <v>0.6</v>
      </c>
      <c r="N161" s="119" t="s">
        <v>26</v>
      </c>
      <c r="O161" s="118">
        <v>1.4</v>
      </c>
      <c r="P161" s="118">
        <v>0.8</v>
      </c>
      <c r="Q161" s="118">
        <v>7</v>
      </c>
      <c r="R161" s="118">
        <v>1.4</v>
      </c>
      <c r="S161" s="127">
        <v>5.5</v>
      </c>
      <c r="T161" s="121" t="s">
        <v>26</v>
      </c>
      <c r="U161" s="89">
        <v>38</v>
      </c>
      <c r="V161" s="126" t="s">
        <v>26</v>
      </c>
      <c r="AC161" s="33"/>
      <c r="AD161" s="33"/>
      <c r="AE161" s="33"/>
    </row>
    <row r="162" spans="1:31">
      <c r="A162" s="15" t="s">
        <v>207</v>
      </c>
      <c r="B162" s="8" t="s">
        <v>163</v>
      </c>
      <c r="C162" s="8" t="s">
        <v>22</v>
      </c>
      <c r="D162" s="3" t="s">
        <v>23</v>
      </c>
      <c r="E162" s="23" t="s">
        <v>29</v>
      </c>
      <c r="F162" s="16" t="s">
        <v>220</v>
      </c>
      <c r="G162" s="118">
        <v>48</v>
      </c>
      <c r="H162" s="118">
        <v>2.5</v>
      </c>
      <c r="I162" s="118">
        <v>10.5</v>
      </c>
      <c r="J162" s="118">
        <v>2.66</v>
      </c>
      <c r="K162" s="119" t="s">
        <v>26</v>
      </c>
      <c r="L162" s="119" t="s">
        <v>26</v>
      </c>
      <c r="M162" s="118">
        <v>0.6</v>
      </c>
      <c r="N162" s="119" t="s">
        <v>26</v>
      </c>
      <c r="O162" s="118">
        <v>1.9</v>
      </c>
      <c r="P162" s="118">
        <v>0.6</v>
      </c>
      <c r="Q162" s="118">
        <v>4.5</v>
      </c>
      <c r="R162" s="119" t="s">
        <v>26</v>
      </c>
      <c r="S162" s="127">
        <v>8.5</v>
      </c>
      <c r="T162" s="121" t="s">
        <v>26</v>
      </c>
      <c r="U162" s="89">
        <v>20</v>
      </c>
      <c r="V162" s="126" t="s">
        <v>26</v>
      </c>
      <c r="AC162" s="33"/>
      <c r="AD162" s="33"/>
      <c r="AE162" s="33"/>
    </row>
    <row r="163" spans="1:31">
      <c r="A163" s="15" t="s">
        <v>207</v>
      </c>
      <c r="B163" s="8" t="s">
        <v>163</v>
      </c>
      <c r="C163" s="8" t="s">
        <v>22</v>
      </c>
      <c r="D163" s="3" t="s">
        <v>23</v>
      </c>
      <c r="E163" s="23" t="s">
        <v>31</v>
      </c>
      <c r="F163" s="16" t="s">
        <v>221</v>
      </c>
      <c r="G163" s="118">
        <v>17</v>
      </c>
      <c r="H163" s="119" t="s">
        <v>26</v>
      </c>
      <c r="I163" s="118">
        <v>8.5</v>
      </c>
      <c r="J163" s="118">
        <v>11.4</v>
      </c>
      <c r="K163" s="119" t="s">
        <v>26</v>
      </c>
      <c r="L163" s="119" t="s">
        <v>26</v>
      </c>
      <c r="M163" s="119" t="s">
        <v>26</v>
      </c>
      <c r="N163" s="119" t="s">
        <v>26</v>
      </c>
      <c r="O163" s="118">
        <v>2</v>
      </c>
      <c r="P163" s="119" t="s">
        <v>26</v>
      </c>
      <c r="Q163" s="119" t="s">
        <v>26</v>
      </c>
      <c r="R163" s="119" t="s">
        <v>26</v>
      </c>
      <c r="S163" s="127">
        <v>20.5</v>
      </c>
      <c r="T163" s="121" t="s">
        <v>26</v>
      </c>
      <c r="U163" s="123" t="s">
        <v>26</v>
      </c>
      <c r="V163" s="126" t="s">
        <v>26</v>
      </c>
      <c r="AC163" s="33"/>
      <c r="AD163" s="33"/>
      <c r="AE163" s="33"/>
    </row>
    <row r="164" spans="1:31">
      <c r="A164" s="15" t="s">
        <v>207</v>
      </c>
      <c r="B164" s="8" t="s">
        <v>39</v>
      </c>
      <c r="C164" s="8" t="s">
        <v>22</v>
      </c>
      <c r="D164" s="3" t="s">
        <v>33</v>
      </c>
      <c r="E164" s="23" t="s">
        <v>24</v>
      </c>
      <c r="F164" s="16" t="s">
        <v>222</v>
      </c>
      <c r="G164" s="118">
        <v>238</v>
      </c>
      <c r="H164" s="118">
        <v>18.5</v>
      </c>
      <c r="I164" s="119" t="s">
        <v>26</v>
      </c>
      <c r="J164" s="119" t="s">
        <v>26</v>
      </c>
      <c r="K164" s="119" t="s">
        <v>26</v>
      </c>
      <c r="L164" s="118">
        <v>0.3</v>
      </c>
      <c r="M164" s="118">
        <v>0.4</v>
      </c>
      <c r="N164" s="119" t="s">
        <v>26</v>
      </c>
      <c r="O164" s="125" t="s">
        <v>26</v>
      </c>
      <c r="P164" s="119" t="s">
        <v>26</v>
      </c>
      <c r="Q164" s="118">
        <v>4.0999999999999996</v>
      </c>
      <c r="R164" s="118">
        <v>2.1</v>
      </c>
      <c r="S164" s="120" t="s">
        <v>26</v>
      </c>
      <c r="T164" s="121" t="s">
        <v>26</v>
      </c>
      <c r="U164" s="122">
        <v>216</v>
      </c>
      <c r="V164" s="126" t="s">
        <v>26</v>
      </c>
      <c r="AC164" s="33"/>
      <c r="AD164" s="33"/>
      <c r="AE164" s="33"/>
    </row>
    <row r="165" spans="1:31">
      <c r="A165" s="15" t="s">
        <v>207</v>
      </c>
      <c r="B165" s="8" t="s">
        <v>39</v>
      </c>
      <c r="C165" s="8" t="s">
        <v>22</v>
      </c>
      <c r="D165" s="3" t="s">
        <v>33</v>
      </c>
      <c r="E165" s="23" t="s">
        <v>27</v>
      </c>
      <c r="F165" s="16" t="s">
        <v>223</v>
      </c>
      <c r="G165" s="118">
        <v>109</v>
      </c>
      <c r="H165" s="118">
        <v>31.5</v>
      </c>
      <c r="I165" s="118">
        <v>2.4</v>
      </c>
      <c r="J165" s="119" t="s">
        <v>26</v>
      </c>
      <c r="K165" s="119" t="s">
        <v>26</v>
      </c>
      <c r="L165" s="119" t="s">
        <v>26</v>
      </c>
      <c r="M165" s="118">
        <v>0.5</v>
      </c>
      <c r="N165" s="119" t="s">
        <v>26</v>
      </c>
      <c r="O165" s="125" t="s">
        <v>26</v>
      </c>
      <c r="P165" s="119" t="s">
        <v>26</v>
      </c>
      <c r="Q165" s="118">
        <v>2.5</v>
      </c>
      <c r="R165" s="119" t="s">
        <v>26</v>
      </c>
      <c r="S165" s="120" t="s">
        <v>26</v>
      </c>
      <c r="T165" s="121" t="s">
        <v>26</v>
      </c>
      <c r="U165" s="122">
        <v>76</v>
      </c>
      <c r="V165" s="126" t="s">
        <v>26</v>
      </c>
      <c r="AC165" s="33"/>
      <c r="AD165" s="33"/>
      <c r="AE165" s="33"/>
    </row>
    <row r="166" spans="1:31">
      <c r="A166" s="15" t="s">
        <v>207</v>
      </c>
      <c r="B166" s="8" t="s">
        <v>39</v>
      </c>
      <c r="C166" s="8" t="s">
        <v>22</v>
      </c>
      <c r="D166" s="3" t="s">
        <v>33</v>
      </c>
      <c r="E166" s="23" t="s">
        <v>29</v>
      </c>
      <c r="F166" s="16" t="s">
        <v>224</v>
      </c>
      <c r="G166" s="118">
        <v>49</v>
      </c>
      <c r="H166" s="118">
        <v>3.5</v>
      </c>
      <c r="I166" s="118">
        <v>7.5</v>
      </c>
      <c r="J166" s="118">
        <v>0.9</v>
      </c>
      <c r="K166" s="119" t="s">
        <v>26</v>
      </c>
      <c r="L166" s="119" t="s">
        <v>26</v>
      </c>
      <c r="M166" s="118">
        <v>0.5</v>
      </c>
      <c r="N166" s="119" t="s">
        <v>26</v>
      </c>
      <c r="O166" s="125" t="s">
        <v>26</v>
      </c>
      <c r="P166" s="119" t="s">
        <v>26</v>
      </c>
      <c r="Q166" s="119" t="s">
        <v>26</v>
      </c>
      <c r="R166" s="119" t="s">
        <v>26</v>
      </c>
      <c r="S166" s="127">
        <v>2.5</v>
      </c>
      <c r="T166" s="121" t="s">
        <v>26</v>
      </c>
      <c r="U166" s="123" t="s">
        <v>26</v>
      </c>
      <c r="V166" s="126" t="s">
        <v>26</v>
      </c>
      <c r="AC166" s="33"/>
      <c r="AD166" s="33"/>
      <c r="AE166" s="33"/>
    </row>
    <row r="167" spans="1:31">
      <c r="A167" s="15" t="s">
        <v>207</v>
      </c>
      <c r="B167" s="8" t="s">
        <v>39</v>
      </c>
      <c r="C167" s="8" t="s">
        <v>22</v>
      </c>
      <c r="D167" s="3" t="s">
        <v>33</v>
      </c>
      <c r="E167" s="23" t="s">
        <v>31</v>
      </c>
      <c r="F167" s="16" t="s">
        <v>225</v>
      </c>
      <c r="G167" s="118">
        <v>17</v>
      </c>
      <c r="H167" s="119" t="s">
        <v>26</v>
      </c>
      <c r="I167" s="118">
        <v>7.2</v>
      </c>
      <c r="J167" s="118">
        <v>2.1</v>
      </c>
      <c r="K167" s="119" t="s">
        <v>26</v>
      </c>
      <c r="L167" s="119" t="s">
        <v>26</v>
      </c>
      <c r="M167" s="119" t="s">
        <v>26</v>
      </c>
      <c r="N167" s="119" t="s">
        <v>26</v>
      </c>
      <c r="O167" s="125" t="s">
        <v>26</v>
      </c>
      <c r="P167" s="119" t="s">
        <v>26</v>
      </c>
      <c r="Q167" s="119" t="s">
        <v>26</v>
      </c>
      <c r="R167" s="119" t="s">
        <v>26</v>
      </c>
      <c r="S167" s="127">
        <v>4.0999999999999996</v>
      </c>
      <c r="T167" s="121" t="s">
        <v>26</v>
      </c>
      <c r="U167" s="123" t="s">
        <v>26</v>
      </c>
      <c r="V167" s="126" t="s">
        <v>26</v>
      </c>
      <c r="AC167" s="33"/>
      <c r="AD167" s="33"/>
      <c r="AE167" s="33"/>
    </row>
    <row r="168" spans="1:31">
      <c r="A168" s="15" t="s">
        <v>207</v>
      </c>
      <c r="B168" s="8" t="s">
        <v>226</v>
      </c>
      <c r="C168" s="8" t="s">
        <v>22</v>
      </c>
      <c r="D168" s="8" t="s">
        <v>109</v>
      </c>
      <c r="E168" s="23" t="s">
        <v>24</v>
      </c>
      <c r="F168" s="16" t="s">
        <v>227</v>
      </c>
      <c r="G168" s="118">
        <v>240</v>
      </c>
      <c r="H168" s="118">
        <v>20</v>
      </c>
      <c r="I168" s="119" t="s">
        <v>26</v>
      </c>
      <c r="J168" s="119" t="s">
        <v>26</v>
      </c>
      <c r="K168" s="119" t="s">
        <v>26</v>
      </c>
      <c r="L168" s="118">
        <v>0.3</v>
      </c>
      <c r="M168" s="118">
        <v>0.9</v>
      </c>
      <c r="N168" s="119" t="s">
        <v>26</v>
      </c>
      <c r="O168" s="118">
        <v>0.9</v>
      </c>
      <c r="P168" s="119" t="s">
        <v>26</v>
      </c>
      <c r="Q168" s="118">
        <v>5.8</v>
      </c>
      <c r="R168" s="118">
        <v>1.9</v>
      </c>
      <c r="S168" s="120" t="s">
        <v>26</v>
      </c>
      <c r="T168" s="121" t="s">
        <v>26</v>
      </c>
      <c r="U168" s="122">
        <v>1146</v>
      </c>
      <c r="V168" s="126" t="s">
        <v>26</v>
      </c>
      <c r="AC168" s="33"/>
      <c r="AD168" s="33"/>
      <c r="AE168" s="33"/>
    </row>
    <row r="169" spans="1:31">
      <c r="A169" s="15" t="s">
        <v>207</v>
      </c>
      <c r="B169" s="8" t="s">
        <v>226</v>
      </c>
      <c r="C169" s="8" t="s">
        <v>22</v>
      </c>
      <c r="D169" s="8" t="s">
        <v>109</v>
      </c>
      <c r="E169" s="23" t="s">
        <v>27</v>
      </c>
      <c r="F169" s="16" t="s">
        <v>228</v>
      </c>
      <c r="G169" s="118">
        <v>108</v>
      </c>
      <c r="H169" s="118">
        <v>28.8</v>
      </c>
      <c r="I169" s="118">
        <v>2.2000000000000002</v>
      </c>
      <c r="J169" s="118">
        <v>0.7</v>
      </c>
      <c r="K169" s="119" t="s">
        <v>26</v>
      </c>
      <c r="L169" s="118">
        <v>0.4</v>
      </c>
      <c r="M169" s="118">
        <v>0.7</v>
      </c>
      <c r="N169" s="119" t="s">
        <v>26</v>
      </c>
      <c r="O169" s="118">
        <v>1.2</v>
      </c>
      <c r="P169" s="119" t="s">
        <v>26</v>
      </c>
      <c r="Q169" s="118">
        <v>4.0999999999999996</v>
      </c>
      <c r="R169" s="118">
        <v>1.5</v>
      </c>
      <c r="S169" s="127">
        <v>1.4</v>
      </c>
      <c r="T169" s="121" t="s">
        <v>26</v>
      </c>
      <c r="U169" s="122">
        <v>287</v>
      </c>
      <c r="V169" s="126" t="s">
        <v>26</v>
      </c>
      <c r="AC169" s="33"/>
      <c r="AD169" s="33"/>
      <c r="AE169" s="33"/>
    </row>
    <row r="170" spans="1:31">
      <c r="A170" s="15" t="s">
        <v>207</v>
      </c>
      <c r="B170" s="8" t="s">
        <v>226</v>
      </c>
      <c r="C170" s="8" t="s">
        <v>22</v>
      </c>
      <c r="D170" s="8" t="s">
        <v>109</v>
      </c>
      <c r="E170" s="23" t="s">
        <v>29</v>
      </c>
      <c r="F170" s="16" t="s">
        <v>229</v>
      </c>
      <c r="G170" s="118">
        <v>35</v>
      </c>
      <c r="H170" s="118">
        <v>35.5</v>
      </c>
      <c r="I170" s="118">
        <v>3.5</v>
      </c>
      <c r="J170" s="118">
        <v>10.199999999999999</v>
      </c>
      <c r="K170" s="119" t="s">
        <v>26</v>
      </c>
      <c r="L170" s="118">
        <v>2.6</v>
      </c>
      <c r="M170" s="118">
        <v>2</v>
      </c>
      <c r="N170" s="119" t="s">
        <v>26</v>
      </c>
      <c r="O170" s="118">
        <v>1.1000000000000001</v>
      </c>
      <c r="P170" s="119" t="s">
        <v>26</v>
      </c>
      <c r="Q170" s="118">
        <v>3</v>
      </c>
      <c r="R170" s="118">
        <v>1.4</v>
      </c>
      <c r="S170" s="127">
        <v>3.8</v>
      </c>
      <c r="T170" s="121" t="s">
        <v>26</v>
      </c>
      <c r="U170" s="130">
        <v>2427</v>
      </c>
      <c r="V170" s="126" t="s">
        <v>26</v>
      </c>
      <c r="AC170" s="33"/>
      <c r="AD170" s="33"/>
      <c r="AE170" s="33"/>
    </row>
    <row r="171" spans="1:31">
      <c r="A171" s="15" t="s">
        <v>207</v>
      </c>
      <c r="B171" s="8" t="s">
        <v>226</v>
      </c>
      <c r="C171" s="8" t="s">
        <v>22</v>
      </c>
      <c r="D171" s="8" t="s">
        <v>109</v>
      </c>
      <c r="E171" s="23" t="s">
        <v>31</v>
      </c>
      <c r="F171" s="16" t="s">
        <v>230</v>
      </c>
      <c r="G171" s="118">
        <v>16</v>
      </c>
      <c r="H171" s="119" t="s">
        <v>26</v>
      </c>
      <c r="I171" s="118">
        <v>3.5</v>
      </c>
      <c r="J171" s="118">
        <v>24.3</v>
      </c>
      <c r="K171" s="119" t="s">
        <v>26</v>
      </c>
      <c r="L171" s="119" t="s">
        <v>26</v>
      </c>
      <c r="M171" s="119" t="s">
        <v>26</v>
      </c>
      <c r="N171" s="119" t="s">
        <v>26</v>
      </c>
      <c r="O171" s="125" t="s">
        <v>26</v>
      </c>
      <c r="P171" s="119" t="s">
        <v>26</v>
      </c>
      <c r="Q171" s="119" t="s">
        <v>26</v>
      </c>
      <c r="R171" s="119" t="s">
        <v>26</v>
      </c>
      <c r="S171" s="127">
        <v>4.5</v>
      </c>
      <c r="T171" s="121" t="s">
        <v>26</v>
      </c>
      <c r="U171" s="130">
        <v>470</v>
      </c>
      <c r="V171" s="126" t="s">
        <v>26</v>
      </c>
      <c r="AC171" s="33"/>
      <c r="AD171" s="33"/>
      <c r="AE171" s="33"/>
    </row>
    <row r="172" spans="1:31">
      <c r="A172" s="15" t="s">
        <v>207</v>
      </c>
      <c r="B172" s="8" t="s">
        <v>83</v>
      </c>
      <c r="C172" s="8" t="s">
        <v>22</v>
      </c>
      <c r="D172" s="3" t="s">
        <v>142</v>
      </c>
      <c r="E172" s="23" t="s">
        <v>24</v>
      </c>
      <c r="F172" s="16" t="s">
        <v>231</v>
      </c>
      <c r="G172" s="118">
        <v>262</v>
      </c>
      <c r="H172" s="118">
        <v>14.5</v>
      </c>
      <c r="I172" s="119" t="s">
        <v>26</v>
      </c>
      <c r="J172" s="119" t="s">
        <v>26</v>
      </c>
      <c r="K172" s="119" t="s">
        <v>26</v>
      </c>
      <c r="L172" s="119" t="s">
        <v>26</v>
      </c>
      <c r="M172" s="118">
        <v>0.7</v>
      </c>
      <c r="N172" s="119" t="s">
        <v>26</v>
      </c>
      <c r="O172" s="125" t="s">
        <v>26</v>
      </c>
      <c r="P172" s="119" t="s">
        <v>26</v>
      </c>
      <c r="Q172" s="118">
        <v>6</v>
      </c>
      <c r="R172" s="118">
        <v>1.4</v>
      </c>
      <c r="S172" s="120" t="s">
        <v>26</v>
      </c>
      <c r="T172" s="121" t="s">
        <v>26</v>
      </c>
      <c r="U172" s="122">
        <v>1206</v>
      </c>
      <c r="V172" s="89">
        <v>531</v>
      </c>
      <c r="AC172" s="33"/>
      <c r="AD172" s="33"/>
      <c r="AE172" s="33"/>
    </row>
    <row r="173" spans="1:31">
      <c r="A173" s="15" t="s">
        <v>207</v>
      </c>
      <c r="B173" s="8" t="s">
        <v>83</v>
      </c>
      <c r="C173" s="8" t="s">
        <v>22</v>
      </c>
      <c r="D173" s="3" t="s">
        <v>142</v>
      </c>
      <c r="E173" s="23" t="s">
        <v>27</v>
      </c>
      <c r="F173" s="16" t="s">
        <v>232</v>
      </c>
      <c r="G173" s="118">
        <v>107</v>
      </c>
      <c r="H173" s="118">
        <v>34.1</v>
      </c>
      <c r="I173" s="118">
        <v>1.8</v>
      </c>
      <c r="J173" s="119" t="s">
        <v>26</v>
      </c>
      <c r="K173" s="119" t="s">
        <v>26</v>
      </c>
      <c r="L173" s="119" t="s">
        <v>26</v>
      </c>
      <c r="M173" s="118">
        <v>0.8</v>
      </c>
      <c r="N173" s="119" t="s">
        <v>26</v>
      </c>
      <c r="O173" s="118">
        <v>0.6</v>
      </c>
      <c r="P173" s="119" t="s">
        <v>26</v>
      </c>
      <c r="Q173" s="118">
        <v>3.8</v>
      </c>
      <c r="R173" s="119" t="s">
        <v>26</v>
      </c>
      <c r="S173" s="127">
        <v>2.2000000000000002</v>
      </c>
      <c r="T173" s="121" t="s">
        <v>26</v>
      </c>
      <c r="U173" s="122">
        <v>323</v>
      </c>
      <c r="V173" s="89">
        <v>284</v>
      </c>
      <c r="AC173" s="33"/>
      <c r="AD173" s="33"/>
      <c r="AE173" s="33"/>
    </row>
    <row r="174" spans="1:31">
      <c r="A174" s="15" t="s">
        <v>207</v>
      </c>
      <c r="B174" s="8" t="s">
        <v>83</v>
      </c>
      <c r="C174" s="8" t="s">
        <v>22</v>
      </c>
      <c r="D174" s="3" t="s">
        <v>142</v>
      </c>
      <c r="E174" s="23" t="s">
        <v>29</v>
      </c>
      <c r="F174" s="16" t="s">
        <v>233</v>
      </c>
      <c r="G174" s="118">
        <v>36</v>
      </c>
      <c r="H174" s="118">
        <v>33.5</v>
      </c>
      <c r="I174" s="118">
        <v>4.5</v>
      </c>
      <c r="J174" s="118">
        <v>3.82</v>
      </c>
      <c r="K174" s="119" t="s">
        <v>26</v>
      </c>
      <c r="L174" s="119" t="s">
        <v>26</v>
      </c>
      <c r="M174" s="118">
        <v>7.8</v>
      </c>
      <c r="N174" s="119" t="s">
        <v>26</v>
      </c>
      <c r="O174" s="118">
        <v>1.2</v>
      </c>
      <c r="P174" s="119" t="s">
        <v>26</v>
      </c>
      <c r="Q174" s="118">
        <v>4.5</v>
      </c>
      <c r="R174" s="119" t="s">
        <v>26</v>
      </c>
      <c r="S174" s="127">
        <v>5.6</v>
      </c>
      <c r="T174" s="121" t="s">
        <v>26</v>
      </c>
      <c r="U174" s="89">
        <v>2487</v>
      </c>
      <c r="V174" s="89">
        <v>325</v>
      </c>
      <c r="AC174" s="33"/>
      <c r="AD174" s="33"/>
      <c r="AE174" s="33"/>
    </row>
    <row r="175" spans="1:31">
      <c r="A175" s="15" t="s">
        <v>207</v>
      </c>
      <c r="B175" s="8" t="s">
        <v>83</v>
      </c>
      <c r="C175" s="8" t="s">
        <v>22</v>
      </c>
      <c r="D175" s="3" t="s">
        <v>142</v>
      </c>
      <c r="E175" s="23" t="s">
        <v>31</v>
      </c>
      <c r="F175" s="16" t="s">
        <v>174</v>
      </c>
      <c r="G175" s="118">
        <v>16</v>
      </c>
      <c r="H175" s="119" t="s">
        <v>26</v>
      </c>
      <c r="I175" s="118">
        <v>4.0999999999999996</v>
      </c>
      <c r="J175" s="118">
        <v>13.7</v>
      </c>
      <c r="K175" s="119" t="s">
        <v>26</v>
      </c>
      <c r="L175" s="119" t="s">
        <v>26</v>
      </c>
      <c r="M175" s="119" t="s">
        <v>26</v>
      </c>
      <c r="N175" s="119" t="s">
        <v>26</v>
      </c>
      <c r="O175" s="125" t="s">
        <v>26</v>
      </c>
      <c r="P175" s="119" t="s">
        <v>26</v>
      </c>
      <c r="Q175" s="119" t="s">
        <v>26</v>
      </c>
      <c r="R175" s="119" t="s">
        <v>26</v>
      </c>
      <c r="S175" s="127">
        <v>6.4</v>
      </c>
      <c r="T175" s="121" t="s">
        <v>26</v>
      </c>
      <c r="U175" s="89">
        <v>719</v>
      </c>
      <c r="V175" s="89">
        <v>160</v>
      </c>
      <c r="AC175" s="33"/>
      <c r="AD175" s="33"/>
      <c r="AE175" s="33"/>
    </row>
    <row r="176" spans="1:31">
      <c r="A176" s="15" t="s">
        <v>207</v>
      </c>
      <c r="B176" s="8" t="s">
        <v>89</v>
      </c>
      <c r="C176" s="8" t="s">
        <v>22</v>
      </c>
      <c r="D176" s="1" t="s">
        <v>1341</v>
      </c>
      <c r="E176" s="25" t="s">
        <v>27</v>
      </c>
      <c r="F176" s="16" t="s">
        <v>234</v>
      </c>
      <c r="G176" s="118">
        <v>90</v>
      </c>
      <c r="H176" s="118">
        <v>14.2</v>
      </c>
      <c r="I176" s="118">
        <v>20.2</v>
      </c>
      <c r="J176" s="119" t="s">
        <v>26</v>
      </c>
      <c r="K176" s="119" t="s">
        <v>26</v>
      </c>
      <c r="L176" s="119" t="s">
        <v>26</v>
      </c>
      <c r="M176" s="119" t="s">
        <v>26</v>
      </c>
      <c r="N176" s="119" t="s">
        <v>26</v>
      </c>
      <c r="O176" s="118">
        <v>4.5999999999999996</v>
      </c>
      <c r="P176" s="119" t="s">
        <v>26</v>
      </c>
      <c r="Q176" s="118">
        <v>5.6</v>
      </c>
      <c r="R176" s="119" t="s">
        <v>26</v>
      </c>
      <c r="S176" s="120" t="s">
        <v>26</v>
      </c>
      <c r="T176" s="121" t="s">
        <v>26</v>
      </c>
      <c r="U176" s="123" t="s">
        <v>26</v>
      </c>
      <c r="V176" s="126" t="s">
        <v>26</v>
      </c>
      <c r="AC176" s="33"/>
      <c r="AD176" s="33"/>
      <c r="AE176" s="33"/>
    </row>
    <row r="177" spans="1:31">
      <c r="A177" s="15" t="s">
        <v>207</v>
      </c>
      <c r="B177" s="8" t="s">
        <v>89</v>
      </c>
      <c r="C177" s="8" t="s">
        <v>22</v>
      </c>
      <c r="D177" s="1" t="s">
        <v>1341</v>
      </c>
      <c r="E177" s="25" t="s">
        <v>29</v>
      </c>
      <c r="F177" s="16" t="s">
        <v>235</v>
      </c>
      <c r="G177" s="118">
        <v>40</v>
      </c>
      <c r="H177" s="118">
        <v>14.5</v>
      </c>
      <c r="I177" s="118">
        <v>12.6</v>
      </c>
      <c r="J177" s="119" t="s">
        <v>26</v>
      </c>
      <c r="K177" s="119" t="s">
        <v>26</v>
      </c>
      <c r="L177" s="119" t="s">
        <v>26</v>
      </c>
      <c r="M177" s="119" t="s">
        <v>26</v>
      </c>
      <c r="N177" s="119" t="s">
        <v>26</v>
      </c>
      <c r="O177" s="118">
        <v>5</v>
      </c>
      <c r="P177" s="119" t="s">
        <v>26</v>
      </c>
      <c r="Q177" s="119" t="s">
        <v>26</v>
      </c>
      <c r="R177" s="119" t="s">
        <v>26</v>
      </c>
      <c r="S177" s="120" t="s">
        <v>26</v>
      </c>
      <c r="T177" s="121" t="s">
        <v>26</v>
      </c>
      <c r="U177" s="123" t="s">
        <v>26</v>
      </c>
      <c r="V177" s="126" t="s">
        <v>26</v>
      </c>
      <c r="AC177" s="33"/>
      <c r="AD177" s="33"/>
      <c r="AE177" s="33"/>
    </row>
    <row r="178" spans="1:31">
      <c r="A178" s="15" t="s">
        <v>207</v>
      </c>
      <c r="B178" s="8" t="s">
        <v>211</v>
      </c>
      <c r="C178" s="8" t="s">
        <v>22</v>
      </c>
      <c r="D178" s="3" t="s">
        <v>23</v>
      </c>
      <c r="E178" s="23" t="s">
        <v>24</v>
      </c>
      <c r="F178" s="16" t="s">
        <v>212</v>
      </c>
      <c r="G178" s="118">
        <v>245</v>
      </c>
      <c r="H178" s="118">
        <v>21.1</v>
      </c>
      <c r="I178" s="119" t="s">
        <v>26</v>
      </c>
      <c r="J178" s="119" t="s">
        <v>26</v>
      </c>
      <c r="K178" s="119" t="s">
        <v>26</v>
      </c>
      <c r="L178" s="119" t="s">
        <v>26</v>
      </c>
      <c r="M178" s="119" t="s">
        <v>26</v>
      </c>
      <c r="N178" s="119" t="s">
        <v>26</v>
      </c>
      <c r="O178" s="125" t="s">
        <v>26</v>
      </c>
      <c r="P178" s="119" t="s">
        <v>26</v>
      </c>
      <c r="Q178" s="118">
        <v>9.1999999999999993</v>
      </c>
      <c r="R178" s="119" t="s">
        <v>26</v>
      </c>
      <c r="S178" s="120" t="s">
        <v>26</v>
      </c>
      <c r="T178" s="121" t="s">
        <v>26</v>
      </c>
      <c r="U178" s="89">
        <v>738</v>
      </c>
      <c r="V178" s="126" t="s">
        <v>26</v>
      </c>
      <c r="AC178" s="33"/>
      <c r="AD178" s="33"/>
      <c r="AE178" s="33"/>
    </row>
    <row r="179" spans="1:31">
      <c r="A179" s="15" t="s">
        <v>207</v>
      </c>
      <c r="B179" s="8" t="s">
        <v>211</v>
      </c>
      <c r="C179" s="8" t="s">
        <v>22</v>
      </c>
      <c r="D179" s="3" t="s">
        <v>23</v>
      </c>
      <c r="E179" s="23" t="s">
        <v>27</v>
      </c>
      <c r="F179" s="16" t="s">
        <v>213</v>
      </c>
      <c r="G179" s="118">
        <v>123</v>
      </c>
      <c r="H179" s="118">
        <v>20.3</v>
      </c>
      <c r="I179" s="118">
        <v>7.7</v>
      </c>
      <c r="J179" s="118">
        <v>0.7</v>
      </c>
      <c r="K179" s="119" t="s">
        <v>26</v>
      </c>
      <c r="L179" s="119" t="s">
        <v>26</v>
      </c>
      <c r="M179" s="119" t="s">
        <v>26</v>
      </c>
      <c r="N179" s="119" t="s">
        <v>26</v>
      </c>
      <c r="O179" s="118">
        <v>4.2</v>
      </c>
      <c r="P179" s="119" t="s">
        <v>26</v>
      </c>
      <c r="Q179" s="118">
        <v>3.8</v>
      </c>
      <c r="R179" s="119" t="s">
        <v>26</v>
      </c>
      <c r="S179" s="120" t="s">
        <v>26</v>
      </c>
      <c r="T179" s="121" t="s">
        <v>26</v>
      </c>
      <c r="U179" s="89">
        <v>285</v>
      </c>
      <c r="V179" s="126" t="s">
        <v>26</v>
      </c>
      <c r="AC179" s="33"/>
      <c r="AD179" s="33"/>
      <c r="AE179" s="33"/>
    </row>
    <row r="180" spans="1:31">
      <c r="A180" s="15" t="s">
        <v>207</v>
      </c>
      <c r="B180" s="8" t="s">
        <v>211</v>
      </c>
      <c r="C180" s="8" t="s">
        <v>22</v>
      </c>
      <c r="D180" s="3" t="s">
        <v>23</v>
      </c>
      <c r="E180" s="23" t="s">
        <v>29</v>
      </c>
      <c r="F180" s="16" t="s">
        <v>214</v>
      </c>
      <c r="G180" s="118">
        <v>52</v>
      </c>
      <c r="H180" s="118">
        <v>11.7</v>
      </c>
      <c r="I180" s="118">
        <v>28.2</v>
      </c>
      <c r="J180" s="119" t="s">
        <v>26</v>
      </c>
      <c r="K180" s="119" t="s">
        <v>26</v>
      </c>
      <c r="L180" s="119" t="s">
        <v>26</v>
      </c>
      <c r="M180" s="119" t="s">
        <v>26</v>
      </c>
      <c r="N180" s="119" t="s">
        <v>26</v>
      </c>
      <c r="O180" s="118">
        <v>6.4</v>
      </c>
      <c r="P180" s="119" t="s">
        <v>26</v>
      </c>
      <c r="Q180" s="119" t="s">
        <v>26</v>
      </c>
      <c r="R180" s="119" t="s">
        <v>26</v>
      </c>
      <c r="S180" s="120" t="s">
        <v>26</v>
      </c>
      <c r="T180" s="121" t="s">
        <v>26</v>
      </c>
      <c r="U180" s="89">
        <v>20</v>
      </c>
      <c r="V180" s="126" t="s">
        <v>26</v>
      </c>
      <c r="AC180" s="33"/>
      <c r="AD180" s="33"/>
      <c r="AE180" s="33"/>
    </row>
    <row r="181" spans="1:31">
      <c r="A181" s="15" t="s">
        <v>207</v>
      </c>
      <c r="B181" s="8" t="s">
        <v>211</v>
      </c>
      <c r="C181" s="8" t="s">
        <v>22</v>
      </c>
      <c r="D181" s="3" t="s">
        <v>23</v>
      </c>
      <c r="E181" s="23" t="s">
        <v>31</v>
      </c>
      <c r="F181" s="16" t="s">
        <v>215</v>
      </c>
      <c r="G181" s="118">
        <v>19</v>
      </c>
      <c r="H181" s="119" t="s">
        <v>26</v>
      </c>
      <c r="I181" s="119" t="s">
        <v>26</v>
      </c>
      <c r="J181" s="118">
        <v>5.5</v>
      </c>
      <c r="K181" s="119" t="s">
        <v>26</v>
      </c>
      <c r="L181" s="119" t="s">
        <v>26</v>
      </c>
      <c r="M181" s="119" t="s">
        <v>26</v>
      </c>
      <c r="N181" s="119" t="s">
        <v>26</v>
      </c>
      <c r="O181" s="125" t="s">
        <v>26</v>
      </c>
      <c r="P181" s="119" t="s">
        <v>26</v>
      </c>
      <c r="Q181" s="119" t="s">
        <v>26</v>
      </c>
      <c r="R181" s="119" t="s">
        <v>26</v>
      </c>
      <c r="S181" s="120" t="s">
        <v>26</v>
      </c>
      <c r="T181" s="121" t="s">
        <v>26</v>
      </c>
      <c r="U181" s="123" t="s">
        <v>26</v>
      </c>
      <c r="V181" s="126" t="s">
        <v>26</v>
      </c>
      <c r="AC181" s="33"/>
      <c r="AD181" s="33"/>
      <c r="AE181" s="33"/>
    </row>
    <row r="182" spans="1:31">
      <c r="A182" s="15" t="s">
        <v>207</v>
      </c>
      <c r="B182" s="8" t="s">
        <v>211</v>
      </c>
      <c r="C182" s="8" t="s">
        <v>22</v>
      </c>
      <c r="D182" s="3" t="s">
        <v>23</v>
      </c>
      <c r="E182" s="25" t="s">
        <v>131</v>
      </c>
      <c r="F182" s="16" t="s">
        <v>216</v>
      </c>
      <c r="G182" s="118">
        <v>7</v>
      </c>
      <c r="H182" s="118">
        <v>52</v>
      </c>
      <c r="I182" s="119" t="s">
        <v>26</v>
      </c>
      <c r="J182" s="118">
        <v>28.8</v>
      </c>
      <c r="K182" s="119" t="s">
        <v>26</v>
      </c>
      <c r="L182" s="119" t="s">
        <v>26</v>
      </c>
      <c r="M182" s="119" t="s">
        <v>26</v>
      </c>
      <c r="N182" s="119" t="s">
        <v>26</v>
      </c>
      <c r="O182" s="125" t="s">
        <v>26</v>
      </c>
      <c r="P182" s="119" t="s">
        <v>26</v>
      </c>
      <c r="Q182" s="119" t="s">
        <v>26</v>
      </c>
      <c r="R182" s="119" t="s">
        <v>26</v>
      </c>
      <c r="S182" s="120" t="s">
        <v>26</v>
      </c>
      <c r="T182" s="121" t="s">
        <v>26</v>
      </c>
      <c r="U182" s="123" t="s">
        <v>26</v>
      </c>
      <c r="V182" s="89">
        <v>194</v>
      </c>
      <c r="AC182" s="33"/>
      <c r="AD182" s="33"/>
      <c r="AE182" s="33"/>
    </row>
    <row r="183" spans="1:31">
      <c r="A183" s="15" t="s">
        <v>207</v>
      </c>
      <c r="B183" s="8" t="s">
        <v>155</v>
      </c>
      <c r="C183" s="8" t="s">
        <v>22</v>
      </c>
      <c r="D183" s="3" t="s">
        <v>33</v>
      </c>
      <c r="E183" s="25" t="s">
        <v>71</v>
      </c>
      <c r="F183" s="16" t="s">
        <v>217</v>
      </c>
      <c r="G183" s="118">
        <v>124</v>
      </c>
      <c r="H183" s="118">
        <v>24.5</v>
      </c>
      <c r="I183" s="118">
        <v>19.5</v>
      </c>
      <c r="J183" s="119" t="s">
        <v>26</v>
      </c>
      <c r="K183" s="119" t="s">
        <v>26</v>
      </c>
      <c r="L183" s="119" t="s">
        <v>26</v>
      </c>
      <c r="M183" s="118">
        <v>0.9</v>
      </c>
      <c r="N183" s="119" t="s">
        <v>26</v>
      </c>
      <c r="O183" s="125" t="s">
        <v>26</v>
      </c>
      <c r="P183" s="119" t="s">
        <v>26</v>
      </c>
      <c r="Q183" s="118">
        <v>6.5</v>
      </c>
      <c r="R183" s="118">
        <v>2.2000000000000002</v>
      </c>
      <c r="S183" s="127">
        <v>0.9</v>
      </c>
      <c r="T183" s="121" t="s">
        <v>26</v>
      </c>
      <c r="U183" s="123" t="s">
        <v>26</v>
      </c>
      <c r="V183" s="126" t="s">
        <v>26</v>
      </c>
      <c r="AC183" s="33"/>
      <c r="AD183" s="33"/>
      <c r="AE183" s="33"/>
    </row>
    <row r="184" spans="1:31">
      <c r="A184" s="15" t="s">
        <v>207</v>
      </c>
      <c r="B184" s="8" t="s">
        <v>155</v>
      </c>
      <c r="C184" s="8" t="s">
        <v>22</v>
      </c>
      <c r="D184" s="3" t="s">
        <v>33</v>
      </c>
      <c r="E184" s="25" t="s">
        <v>29</v>
      </c>
      <c r="F184" s="16" t="s">
        <v>218</v>
      </c>
      <c r="G184" s="118">
        <v>45</v>
      </c>
      <c r="H184" s="118">
        <v>14.7</v>
      </c>
      <c r="I184" s="118">
        <v>7.5</v>
      </c>
      <c r="J184" s="118">
        <v>0.6</v>
      </c>
      <c r="K184" s="119" t="s">
        <v>26</v>
      </c>
      <c r="L184" s="119" t="s">
        <v>26</v>
      </c>
      <c r="M184" s="119" t="s">
        <v>26</v>
      </c>
      <c r="N184" s="119" t="s">
        <v>26</v>
      </c>
      <c r="O184" s="125" t="s">
        <v>26</v>
      </c>
      <c r="P184" s="119" t="s">
        <v>26</v>
      </c>
      <c r="Q184" s="118">
        <v>2.5</v>
      </c>
      <c r="R184" s="118">
        <v>1.4</v>
      </c>
      <c r="S184" s="127">
        <v>2.2000000000000002</v>
      </c>
      <c r="T184" s="121" t="s">
        <v>26</v>
      </c>
      <c r="U184" s="123" t="s">
        <v>26</v>
      </c>
      <c r="V184" s="126" t="s">
        <v>26</v>
      </c>
      <c r="AC184" s="33"/>
      <c r="AD184" s="33"/>
      <c r="AE184" s="33"/>
    </row>
    <row r="185" spans="1:31">
      <c r="A185" s="15" t="s">
        <v>236</v>
      </c>
      <c r="B185" s="8" t="s">
        <v>141</v>
      </c>
      <c r="C185" s="8" t="s">
        <v>22</v>
      </c>
      <c r="D185" s="3" t="s">
        <v>142</v>
      </c>
      <c r="E185" s="23" t="s">
        <v>24</v>
      </c>
      <c r="F185" s="16" t="s">
        <v>237</v>
      </c>
      <c r="G185" s="118">
        <v>211</v>
      </c>
      <c r="H185" s="118">
        <v>19.5</v>
      </c>
      <c r="I185" s="119" t="s">
        <v>26</v>
      </c>
      <c r="J185" s="119" t="s">
        <v>26</v>
      </c>
      <c r="K185" s="119" t="s">
        <v>26</v>
      </c>
      <c r="L185" s="119" t="s">
        <v>26</v>
      </c>
      <c r="M185" s="118">
        <v>1.5</v>
      </c>
      <c r="N185" s="119" t="s">
        <v>26</v>
      </c>
      <c r="O185" s="118">
        <v>1.8</v>
      </c>
      <c r="P185" s="119" t="s">
        <v>26</v>
      </c>
      <c r="Q185" s="118">
        <v>14</v>
      </c>
      <c r="R185" s="118">
        <v>1.2</v>
      </c>
      <c r="S185" s="120" t="s">
        <v>26</v>
      </c>
      <c r="T185" s="121" t="s">
        <v>26</v>
      </c>
      <c r="U185" s="123" t="s">
        <v>26</v>
      </c>
      <c r="V185" s="126" t="s">
        <v>26</v>
      </c>
      <c r="AC185" s="33"/>
      <c r="AD185" s="33"/>
      <c r="AE185" s="33"/>
    </row>
    <row r="186" spans="1:31">
      <c r="A186" s="20" t="s">
        <v>236</v>
      </c>
      <c r="B186" s="3" t="s">
        <v>141</v>
      </c>
      <c r="C186" s="8" t="s">
        <v>22</v>
      </c>
      <c r="D186" s="3" t="s">
        <v>142</v>
      </c>
      <c r="E186" s="23" t="s">
        <v>27</v>
      </c>
      <c r="F186" s="16" t="s">
        <v>238</v>
      </c>
      <c r="G186" s="118">
        <v>102</v>
      </c>
      <c r="H186" s="118">
        <v>34.200000000000003</v>
      </c>
      <c r="I186" s="118">
        <v>6.2</v>
      </c>
      <c r="J186" s="119" t="s">
        <v>26</v>
      </c>
      <c r="K186" s="119" t="s">
        <v>26</v>
      </c>
      <c r="L186" s="119" t="s">
        <v>26</v>
      </c>
      <c r="M186" s="118">
        <v>2.1</v>
      </c>
      <c r="N186" s="119" t="s">
        <v>26</v>
      </c>
      <c r="O186" s="118">
        <v>2.2000000000000002</v>
      </c>
      <c r="P186" s="119" t="s">
        <v>26</v>
      </c>
      <c r="Q186" s="118">
        <v>10.5</v>
      </c>
      <c r="R186" s="118">
        <v>2</v>
      </c>
      <c r="S186" s="120" t="s">
        <v>26</v>
      </c>
      <c r="T186" s="121" t="s">
        <v>26</v>
      </c>
      <c r="U186" s="123" t="s">
        <v>26</v>
      </c>
      <c r="V186" s="126" t="s">
        <v>26</v>
      </c>
      <c r="AC186" s="33"/>
      <c r="AD186" s="33"/>
      <c r="AE186" s="33"/>
    </row>
    <row r="187" spans="1:31">
      <c r="A187" s="20" t="s">
        <v>236</v>
      </c>
      <c r="B187" s="3" t="s">
        <v>141</v>
      </c>
      <c r="C187" s="8" t="s">
        <v>22</v>
      </c>
      <c r="D187" s="3" t="s">
        <v>142</v>
      </c>
      <c r="E187" s="23" t="s">
        <v>29</v>
      </c>
      <c r="F187" s="16" t="s">
        <v>239</v>
      </c>
      <c r="G187" s="118">
        <v>44</v>
      </c>
      <c r="H187" s="118">
        <v>22.8</v>
      </c>
      <c r="I187" s="118">
        <v>6.5</v>
      </c>
      <c r="J187" s="118">
        <v>1.56</v>
      </c>
      <c r="K187" s="119" t="s">
        <v>26</v>
      </c>
      <c r="L187" s="119" t="s">
        <v>26</v>
      </c>
      <c r="M187" s="119" t="s">
        <v>26</v>
      </c>
      <c r="N187" s="119" t="s">
        <v>26</v>
      </c>
      <c r="O187" s="118">
        <v>3.6</v>
      </c>
      <c r="P187" s="119" t="s">
        <v>26</v>
      </c>
      <c r="Q187" s="119" t="s">
        <v>26</v>
      </c>
      <c r="R187" s="119" t="s">
        <v>26</v>
      </c>
      <c r="S187" s="127">
        <v>5.8</v>
      </c>
      <c r="T187" s="121" t="s">
        <v>26</v>
      </c>
      <c r="U187" s="123" t="s">
        <v>26</v>
      </c>
      <c r="V187" s="126" t="s">
        <v>26</v>
      </c>
      <c r="AC187" s="33"/>
      <c r="AD187" s="33"/>
      <c r="AE187" s="33"/>
    </row>
    <row r="188" spans="1:31">
      <c r="A188" s="20" t="s">
        <v>236</v>
      </c>
      <c r="B188" s="3" t="s">
        <v>141</v>
      </c>
      <c r="C188" s="8" t="s">
        <v>22</v>
      </c>
      <c r="D188" s="3" t="s">
        <v>142</v>
      </c>
      <c r="E188" s="23" t="s">
        <v>31</v>
      </c>
      <c r="F188" s="16" t="s">
        <v>240</v>
      </c>
      <c r="G188" s="118">
        <v>16</v>
      </c>
      <c r="H188" s="118">
        <v>28.4</v>
      </c>
      <c r="I188" s="119" t="s">
        <v>26</v>
      </c>
      <c r="J188" s="118">
        <v>3.84</v>
      </c>
      <c r="K188" s="119" t="s">
        <v>26</v>
      </c>
      <c r="L188" s="119" t="s">
        <v>26</v>
      </c>
      <c r="M188" s="119" t="s">
        <v>26</v>
      </c>
      <c r="N188" s="119" t="s">
        <v>26</v>
      </c>
      <c r="O188" s="118">
        <v>4.8</v>
      </c>
      <c r="P188" s="119" t="s">
        <v>26</v>
      </c>
      <c r="Q188" s="119" t="s">
        <v>26</v>
      </c>
      <c r="R188" s="119" t="s">
        <v>26</v>
      </c>
      <c r="S188" s="120" t="s">
        <v>26</v>
      </c>
      <c r="T188" s="121" t="s">
        <v>26</v>
      </c>
      <c r="U188" s="123" t="s">
        <v>26</v>
      </c>
      <c r="V188" s="126" t="s">
        <v>26</v>
      </c>
      <c r="AC188" s="33"/>
      <c r="AD188" s="33"/>
      <c r="AE188" s="33"/>
    </row>
    <row r="189" spans="1:31">
      <c r="A189" s="20" t="s">
        <v>236</v>
      </c>
      <c r="B189" s="3" t="s">
        <v>241</v>
      </c>
      <c r="C189" s="8" t="s">
        <v>22</v>
      </c>
      <c r="D189" s="3" t="s">
        <v>23</v>
      </c>
      <c r="E189" s="23" t="s">
        <v>24</v>
      </c>
      <c r="F189" s="16" t="s">
        <v>242</v>
      </c>
      <c r="G189" s="118">
        <v>231</v>
      </c>
      <c r="H189" s="118">
        <v>11.5</v>
      </c>
      <c r="I189" s="119" t="s">
        <v>26</v>
      </c>
      <c r="J189" s="119" t="s">
        <v>26</v>
      </c>
      <c r="K189" s="119" t="s">
        <v>26</v>
      </c>
      <c r="L189" s="119" t="s">
        <v>26</v>
      </c>
      <c r="M189" s="119" t="s">
        <v>26</v>
      </c>
      <c r="N189" s="119" t="s">
        <v>26</v>
      </c>
      <c r="O189" s="125" t="s">
        <v>26</v>
      </c>
      <c r="P189" s="119" t="s">
        <v>26</v>
      </c>
      <c r="Q189" s="118">
        <v>5.8</v>
      </c>
      <c r="R189" s="119" t="s">
        <v>26</v>
      </c>
      <c r="S189" s="127">
        <v>3.4</v>
      </c>
      <c r="T189" s="121" t="s">
        <v>26</v>
      </c>
      <c r="U189" s="89">
        <v>820</v>
      </c>
      <c r="V189" s="89">
        <v>849</v>
      </c>
      <c r="AC189" s="33"/>
      <c r="AD189" s="33"/>
      <c r="AE189" s="33"/>
    </row>
    <row r="190" spans="1:31">
      <c r="A190" s="20" t="s">
        <v>236</v>
      </c>
      <c r="B190" s="3" t="s">
        <v>241</v>
      </c>
      <c r="C190" s="8" t="s">
        <v>22</v>
      </c>
      <c r="D190" s="3" t="s">
        <v>23</v>
      </c>
      <c r="E190" s="23" t="s">
        <v>27</v>
      </c>
      <c r="F190" s="16" t="s">
        <v>243</v>
      </c>
      <c r="G190" s="118">
        <v>101</v>
      </c>
      <c r="H190" s="118">
        <v>41.2</v>
      </c>
      <c r="I190" s="118">
        <v>6.5</v>
      </c>
      <c r="J190" s="119" t="s">
        <v>26</v>
      </c>
      <c r="K190" s="119" t="s">
        <v>26</v>
      </c>
      <c r="L190" s="119" t="s">
        <v>26</v>
      </c>
      <c r="M190" s="119" t="s">
        <v>26</v>
      </c>
      <c r="N190" s="119" t="s">
        <v>26</v>
      </c>
      <c r="O190" s="118">
        <v>5.5</v>
      </c>
      <c r="P190" s="119" t="s">
        <v>26</v>
      </c>
      <c r="Q190" s="119" t="s">
        <v>26</v>
      </c>
      <c r="R190" s="119" t="s">
        <v>26</v>
      </c>
      <c r="S190" s="120" t="s">
        <v>26</v>
      </c>
      <c r="T190" s="121" t="s">
        <v>26</v>
      </c>
      <c r="U190" s="89">
        <v>100</v>
      </c>
      <c r="V190" s="89">
        <v>294</v>
      </c>
      <c r="AC190" s="33"/>
      <c r="AD190" s="33"/>
      <c r="AE190" s="33"/>
    </row>
    <row r="191" spans="1:31">
      <c r="A191" s="20" t="s">
        <v>236</v>
      </c>
      <c r="B191" s="3" t="s">
        <v>241</v>
      </c>
      <c r="C191" s="8" t="s">
        <v>22</v>
      </c>
      <c r="D191" s="3" t="s">
        <v>23</v>
      </c>
      <c r="E191" s="23" t="s">
        <v>29</v>
      </c>
      <c r="F191" s="16" t="s">
        <v>244</v>
      </c>
      <c r="G191" s="118">
        <v>40</v>
      </c>
      <c r="H191" s="118">
        <v>31.5</v>
      </c>
      <c r="I191" s="118">
        <v>4.0999999999999996</v>
      </c>
      <c r="J191" s="118">
        <v>2.36</v>
      </c>
      <c r="K191" s="119" t="s">
        <v>26</v>
      </c>
      <c r="L191" s="119" t="s">
        <v>26</v>
      </c>
      <c r="M191" s="119" t="s">
        <v>26</v>
      </c>
      <c r="N191" s="119" t="s">
        <v>26</v>
      </c>
      <c r="O191" s="118">
        <v>21.5</v>
      </c>
      <c r="P191" s="119" t="s">
        <v>26</v>
      </c>
      <c r="Q191" s="119" t="s">
        <v>26</v>
      </c>
      <c r="R191" s="119" t="s">
        <v>26</v>
      </c>
      <c r="S191" s="120" t="s">
        <v>26</v>
      </c>
      <c r="T191" s="121" t="s">
        <v>26</v>
      </c>
      <c r="U191" s="89">
        <v>2262</v>
      </c>
      <c r="V191" s="89">
        <v>457</v>
      </c>
      <c r="AC191" s="33"/>
      <c r="AD191" s="33"/>
      <c r="AE191" s="33"/>
    </row>
    <row r="192" spans="1:31">
      <c r="A192" s="20" t="s">
        <v>236</v>
      </c>
      <c r="B192" s="3" t="s">
        <v>241</v>
      </c>
      <c r="C192" s="8" t="s">
        <v>22</v>
      </c>
      <c r="D192" s="3" t="s">
        <v>23</v>
      </c>
      <c r="E192" s="23" t="s">
        <v>31</v>
      </c>
      <c r="F192" s="16" t="s">
        <v>245</v>
      </c>
      <c r="G192" s="118">
        <v>18</v>
      </c>
      <c r="H192" s="119" t="s">
        <v>26</v>
      </c>
      <c r="I192" s="118">
        <v>5.0999999999999996</v>
      </c>
      <c r="J192" s="118">
        <v>5.2</v>
      </c>
      <c r="K192" s="119" t="s">
        <v>26</v>
      </c>
      <c r="L192" s="119" t="s">
        <v>26</v>
      </c>
      <c r="M192" s="119" t="s">
        <v>26</v>
      </c>
      <c r="N192" s="119" t="s">
        <v>26</v>
      </c>
      <c r="O192" s="118">
        <v>13.2</v>
      </c>
      <c r="P192" s="119" t="s">
        <v>26</v>
      </c>
      <c r="Q192" s="119" t="s">
        <v>26</v>
      </c>
      <c r="R192" s="119" t="s">
        <v>26</v>
      </c>
      <c r="S192" s="120" t="s">
        <v>26</v>
      </c>
      <c r="T192" s="121" t="s">
        <v>26</v>
      </c>
      <c r="U192" s="89">
        <v>1344</v>
      </c>
      <c r="V192" s="89">
        <v>141</v>
      </c>
      <c r="AC192" s="33"/>
      <c r="AD192" s="33"/>
      <c r="AE192" s="33"/>
    </row>
    <row r="193" spans="1:31">
      <c r="A193" s="20" t="s">
        <v>236</v>
      </c>
      <c r="B193" s="3" t="s">
        <v>68</v>
      </c>
      <c r="C193" s="8" t="s">
        <v>22</v>
      </c>
      <c r="D193" s="8" t="s">
        <v>109</v>
      </c>
      <c r="E193" s="23" t="s">
        <v>24</v>
      </c>
      <c r="F193" s="16" t="s">
        <v>246</v>
      </c>
      <c r="G193" s="118">
        <v>220</v>
      </c>
      <c r="H193" s="118">
        <v>12.2</v>
      </c>
      <c r="I193" s="119" t="s">
        <v>26</v>
      </c>
      <c r="J193" s="119" t="s">
        <v>26</v>
      </c>
      <c r="K193" s="119" t="s">
        <v>26</v>
      </c>
      <c r="L193" s="119" t="s">
        <v>26</v>
      </c>
      <c r="M193" s="119" t="s">
        <v>26</v>
      </c>
      <c r="N193" s="119" t="s">
        <v>26</v>
      </c>
      <c r="O193" s="118">
        <v>2.2000000000000002</v>
      </c>
      <c r="P193" s="119" t="s">
        <v>26</v>
      </c>
      <c r="Q193" s="118">
        <v>16.8</v>
      </c>
      <c r="R193" s="119" t="s">
        <v>26</v>
      </c>
      <c r="S193" s="120" t="s">
        <v>26</v>
      </c>
      <c r="T193" s="121" t="s">
        <v>26</v>
      </c>
      <c r="U193" s="123" t="s">
        <v>26</v>
      </c>
      <c r="V193" s="126" t="s">
        <v>26</v>
      </c>
      <c r="AC193" s="33"/>
      <c r="AD193" s="33"/>
      <c r="AE193" s="33"/>
    </row>
    <row r="194" spans="1:31">
      <c r="A194" s="20" t="s">
        <v>236</v>
      </c>
      <c r="B194" s="3" t="s">
        <v>68</v>
      </c>
      <c r="C194" s="8" t="s">
        <v>22</v>
      </c>
      <c r="D194" s="8" t="s">
        <v>109</v>
      </c>
      <c r="E194" s="23" t="s">
        <v>27</v>
      </c>
      <c r="F194" s="16" t="s">
        <v>247</v>
      </c>
      <c r="G194" s="118">
        <v>110</v>
      </c>
      <c r="H194" s="118">
        <v>28.5</v>
      </c>
      <c r="I194" s="118">
        <v>7.2</v>
      </c>
      <c r="J194" s="119" t="s">
        <v>26</v>
      </c>
      <c r="K194" s="119" t="s">
        <v>26</v>
      </c>
      <c r="L194" s="119" t="s">
        <v>26</v>
      </c>
      <c r="M194" s="118">
        <v>4</v>
      </c>
      <c r="N194" s="119" t="s">
        <v>26</v>
      </c>
      <c r="O194" s="118">
        <v>3.8</v>
      </c>
      <c r="P194" s="119" t="s">
        <v>26</v>
      </c>
      <c r="Q194" s="118">
        <v>11.2</v>
      </c>
      <c r="R194" s="119" t="s">
        <v>26</v>
      </c>
      <c r="S194" s="120" t="s">
        <v>26</v>
      </c>
      <c r="T194" s="121" t="s">
        <v>26</v>
      </c>
      <c r="U194" s="130">
        <v>40</v>
      </c>
      <c r="V194" s="126" t="s">
        <v>26</v>
      </c>
      <c r="AC194" s="33"/>
      <c r="AD194" s="33"/>
      <c r="AE194" s="33"/>
    </row>
    <row r="195" spans="1:31">
      <c r="A195" s="20" t="s">
        <v>236</v>
      </c>
      <c r="B195" s="3" t="s">
        <v>68</v>
      </c>
      <c r="C195" s="8" t="s">
        <v>22</v>
      </c>
      <c r="D195" s="8" t="s">
        <v>109</v>
      </c>
      <c r="E195" s="23" t="s">
        <v>29</v>
      </c>
      <c r="F195" s="16" t="s">
        <v>248</v>
      </c>
      <c r="G195" s="118">
        <v>41</v>
      </c>
      <c r="H195" s="118">
        <v>24.8</v>
      </c>
      <c r="I195" s="118">
        <v>5.6</v>
      </c>
      <c r="J195" s="118">
        <v>0.8</v>
      </c>
      <c r="K195" s="119" t="s">
        <v>26</v>
      </c>
      <c r="L195" s="119" t="s">
        <v>26</v>
      </c>
      <c r="M195" s="118">
        <v>5</v>
      </c>
      <c r="N195" s="119" t="s">
        <v>26</v>
      </c>
      <c r="O195" s="118">
        <v>6.6</v>
      </c>
      <c r="P195" s="119" t="s">
        <v>26</v>
      </c>
      <c r="Q195" s="119" t="s">
        <v>26</v>
      </c>
      <c r="R195" s="119" t="s">
        <v>26</v>
      </c>
      <c r="S195" s="120" t="s">
        <v>26</v>
      </c>
      <c r="T195" s="121" t="s">
        <v>26</v>
      </c>
      <c r="U195" s="130">
        <v>346</v>
      </c>
      <c r="V195" s="126" t="s">
        <v>26</v>
      </c>
      <c r="AC195" s="33"/>
      <c r="AD195" s="33"/>
      <c r="AE195" s="33"/>
    </row>
    <row r="196" spans="1:31">
      <c r="A196" s="20" t="s">
        <v>236</v>
      </c>
      <c r="B196" s="3" t="s">
        <v>68</v>
      </c>
      <c r="C196" s="8" t="s">
        <v>22</v>
      </c>
      <c r="D196" s="8" t="s">
        <v>109</v>
      </c>
      <c r="E196" s="23" t="s">
        <v>31</v>
      </c>
      <c r="F196" s="16" t="s">
        <v>249</v>
      </c>
      <c r="G196" s="118">
        <v>15</v>
      </c>
      <c r="H196" s="118">
        <v>35.4</v>
      </c>
      <c r="I196" s="119" t="s">
        <v>26</v>
      </c>
      <c r="J196" s="118">
        <v>4.0999999999999996</v>
      </c>
      <c r="K196" s="119" t="s">
        <v>26</v>
      </c>
      <c r="L196" s="119" t="s">
        <v>26</v>
      </c>
      <c r="M196" s="119" t="s">
        <v>26</v>
      </c>
      <c r="N196" s="119" t="s">
        <v>26</v>
      </c>
      <c r="O196" s="125" t="s">
        <v>26</v>
      </c>
      <c r="P196" s="119" t="s">
        <v>26</v>
      </c>
      <c r="Q196" s="119" t="s">
        <v>26</v>
      </c>
      <c r="R196" s="119" t="s">
        <v>26</v>
      </c>
      <c r="S196" s="120" t="s">
        <v>26</v>
      </c>
      <c r="T196" s="121" t="s">
        <v>26</v>
      </c>
      <c r="U196" s="130">
        <v>1361</v>
      </c>
      <c r="V196" s="126" t="s">
        <v>26</v>
      </c>
      <c r="AC196" s="33"/>
      <c r="AD196" s="33"/>
      <c r="AE196" s="33"/>
    </row>
    <row r="197" spans="1:31">
      <c r="A197" s="20" t="s">
        <v>236</v>
      </c>
      <c r="B197" s="3" t="s">
        <v>47</v>
      </c>
      <c r="C197" s="8" t="s">
        <v>22</v>
      </c>
      <c r="D197" s="8" t="s">
        <v>250</v>
      </c>
      <c r="E197" s="25" t="s">
        <v>131</v>
      </c>
      <c r="F197" s="16" t="s">
        <v>251</v>
      </c>
      <c r="G197" s="118">
        <v>91</v>
      </c>
      <c r="H197" s="118">
        <v>55.4</v>
      </c>
      <c r="I197" s="118">
        <v>39.1</v>
      </c>
      <c r="J197" s="118">
        <v>5</v>
      </c>
      <c r="K197" s="119" t="s">
        <v>26</v>
      </c>
      <c r="L197" s="119" t="s">
        <v>26</v>
      </c>
      <c r="M197" s="119" t="s">
        <v>26</v>
      </c>
      <c r="N197" s="119" t="s">
        <v>26</v>
      </c>
      <c r="O197" s="125" t="s">
        <v>26</v>
      </c>
      <c r="P197" s="119" t="s">
        <v>26</v>
      </c>
      <c r="Q197" s="119" t="s">
        <v>26</v>
      </c>
      <c r="R197" s="119" t="s">
        <v>26</v>
      </c>
      <c r="S197" s="120" t="s">
        <v>26</v>
      </c>
      <c r="T197" s="121" t="s">
        <v>26</v>
      </c>
      <c r="U197" s="130">
        <v>2422</v>
      </c>
      <c r="V197" s="89">
        <v>40</v>
      </c>
      <c r="AC197" s="33"/>
      <c r="AD197" s="33"/>
      <c r="AE197" s="33"/>
    </row>
    <row r="198" spans="1:31">
      <c r="A198" s="20" t="s">
        <v>236</v>
      </c>
      <c r="B198" s="3" t="s">
        <v>47</v>
      </c>
      <c r="C198" s="8" t="s">
        <v>22</v>
      </c>
      <c r="D198" s="8" t="s">
        <v>250</v>
      </c>
      <c r="E198" s="25" t="s">
        <v>71</v>
      </c>
      <c r="F198" s="16" t="s">
        <v>252</v>
      </c>
      <c r="G198" s="118">
        <v>138</v>
      </c>
      <c r="H198" s="118">
        <v>6.4</v>
      </c>
      <c r="I198" s="118">
        <v>40.4</v>
      </c>
      <c r="J198" s="119" t="s">
        <v>26</v>
      </c>
      <c r="K198" s="119" t="s">
        <v>26</v>
      </c>
      <c r="L198" s="119" t="s">
        <v>26</v>
      </c>
      <c r="M198" s="118">
        <v>0.6</v>
      </c>
      <c r="N198" s="119" t="s">
        <v>26</v>
      </c>
      <c r="O198" s="118">
        <v>4.9000000000000004</v>
      </c>
      <c r="P198" s="119" t="s">
        <v>26</v>
      </c>
      <c r="Q198" s="118">
        <v>24.7</v>
      </c>
      <c r="R198" s="119" t="s">
        <v>26</v>
      </c>
      <c r="S198" s="120" t="s">
        <v>26</v>
      </c>
      <c r="T198" s="121" t="s">
        <v>26</v>
      </c>
      <c r="U198" s="130">
        <v>44</v>
      </c>
      <c r="V198" s="89">
        <v>169</v>
      </c>
      <c r="AC198" s="33"/>
      <c r="AD198" s="33"/>
      <c r="AE198" s="33"/>
    </row>
    <row r="199" spans="1:31">
      <c r="A199" s="20" t="s">
        <v>236</v>
      </c>
      <c r="B199" s="3" t="s">
        <v>47</v>
      </c>
      <c r="C199" s="8" t="s">
        <v>22</v>
      </c>
      <c r="D199" s="8" t="s">
        <v>250</v>
      </c>
      <c r="E199" s="25" t="s">
        <v>29</v>
      </c>
      <c r="F199" s="16" t="s">
        <v>253</v>
      </c>
      <c r="G199" s="118">
        <v>54</v>
      </c>
      <c r="H199" s="118">
        <v>6.9</v>
      </c>
      <c r="I199" s="118">
        <v>20.399999999999999</v>
      </c>
      <c r="J199" s="119" t="s">
        <v>26</v>
      </c>
      <c r="K199" s="119" t="s">
        <v>26</v>
      </c>
      <c r="L199" s="119" t="s">
        <v>26</v>
      </c>
      <c r="M199" s="119" t="s">
        <v>26</v>
      </c>
      <c r="N199" s="119" t="s">
        <v>26</v>
      </c>
      <c r="O199" s="118">
        <v>4.2</v>
      </c>
      <c r="P199" s="119" t="s">
        <v>26</v>
      </c>
      <c r="Q199" s="118">
        <v>8.4</v>
      </c>
      <c r="R199" s="119" t="s">
        <v>26</v>
      </c>
      <c r="S199" s="127">
        <v>2.7</v>
      </c>
      <c r="T199" s="121" t="s">
        <v>26</v>
      </c>
      <c r="U199" s="123" t="s">
        <v>26</v>
      </c>
      <c r="V199" s="126" t="s">
        <v>26</v>
      </c>
      <c r="AC199" s="33"/>
      <c r="AD199" s="33"/>
      <c r="AE199" s="33"/>
    </row>
    <row r="200" spans="1:31">
      <c r="A200" s="20" t="s">
        <v>236</v>
      </c>
      <c r="B200" s="3" t="s">
        <v>47</v>
      </c>
      <c r="C200" s="8" t="s">
        <v>22</v>
      </c>
      <c r="D200" s="8" t="s">
        <v>250</v>
      </c>
      <c r="E200" s="25" t="s">
        <v>31</v>
      </c>
      <c r="F200" s="16" t="s">
        <v>254</v>
      </c>
      <c r="G200" s="118">
        <v>17</v>
      </c>
      <c r="H200" s="119" t="s">
        <v>26</v>
      </c>
      <c r="I200" s="118">
        <v>25.6</v>
      </c>
      <c r="J200" s="118">
        <v>11</v>
      </c>
      <c r="K200" s="119" t="s">
        <v>26</v>
      </c>
      <c r="L200" s="119" t="s">
        <v>26</v>
      </c>
      <c r="M200" s="119" t="s">
        <v>26</v>
      </c>
      <c r="N200" s="119" t="s">
        <v>26</v>
      </c>
      <c r="O200" s="118">
        <v>4.2</v>
      </c>
      <c r="P200" s="119" t="s">
        <v>26</v>
      </c>
      <c r="Q200" s="119" t="s">
        <v>26</v>
      </c>
      <c r="R200" s="119" t="s">
        <v>26</v>
      </c>
      <c r="S200" s="127">
        <v>3.7</v>
      </c>
      <c r="T200" s="121" t="s">
        <v>26</v>
      </c>
      <c r="U200" s="123" t="s">
        <v>26</v>
      </c>
      <c r="V200" s="126" t="s">
        <v>26</v>
      </c>
      <c r="AC200" s="33"/>
      <c r="AD200" s="33"/>
      <c r="AE200" s="33"/>
    </row>
    <row r="201" spans="1:31">
      <c r="A201" s="20" t="s">
        <v>236</v>
      </c>
      <c r="B201" s="3" t="s">
        <v>53</v>
      </c>
      <c r="C201" s="8" t="s">
        <v>22</v>
      </c>
      <c r="D201" s="8" t="s">
        <v>54</v>
      </c>
      <c r="E201" s="25" t="s">
        <v>27</v>
      </c>
      <c r="F201" s="16" t="s">
        <v>255</v>
      </c>
      <c r="G201" s="118">
        <v>104</v>
      </c>
      <c r="H201" s="118">
        <v>38.6</v>
      </c>
      <c r="I201" s="118">
        <v>8.1999999999999993</v>
      </c>
      <c r="J201" s="118">
        <v>0.7</v>
      </c>
      <c r="K201" s="119" t="s">
        <v>26</v>
      </c>
      <c r="L201" s="119" t="s">
        <v>26</v>
      </c>
      <c r="M201" s="119" t="s">
        <v>26</v>
      </c>
      <c r="N201" s="119" t="s">
        <v>26</v>
      </c>
      <c r="O201" s="118">
        <v>6.5</v>
      </c>
      <c r="P201" s="119" t="s">
        <v>26</v>
      </c>
      <c r="Q201" s="118">
        <v>12.8</v>
      </c>
      <c r="R201" s="119" t="s">
        <v>26</v>
      </c>
      <c r="S201" s="120" t="s">
        <v>26</v>
      </c>
      <c r="T201" s="121" t="s">
        <v>26</v>
      </c>
      <c r="U201" s="122">
        <v>225</v>
      </c>
      <c r="V201" s="126" t="s">
        <v>26</v>
      </c>
      <c r="AC201" s="33"/>
      <c r="AD201" s="33"/>
      <c r="AE201" s="33"/>
    </row>
    <row r="202" spans="1:31">
      <c r="A202" s="20" t="s">
        <v>236</v>
      </c>
      <c r="B202" s="3" t="s">
        <v>53</v>
      </c>
      <c r="C202" s="8" t="s">
        <v>22</v>
      </c>
      <c r="D202" s="8" t="s">
        <v>54</v>
      </c>
      <c r="E202" s="25" t="s">
        <v>29</v>
      </c>
      <c r="F202" s="16" t="s">
        <v>256</v>
      </c>
      <c r="G202" s="118">
        <v>42</v>
      </c>
      <c r="H202" s="118">
        <v>24.6</v>
      </c>
      <c r="I202" s="118">
        <v>18.5</v>
      </c>
      <c r="J202" s="118">
        <v>6.6</v>
      </c>
      <c r="K202" s="119" t="s">
        <v>26</v>
      </c>
      <c r="L202" s="119" t="s">
        <v>26</v>
      </c>
      <c r="M202" s="119" t="s">
        <v>26</v>
      </c>
      <c r="N202" s="119" t="s">
        <v>26</v>
      </c>
      <c r="O202" s="118">
        <v>5.4</v>
      </c>
      <c r="P202" s="119" t="s">
        <v>26</v>
      </c>
      <c r="Q202" s="119" t="s">
        <v>26</v>
      </c>
      <c r="R202" s="119" t="s">
        <v>26</v>
      </c>
      <c r="S202" s="120" t="s">
        <v>26</v>
      </c>
      <c r="T202" s="121" t="s">
        <v>26</v>
      </c>
      <c r="U202" s="130">
        <v>4568</v>
      </c>
      <c r="V202" s="126" t="s">
        <v>26</v>
      </c>
      <c r="AC202" s="33"/>
      <c r="AD202" s="33"/>
      <c r="AE202" s="33"/>
    </row>
    <row r="203" spans="1:31">
      <c r="A203" s="20" t="s">
        <v>236</v>
      </c>
      <c r="B203" s="3" t="s">
        <v>53</v>
      </c>
      <c r="C203" s="8" t="s">
        <v>22</v>
      </c>
      <c r="D203" s="8" t="s">
        <v>54</v>
      </c>
      <c r="E203" s="25" t="s">
        <v>31</v>
      </c>
      <c r="F203" s="16" t="s">
        <v>257</v>
      </c>
      <c r="G203" s="118">
        <v>16</v>
      </c>
      <c r="H203" s="118">
        <v>18.5</v>
      </c>
      <c r="I203" s="119" t="s">
        <v>26</v>
      </c>
      <c r="J203" s="118">
        <v>3.3</v>
      </c>
      <c r="K203" s="119" t="s">
        <v>26</v>
      </c>
      <c r="L203" s="119" t="s">
        <v>26</v>
      </c>
      <c r="M203" s="119" t="s">
        <v>26</v>
      </c>
      <c r="N203" s="119" t="s">
        <v>26</v>
      </c>
      <c r="O203" s="125" t="s">
        <v>26</v>
      </c>
      <c r="P203" s="119" t="s">
        <v>26</v>
      </c>
      <c r="Q203" s="119" t="s">
        <v>26</v>
      </c>
      <c r="R203" s="119" t="s">
        <v>26</v>
      </c>
      <c r="S203" s="120" t="s">
        <v>26</v>
      </c>
      <c r="T203" s="121" t="s">
        <v>26</v>
      </c>
      <c r="U203" s="130">
        <v>181</v>
      </c>
      <c r="V203" s="126" t="s">
        <v>26</v>
      </c>
      <c r="AC203" s="33"/>
      <c r="AD203" s="33"/>
      <c r="AE203" s="33"/>
    </row>
    <row r="204" spans="1:31">
      <c r="A204" s="20" t="s">
        <v>236</v>
      </c>
      <c r="B204" s="3" t="s">
        <v>191</v>
      </c>
      <c r="C204" s="8" t="s">
        <v>22</v>
      </c>
      <c r="D204" s="3" t="s">
        <v>23</v>
      </c>
      <c r="E204" s="25" t="s">
        <v>131</v>
      </c>
      <c r="F204" s="16" t="s">
        <v>258</v>
      </c>
      <c r="G204" s="118">
        <v>6</v>
      </c>
      <c r="H204" s="118">
        <v>65.400000000000006</v>
      </c>
      <c r="I204" s="118">
        <v>30.9</v>
      </c>
      <c r="J204" s="118">
        <v>3.7</v>
      </c>
      <c r="K204" s="119" t="s">
        <v>26</v>
      </c>
      <c r="L204" s="119" t="s">
        <v>26</v>
      </c>
      <c r="M204" s="119" t="s">
        <v>26</v>
      </c>
      <c r="N204" s="119" t="s">
        <v>26</v>
      </c>
      <c r="O204" s="125" t="s">
        <v>26</v>
      </c>
      <c r="P204" s="119" t="s">
        <v>26</v>
      </c>
      <c r="Q204" s="119" t="s">
        <v>26</v>
      </c>
      <c r="R204" s="119" t="s">
        <v>26</v>
      </c>
      <c r="S204" s="120" t="s">
        <v>26</v>
      </c>
      <c r="T204" s="121" t="s">
        <v>26</v>
      </c>
      <c r="U204" s="123" t="s">
        <v>26</v>
      </c>
      <c r="V204" s="126" t="s">
        <v>26</v>
      </c>
      <c r="AC204" s="33"/>
      <c r="AD204" s="33"/>
      <c r="AE204" s="33"/>
    </row>
    <row r="205" spans="1:31">
      <c r="A205" s="20" t="s">
        <v>236</v>
      </c>
      <c r="B205" s="3" t="s">
        <v>125</v>
      </c>
      <c r="C205" s="8" t="s">
        <v>22</v>
      </c>
      <c r="D205" s="3" t="s">
        <v>23</v>
      </c>
      <c r="E205" s="23" t="s">
        <v>24</v>
      </c>
      <c r="F205" s="16" t="s">
        <v>259</v>
      </c>
      <c r="G205" s="118">
        <v>224</v>
      </c>
      <c r="H205" s="118">
        <v>15.5</v>
      </c>
      <c r="I205" s="119" t="s">
        <v>26</v>
      </c>
      <c r="J205" s="119" t="s">
        <v>26</v>
      </c>
      <c r="K205" s="119" t="s">
        <v>26</v>
      </c>
      <c r="L205" s="119" t="s">
        <v>26</v>
      </c>
      <c r="M205" s="119" t="s">
        <v>26</v>
      </c>
      <c r="N205" s="119" t="s">
        <v>26</v>
      </c>
      <c r="O205" s="118">
        <v>2.8</v>
      </c>
      <c r="P205" s="118">
        <v>1.8</v>
      </c>
      <c r="Q205" s="118">
        <v>6.5</v>
      </c>
      <c r="R205" s="119" t="s">
        <v>26</v>
      </c>
      <c r="S205" s="127">
        <v>2.5</v>
      </c>
      <c r="T205" s="121" t="s">
        <v>26</v>
      </c>
      <c r="U205" s="89">
        <v>950</v>
      </c>
      <c r="V205" s="126" t="s">
        <v>26</v>
      </c>
      <c r="AC205" s="33"/>
      <c r="AD205" s="33"/>
      <c r="AE205" s="33"/>
    </row>
    <row r="206" spans="1:31">
      <c r="A206" s="20" t="s">
        <v>236</v>
      </c>
      <c r="B206" s="3" t="s">
        <v>125</v>
      </c>
      <c r="C206" s="8" t="s">
        <v>22</v>
      </c>
      <c r="D206" s="3" t="s">
        <v>23</v>
      </c>
      <c r="E206" s="23" t="s">
        <v>27</v>
      </c>
      <c r="F206" s="16" t="s">
        <v>260</v>
      </c>
      <c r="G206" s="118">
        <v>108</v>
      </c>
      <c r="H206" s="118">
        <v>10.5</v>
      </c>
      <c r="I206" s="118">
        <v>11.2</v>
      </c>
      <c r="J206" s="119" t="s">
        <v>26</v>
      </c>
      <c r="K206" s="119" t="s">
        <v>26</v>
      </c>
      <c r="L206" s="119" t="s">
        <v>26</v>
      </c>
      <c r="M206" s="119" t="s">
        <v>26</v>
      </c>
      <c r="N206" s="119" t="s">
        <v>26</v>
      </c>
      <c r="O206" s="118">
        <v>4.0999999999999996</v>
      </c>
      <c r="P206" s="118">
        <v>2.9</v>
      </c>
      <c r="Q206" s="118">
        <v>5.2</v>
      </c>
      <c r="R206" s="119" t="s">
        <v>26</v>
      </c>
      <c r="S206" s="127">
        <v>3.2</v>
      </c>
      <c r="T206" s="121" t="s">
        <v>26</v>
      </c>
      <c r="U206" s="89">
        <v>40</v>
      </c>
      <c r="V206" s="126" t="s">
        <v>26</v>
      </c>
      <c r="AC206" s="33"/>
      <c r="AD206" s="33"/>
      <c r="AE206" s="33"/>
    </row>
    <row r="207" spans="1:31">
      <c r="A207" s="20" t="s">
        <v>236</v>
      </c>
      <c r="B207" s="3" t="s">
        <v>125</v>
      </c>
      <c r="C207" s="8" t="s">
        <v>22</v>
      </c>
      <c r="D207" s="3" t="s">
        <v>23</v>
      </c>
      <c r="E207" s="23" t="s">
        <v>29</v>
      </c>
      <c r="F207" s="16" t="s">
        <v>261</v>
      </c>
      <c r="G207" s="118">
        <v>54</v>
      </c>
      <c r="H207" s="118">
        <v>3.2</v>
      </c>
      <c r="I207" s="118">
        <v>28.4</v>
      </c>
      <c r="J207" s="118">
        <v>0.5</v>
      </c>
      <c r="K207" s="119" t="s">
        <v>26</v>
      </c>
      <c r="L207" s="119" t="s">
        <v>26</v>
      </c>
      <c r="M207" s="119" t="s">
        <v>26</v>
      </c>
      <c r="N207" s="119" t="s">
        <v>26</v>
      </c>
      <c r="O207" s="118">
        <v>11.5</v>
      </c>
      <c r="P207" s="118">
        <v>8.6</v>
      </c>
      <c r="Q207" s="119" t="s">
        <v>26</v>
      </c>
      <c r="R207" s="119" t="s">
        <v>26</v>
      </c>
      <c r="S207" s="127">
        <v>3.8</v>
      </c>
      <c r="T207" s="121" t="s">
        <v>26</v>
      </c>
      <c r="U207" s="89">
        <v>280</v>
      </c>
      <c r="V207" s="126" t="s">
        <v>26</v>
      </c>
      <c r="AC207" s="33"/>
      <c r="AD207" s="33"/>
      <c r="AE207" s="33"/>
    </row>
    <row r="208" spans="1:31">
      <c r="A208" s="20" t="s">
        <v>236</v>
      </c>
      <c r="B208" s="3" t="s">
        <v>125</v>
      </c>
      <c r="C208" s="8" t="s">
        <v>22</v>
      </c>
      <c r="D208" s="3" t="s">
        <v>23</v>
      </c>
      <c r="E208" s="23" t="s">
        <v>31</v>
      </c>
      <c r="F208" s="16" t="s">
        <v>154</v>
      </c>
      <c r="G208" s="118">
        <v>19</v>
      </c>
      <c r="H208" s="119" t="s">
        <v>26</v>
      </c>
      <c r="I208" s="118">
        <v>13.5</v>
      </c>
      <c r="J208" s="118">
        <v>4.5</v>
      </c>
      <c r="K208" s="119" t="s">
        <v>26</v>
      </c>
      <c r="L208" s="119" t="s">
        <v>26</v>
      </c>
      <c r="M208" s="119" t="s">
        <v>26</v>
      </c>
      <c r="N208" s="119" t="s">
        <v>26</v>
      </c>
      <c r="O208" s="118">
        <v>7.4</v>
      </c>
      <c r="P208" s="118">
        <v>5.5</v>
      </c>
      <c r="Q208" s="119" t="s">
        <v>26</v>
      </c>
      <c r="R208" s="119" t="s">
        <v>26</v>
      </c>
      <c r="S208" s="127">
        <v>4.0999999999999996</v>
      </c>
      <c r="T208" s="121" t="s">
        <v>26</v>
      </c>
      <c r="U208" s="89">
        <v>577</v>
      </c>
      <c r="V208" s="126" t="s">
        <v>26</v>
      </c>
      <c r="AC208" s="33"/>
      <c r="AD208" s="33"/>
      <c r="AE208" s="33"/>
    </row>
    <row r="209" spans="1:31">
      <c r="A209" s="20" t="s">
        <v>236</v>
      </c>
      <c r="B209" s="3" t="s">
        <v>119</v>
      </c>
      <c r="C209" s="8" t="s">
        <v>22</v>
      </c>
      <c r="D209" s="3" t="s">
        <v>23</v>
      </c>
      <c r="E209" s="23" t="s">
        <v>24</v>
      </c>
      <c r="F209" s="16" t="s">
        <v>262</v>
      </c>
      <c r="G209" s="118">
        <v>212</v>
      </c>
      <c r="H209" s="118">
        <v>12.6</v>
      </c>
      <c r="I209" s="119" t="s">
        <v>26</v>
      </c>
      <c r="J209" s="119" t="s">
        <v>26</v>
      </c>
      <c r="K209" s="119" t="s">
        <v>26</v>
      </c>
      <c r="L209" s="119" t="s">
        <v>26</v>
      </c>
      <c r="M209" s="118">
        <v>10</v>
      </c>
      <c r="N209" s="119" t="s">
        <v>26</v>
      </c>
      <c r="O209" s="118">
        <v>2.5</v>
      </c>
      <c r="P209" s="119" t="s">
        <v>26</v>
      </c>
      <c r="Q209" s="118">
        <v>17.100000000000001</v>
      </c>
      <c r="R209" s="119" t="s">
        <v>26</v>
      </c>
      <c r="S209" s="120" t="s">
        <v>26</v>
      </c>
      <c r="T209" s="121" t="s">
        <v>26</v>
      </c>
      <c r="U209" s="89">
        <v>60</v>
      </c>
      <c r="V209" s="126" t="s">
        <v>26</v>
      </c>
      <c r="AC209" s="33"/>
      <c r="AD209" s="33"/>
      <c r="AE209" s="33"/>
    </row>
    <row r="210" spans="1:31">
      <c r="A210" s="20" t="s">
        <v>236</v>
      </c>
      <c r="B210" s="3" t="s">
        <v>119</v>
      </c>
      <c r="C210" s="8" t="s">
        <v>22</v>
      </c>
      <c r="D210" s="3" t="s">
        <v>23</v>
      </c>
      <c r="E210" s="23" t="s">
        <v>27</v>
      </c>
      <c r="F210" s="16" t="s">
        <v>263</v>
      </c>
      <c r="G210" s="118">
        <v>112</v>
      </c>
      <c r="H210" s="118">
        <v>26.6</v>
      </c>
      <c r="I210" s="118">
        <v>11.5</v>
      </c>
      <c r="J210" s="119" t="s">
        <v>26</v>
      </c>
      <c r="K210" s="119" t="s">
        <v>26</v>
      </c>
      <c r="L210" s="119" t="s">
        <v>26</v>
      </c>
      <c r="M210" s="118">
        <v>8.5</v>
      </c>
      <c r="N210" s="119" t="s">
        <v>26</v>
      </c>
      <c r="O210" s="118">
        <v>4.2</v>
      </c>
      <c r="P210" s="119" t="s">
        <v>26</v>
      </c>
      <c r="Q210" s="118">
        <v>12.5</v>
      </c>
      <c r="R210" s="119" t="s">
        <v>26</v>
      </c>
      <c r="S210" s="120" t="s">
        <v>26</v>
      </c>
      <c r="T210" s="121" t="s">
        <v>26</v>
      </c>
      <c r="U210" s="89">
        <v>240</v>
      </c>
      <c r="V210" s="126" t="s">
        <v>26</v>
      </c>
      <c r="AC210" s="33"/>
      <c r="AD210" s="33"/>
      <c r="AE210" s="33"/>
    </row>
    <row r="211" spans="1:31">
      <c r="A211" s="20" t="s">
        <v>236</v>
      </c>
      <c r="B211" s="3" t="s">
        <v>119</v>
      </c>
      <c r="C211" s="8" t="s">
        <v>22</v>
      </c>
      <c r="D211" s="3" t="s">
        <v>23</v>
      </c>
      <c r="E211" s="23" t="s">
        <v>29</v>
      </c>
      <c r="F211" s="16" t="s">
        <v>264</v>
      </c>
      <c r="G211" s="118">
        <v>44</v>
      </c>
      <c r="H211" s="118">
        <v>21.6</v>
      </c>
      <c r="I211" s="118">
        <v>10.8</v>
      </c>
      <c r="J211" s="118">
        <v>1.88</v>
      </c>
      <c r="K211" s="119" t="s">
        <v>26</v>
      </c>
      <c r="L211" s="119" t="s">
        <v>26</v>
      </c>
      <c r="M211" s="118">
        <v>6.5</v>
      </c>
      <c r="N211" s="119" t="s">
        <v>26</v>
      </c>
      <c r="O211" s="118">
        <v>5.9</v>
      </c>
      <c r="P211" s="119" t="s">
        <v>26</v>
      </c>
      <c r="Q211" s="119" t="s">
        <v>26</v>
      </c>
      <c r="R211" s="119" t="s">
        <v>26</v>
      </c>
      <c r="S211" s="120" t="s">
        <v>26</v>
      </c>
      <c r="T211" s="121" t="s">
        <v>26</v>
      </c>
      <c r="U211" s="89">
        <v>160</v>
      </c>
      <c r="V211" s="126" t="s">
        <v>26</v>
      </c>
      <c r="AC211" s="33"/>
      <c r="AD211" s="33"/>
      <c r="AE211" s="33"/>
    </row>
    <row r="212" spans="1:31">
      <c r="A212" s="20" t="s">
        <v>236</v>
      </c>
      <c r="B212" s="3" t="s">
        <v>119</v>
      </c>
      <c r="C212" s="8" t="s">
        <v>22</v>
      </c>
      <c r="D212" s="3" t="s">
        <v>23</v>
      </c>
      <c r="E212" s="23" t="s">
        <v>31</v>
      </c>
      <c r="F212" s="16" t="s">
        <v>265</v>
      </c>
      <c r="G212" s="118">
        <v>18</v>
      </c>
      <c r="H212" s="118">
        <v>16.5</v>
      </c>
      <c r="I212" s="119" t="s">
        <v>26</v>
      </c>
      <c r="J212" s="118">
        <v>5.68</v>
      </c>
      <c r="K212" s="119" t="s">
        <v>26</v>
      </c>
      <c r="L212" s="119" t="s">
        <v>26</v>
      </c>
      <c r="M212" s="119" t="s">
        <v>26</v>
      </c>
      <c r="N212" s="119" t="s">
        <v>26</v>
      </c>
      <c r="O212" s="118">
        <v>3.8</v>
      </c>
      <c r="P212" s="119" t="s">
        <v>26</v>
      </c>
      <c r="Q212" s="119" t="s">
        <v>26</v>
      </c>
      <c r="R212" s="119" t="s">
        <v>26</v>
      </c>
      <c r="S212" s="120" t="s">
        <v>26</v>
      </c>
      <c r="T212" s="121" t="s">
        <v>26</v>
      </c>
      <c r="U212" s="123" t="s">
        <v>26</v>
      </c>
      <c r="V212" s="126" t="s">
        <v>26</v>
      </c>
      <c r="AC212" s="33"/>
      <c r="AD212" s="33"/>
      <c r="AE212" s="33"/>
    </row>
    <row r="213" spans="1:31">
      <c r="A213" s="20" t="s">
        <v>236</v>
      </c>
      <c r="B213" s="3" t="s">
        <v>119</v>
      </c>
      <c r="C213" s="8" t="s">
        <v>22</v>
      </c>
      <c r="D213" s="3" t="s">
        <v>23</v>
      </c>
      <c r="E213" s="25" t="s">
        <v>131</v>
      </c>
      <c r="F213" s="16" t="s">
        <v>266</v>
      </c>
      <c r="G213" s="118">
        <v>5</v>
      </c>
      <c r="H213" s="118">
        <v>62.8</v>
      </c>
      <c r="I213" s="118">
        <v>35.1</v>
      </c>
      <c r="J213" s="118">
        <v>2</v>
      </c>
      <c r="K213" s="119" t="s">
        <v>26</v>
      </c>
      <c r="L213" s="119" t="s">
        <v>26</v>
      </c>
      <c r="M213" s="119" t="s">
        <v>26</v>
      </c>
      <c r="N213" s="119" t="s">
        <v>26</v>
      </c>
      <c r="O213" s="125" t="s">
        <v>26</v>
      </c>
      <c r="P213" s="119" t="s">
        <v>26</v>
      </c>
      <c r="Q213" s="119" t="s">
        <v>26</v>
      </c>
      <c r="R213" s="119" t="s">
        <v>26</v>
      </c>
      <c r="S213" s="120" t="s">
        <v>26</v>
      </c>
      <c r="T213" s="121" t="s">
        <v>26</v>
      </c>
      <c r="U213" s="123" t="s">
        <v>26</v>
      </c>
      <c r="V213" s="126" t="s">
        <v>26</v>
      </c>
      <c r="AC213" s="33"/>
      <c r="AD213" s="33"/>
      <c r="AE213" s="33"/>
    </row>
    <row r="214" spans="1:31">
      <c r="A214" s="20" t="s">
        <v>236</v>
      </c>
      <c r="B214" s="3" t="s">
        <v>179</v>
      </c>
      <c r="C214" s="8" t="s">
        <v>22</v>
      </c>
      <c r="D214" s="3" t="s">
        <v>33</v>
      </c>
      <c r="E214" s="23" t="s">
        <v>24</v>
      </c>
      <c r="F214" s="16" t="s">
        <v>267</v>
      </c>
      <c r="G214" s="118">
        <v>202</v>
      </c>
      <c r="H214" s="118">
        <v>32.5</v>
      </c>
      <c r="I214" s="119" t="s">
        <v>26</v>
      </c>
      <c r="J214" s="119" t="s">
        <v>26</v>
      </c>
      <c r="K214" s="119" t="s">
        <v>26</v>
      </c>
      <c r="L214" s="119" t="s">
        <v>26</v>
      </c>
      <c r="M214" s="118">
        <v>11.5</v>
      </c>
      <c r="N214" s="119" t="s">
        <v>26</v>
      </c>
      <c r="O214" s="118">
        <v>1.8</v>
      </c>
      <c r="P214" s="119" t="s">
        <v>26</v>
      </c>
      <c r="Q214" s="119" t="s">
        <v>26</v>
      </c>
      <c r="R214" s="119" t="s">
        <v>26</v>
      </c>
      <c r="S214" s="127">
        <v>5.5</v>
      </c>
      <c r="T214" s="121" t="s">
        <v>26</v>
      </c>
      <c r="U214" s="130">
        <v>220</v>
      </c>
      <c r="V214" s="126" t="s">
        <v>26</v>
      </c>
      <c r="AC214" s="33"/>
      <c r="AD214" s="33"/>
      <c r="AE214" s="33"/>
    </row>
    <row r="215" spans="1:31">
      <c r="A215" s="20" t="s">
        <v>236</v>
      </c>
      <c r="B215" s="3" t="s">
        <v>179</v>
      </c>
      <c r="C215" s="8" t="s">
        <v>22</v>
      </c>
      <c r="D215" s="3" t="s">
        <v>33</v>
      </c>
      <c r="E215" s="23" t="s">
        <v>27</v>
      </c>
      <c r="F215" s="16" t="s">
        <v>268</v>
      </c>
      <c r="G215" s="118">
        <v>105</v>
      </c>
      <c r="H215" s="118">
        <v>41.5</v>
      </c>
      <c r="I215" s="118">
        <v>2.9</v>
      </c>
      <c r="J215" s="119" t="s">
        <v>26</v>
      </c>
      <c r="K215" s="119" t="s">
        <v>26</v>
      </c>
      <c r="L215" s="119" t="s">
        <v>26</v>
      </c>
      <c r="M215" s="118">
        <v>18.399999999999999</v>
      </c>
      <c r="N215" s="119" t="s">
        <v>26</v>
      </c>
      <c r="O215" s="118">
        <v>2.4</v>
      </c>
      <c r="P215" s="119" t="s">
        <v>26</v>
      </c>
      <c r="Q215" s="119" t="s">
        <v>26</v>
      </c>
      <c r="R215" s="119" t="s">
        <v>26</v>
      </c>
      <c r="S215" s="127">
        <v>6.8</v>
      </c>
      <c r="T215" s="121" t="s">
        <v>26</v>
      </c>
      <c r="U215" s="122">
        <v>280</v>
      </c>
      <c r="V215" s="126" t="s">
        <v>26</v>
      </c>
      <c r="AC215" s="33"/>
      <c r="AD215" s="33"/>
      <c r="AE215" s="33"/>
    </row>
    <row r="216" spans="1:31">
      <c r="A216" s="20" t="s">
        <v>236</v>
      </c>
      <c r="B216" s="3" t="s">
        <v>179</v>
      </c>
      <c r="C216" s="8" t="s">
        <v>22</v>
      </c>
      <c r="D216" s="3" t="s">
        <v>33</v>
      </c>
      <c r="E216" s="23" t="s">
        <v>29</v>
      </c>
      <c r="F216" s="16" t="s">
        <v>269</v>
      </c>
      <c r="G216" s="118">
        <v>48</v>
      </c>
      <c r="H216" s="118">
        <v>16.8</v>
      </c>
      <c r="I216" s="118">
        <v>18.600000000000001</v>
      </c>
      <c r="J216" s="118">
        <v>2.1</v>
      </c>
      <c r="K216" s="119" t="s">
        <v>26</v>
      </c>
      <c r="L216" s="119" t="s">
        <v>26</v>
      </c>
      <c r="M216" s="118">
        <v>6.5</v>
      </c>
      <c r="N216" s="119" t="s">
        <v>26</v>
      </c>
      <c r="O216" s="118">
        <v>6.8</v>
      </c>
      <c r="P216" s="119" t="s">
        <v>26</v>
      </c>
      <c r="Q216" s="119" t="s">
        <v>26</v>
      </c>
      <c r="R216" s="119" t="s">
        <v>26</v>
      </c>
      <c r="S216" s="127">
        <v>15.2</v>
      </c>
      <c r="T216" s="121" t="s">
        <v>26</v>
      </c>
      <c r="U216" s="130">
        <v>548</v>
      </c>
      <c r="V216" s="126" t="s">
        <v>26</v>
      </c>
      <c r="AC216" s="33"/>
      <c r="AD216" s="33"/>
      <c r="AE216" s="33"/>
    </row>
    <row r="217" spans="1:31">
      <c r="A217" s="20" t="s">
        <v>236</v>
      </c>
      <c r="B217" s="3" t="s">
        <v>179</v>
      </c>
      <c r="C217" s="8" t="s">
        <v>22</v>
      </c>
      <c r="D217" s="3" t="s">
        <v>33</v>
      </c>
      <c r="E217" s="23" t="s">
        <v>31</v>
      </c>
      <c r="F217" s="16" t="s">
        <v>270</v>
      </c>
      <c r="G217" s="118">
        <v>18</v>
      </c>
      <c r="H217" s="118">
        <v>15.6</v>
      </c>
      <c r="I217" s="118">
        <v>8.1</v>
      </c>
      <c r="J217" s="118">
        <v>6.6</v>
      </c>
      <c r="K217" s="119" t="s">
        <v>26</v>
      </c>
      <c r="L217" s="119" t="s">
        <v>26</v>
      </c>
      <c r="M217" s="118">
        <v>7.8</v>
      </c>
      <c r="N217" s="119" t="s">
        <v>26</v>
      </c>
      <c r="O217" s="118">
        <v>5.2</v>
      </c>
      <c r="P217" s="119" t="s">
        <v>26</v>
      </c>
      <c r="Q217" s="119" t="s">
        <v>26</v>
      </c>
      <c r="R217" s="119" t="s">
        <v>26</v>
      </c>
      <c r="S217" s="127">
        <v>11.5</v>
      </c>
      <c r="T217" s="121" t="s">
        <v>26</v>
      </c>
      <c r="U217" s="122">
        <v>342</v>
      </c>
      <c r="V217" s="126" t="s">
        <v>26</v>
      </c>
      <c r="AC217" s="33"/>
      <c r="AD217" s="33"/>
      <c r="AE217" s="33"/>
    </row>
    <row r="218" spans="1:31">
      <c r="A218" s="18" t="s">
        <v>271</v>
      </c>
      <c r="B218" s="8" t="s">
        <v>272</v>
      </c>
      <c r="C218" s="8" t="s">
        <v>22</v>
      </c>
      <c r="D218" s="8" t="s">
        <v>109</v>
      </c>
      <c r="E218" s="23" t="s">
        <v>24</v>
      </c>
      <c r="F218" s="16" t="s">
        <v>273</v>
      </c>
      <c r="G218" s="118">
        <v>212</v>
      </c>
      <c r="H218" s="118">
        <v>18.600000000000001</v>
      </c>
      <c r="I218" s="119" t="s">
        <v>26</v>
      </c>
      <c r="J218" s="119" t="s">
        <v>26</v>
      </c>
      <c r="K218" s="119" t="s">
        <v>26</v>
      </c>
      <c r="L218" s="119" t="s">
        <v>26</v>
      </c>
      <c r="M218" s="119" t="s">
        <v>26</v>
      </c>
      <c r="N218" s="119" t="s">
        <v>26</v>
      </c>
      <c r="O218" s="118">
        <v>2.2000000000000002</v>
      </c>
      <c r="P218" s="119" t="s">
        <v>26</v>
      </c>
      <c r="Q218" s="118">
        <v>18</v>
      </c>
      <c r="R218" s="119" t="s">
        <v>26</v>
      </c>
      <c r="S218" s="120" t="s">
        <v>26</v>
      </c>
      <c r="T218" s="121" t="s">
        <v>26</v>
      </c>
      <c r="U218" s="130">
        <v>770</v>
      </c>
      <c r="V218" s="89">
        <v>814</v>
      </c>
      <c r="AC218" s="33"/>
      <c r="AD218" s="33"/>
      <c r="AE218" s="33"/>
    </row>
    <row r="219" spans="1:31">
      <c r="A219" s="18" t="s">
        <v>271</v>
      </c>
      <c r="B219" s="8" t="s">
        <v>272</v>
      </c>
      <c r="C219" s="8" t="s">
        <v>22</v>
      </c>
      <c r="D219" s="8" t="s">
        <v>109</v>
      </c>
      <c r="E219" s="23" t="s">
        <v>27</v>
      </c>
      <c r="F219" s="16" t="s">
        <v>213</v>
      </c>
      <c r="G219" s="118">
        <v>101</v>
      </c>
      <c r="H219" s="118">
        <v>84.5</v>
      </c>
      <c r="I219" s="118">
        <v>5.2</v>
      </c>
      <c r="J219" s="119" t="s">
        <v>26</v>
      </c>
      <c r="K219" s="119" t="s">
        <v>26</v>
      </c>
      <c r="L219" s="119" t="s">
        <v>26</v>
      </c>
      <c r="M219" s="119" t="s">
        <v>26</v>
      </c>
      <c r="N219" s="119" t="s">
        <v>26</v>
      </c>
      <c r="O219" s="118">
        <v>3</v>
      </c>
      <c r="P219" s="119" t="s">
        <v>26</v>
      </c>
      <c r="Q219" s="118">
        <v>9</v>
      </c>
      <c r="R219" s="119" t="s">
        <v>26</v>
      </c>
      <c r="S219" s="120" t="s">
        <v>26</v>
      </c>
      <c r="T219" s="121" t="s">
        <v>26</v>
      </c>
      <c r="U219" s="130">
        <v>40</v>
      </c>
      <c r="V219" s="89">
        <v>370</v>
      </c>
      <c r="AC219" s="33"/>
      <c r="AD219" s="33"/>
      <c r="AE219" s="33"/>
    </row>
    <row r="220" spans="1:31">
      <c r="A220" s="18" t="s">
        <v>271</v>
      </c>
      <c r="B220" s="8" t="s">
        <v>272</v>
      </c>
      <c r="C220" s="8" t="s">
        <v>22</v>
      </c>
      <c r="D220" s="8" t="s">
        <v>109</v>
      </c>
      <c r="E220" s="23" t="s">
        <v>29</v>
      </c>
      <c r="F220" s="16" t="s">
        <v>274</v>
      </c>
      <c r="G220" s="118">
        <v>40</v>
      </c>
      <c r="H220" s="118">
        <v>28.5</v>
      </c>
      <c r="I220" s="118">
        <v>6.2</v>
      </c>
      <c r="J220" s="118">
        <v>1.4</v>
      </c>
      <c r="K220" s="119" t="s">
        <v>26</v>
      </c>
      <c r="L220" s="119" t="s">
        <v>26</v>
      </c>
      <c r="M220" s="119" t="s">
        <v>26</v>
      </c>
      <c r="N220" s="119" t="s">
        <v>26</v>
      </c>
      <c r="O220" s="118">
        <v>5.8</v>
      </c>
      <c r="P220" s="119" t="s">
        <v>26</v>
      </c>
      <c r="Q220" s="119" t="s">
        <v>26</v>
      </c>
      <c r="R220" s="119" t="s">
        <v>26</v>
      </c>
      <c r="S220" s="127">
        <v>4.8</v>
      </c>
      <c r="T220" s="121" t="s">
        <v>26</v>
      </c>
      <c r="U220" s="123" t="s">
        <v>26</v>
      </c>
      <c r="V220" s="89">
        <v>540</v>
      </c>
      <c r="AC220" s="33"/>
      <c r="AD220" s="33"/>
      <c r="AE220" s="33"/>
    </row>
    <row r="221" spans="1:31">
      <c r="A221" s="18" t="s">
        <v>271</v>
      </c>
      <c r="B221" s="8" t="s">
        <v>272</v>
      </c>
      <c r="C221" s="8" t="s">
        <v>22</v>
      </c>
      <c r="D221" s="8" t="s">
        <v>109</v>
      </c>
      <c r="E221" s="23" t="s">
        <v>31</v>
      </c>
      <c r="F221" s="16" t="s">
        <v>275</v>
      </c>
      <c r="G221" s="118">
        <v>15</v>
      </c>
      <c r="H221" s="118">
        <v>16.5</v>
      </c>
      <c r="I221" s="119" t="s">
        <v>26</v>
      </c>
      <c r="J221" s="118">
        <v>3</v>
      </c>
      <c r="K221" s="119" t="s">
        <v>26</v>
      </c>
      <c r="L221" s="119" t="s">
        <v>26</v>
      </c>
      <c r="M221" s="119" t="s">
        <v>26</v>
      </c>
      <c r="N221" s="119" t="s">
        <v>26</v>
      </c>
      <c r="O221" s="118">
        <v>4.0999999999999996</v>
      </c>
      <c r="P221" s="119" t="s">
        <v>26</v>
      </c>
      <c r="Q221" s="119" t="s">
        <v>26</v>
      </c>
      <c r="R221" s="119" t="s">
        <v>26</v>
      </c>
      <c r="S221" s="120" t="s">
        <v>26</v>
      </c>
      <c r="T221" s="121" t="s">
        <v>26</v>
      </c>
      <c r="U221" s="130">
        <v>340</v>
      </c>
      <c r="V221" s="89">
        <v>231</v>
      </c>
      <c r="AC221" s="33"/>
      <c r="AD221" s="33"/>
      <c r="AE221" s="33"/>
    </row>
    <row r="222" spans="1:31">
      <c r="A222" s="18" t="s">
        <v>271</v>
      </c>
      <c r="B222" s="8" t="s">
        <v>63</v>
      </c>
      <c r="C222" s="8" t="s">
        <v>22</v>
      </c>
      <c r="D222" s="8" t="s">
        <v>109</v>
      </c>
      <c r="E222" s="23" t="s">
        <v>24</v>
      </c>
      <c r="F222" s="16" t="s">
        <v>227</v>
      </c>
      <c r="G222" s="118">
        <v>209</v>
      </c>
      <c r="H222" s="118">
        <v>21.5</v>
      </c>
      <c r="I222" s="119" t="s">
        <v>26</v>
      </c>
      <c r="J222" s="119" t="s">
        <v>26</v>
      </c>
      <c r="K222" s="119" t="s">
        <v>26</v>
      </c>
      <c r="L222" s="119" t="s">
        <v>26</v>
      </c>
      <c r="M222" s="118">
        <v>1.8</v>
      </c>
      <c r="N222" s="119" t="s">
        <v>26</v>
      </c>
      <c r="O222" s="118">
        <v>4</v>
      </c>
      <c r="P222" s="119" t="s">
        <v>26</v>
      </c>
      <c r="Q222" s="119" t="s">
        <v>26</v>
      </c>
      <c r="R222" s="119" t="s">
        <v>26</v>
      </c>
      <c r="S222" s="120" t="s">
        <v>26</v>
      </c>
      <c r="T222" s="121" t="s">
        <v>26</v>
      </c>
      <c r="U222" s="130">
        <v>812</v>
      </c>
      <c r="V222" s="126" t="s">
        <v>26</v>
      </c>
      <c r="AC222" s="33"/>
      <c r="AD222" s="33"/>
      <c r="AE222" s="33"/>
    </row>
    <row r="223" spans="1:31">
      <c r="A223" s="18" t="s">
        <v>271</v>
      </c>
      <c r="B223" s="8" t="s">
        <v>63</v>
      </c>
      <c r="C223" s="8" t="s">
        <v>22</v>
      </c>
      <c r="D223" s="8" t="s">
        <v>109</v>
      </c>
      <c r="E223" s="23" t="s">
        <v>27</v>
      </c>
      <c r="F223" s="16" t="s">
        <v>276</v>
      </c>
      <c r="G223" s="118">
        <v>102</v>
      </c>
      <c r="H223" s="118">
        <v>32.200000000000003</v>
      </c>
      <c r="I223" s="118">
        <v>8.5</v>
      </c>
      <c r="J223" s="118">
        <v>0.9</v>
      </c>
      <c r="K223" s="119" t="s">
        <v>26</v>
      </c>
      <c r="L223" s="119" t="s">
        <v>26</v>
      </c>
      <c r="M223" s="118">
        <v>3.1</v>
      </c>
      <c r="N223" s="119" t="s">
        <v>26</v>
      </c>
      <c r="O223" s="118">
        <v>6.8</v>
      </c>
      <c r="P223" s="119" t="s">
        <v>26</v>
      </c>
      <c r="Q223" s="119" t="s">
        <v>26</v>
      </c>
      <c r="R223" s="119" t="s">
        <v>26</v>
      </c>
      <c r="S223" s="120" t="s">
        <v>26</v>
      </c>
      <c r="T223" s="121" t="s">
        <v>26</v>
      </c>
      <c r="U223" s="130">
        <v>140</v>
      </c>
      <c r="V223" s="126" t="s">
        <v>26</v>
      </c>
      <c r="AC223" s="33"/>
      <c r="AD223" s="33"/>
      <c r="AE223" s="33"/>
    </row>
    <row r="224" spans="1:31">
      <c r="A224" s="18" t="s">
        <v>271</v>
      </c>
      <c r="B224" s="8" t="s">
        <v>63</v>
      </c>
      <c r="C224" s="8" t="s">
        <v>22</v>
      </c>
      <c r="D224" s="8" t="s">
        <v>109</v>
      </c>
      <c r="E224" s="23" t="s">
        <v>29</v>
      </c>
      <c r="F224" s="16" t="s">
        <v>277</v>
      </c>
      <c r="G224" s="118">
        <v>41</v>
      </c>
      <c r="H224" s="118">
        <v>32.799999999999997</v>
      </c>
      <c r="I224" s="118">
        <v>4.4000000000000004</v>
      </c>
      <c r="J224" s="118">
        <v>4.82</v>
      </c>
      <c r="K224" s="119" t="s">
        <v>26</v>
      </c>
      <c r="L224" s="119" t="s">
        <v>26</v>
      </c>
      <c r="M224" s="118">
        <v>3</v>
      </c>
      <c r="N224" s="119" t="s">
        <v>26</v>
      </c>
      <c r="O224" s="118">
        <v>3.1</v>
      </c>
      <c r="P224" s="119" t="s">
        <v>26</v>
      </c>
      <c r="Q224" s="119" t="s">
        <v>26</v>
      </c>
      <c r="R224" s="119" t="s">
        <v>26</v>
      </c>
      <c r="S224" s="120" t="s">
        <v>26</v>
      </c>
      <c r="T224" s="121" t="s">
        <v>26</v>
      </c>
      <c r="U224" s="130">
        <v>180</v>
      </c>
      <c r="V224" s="126" t="s">
        <v>26</v>
      </c>
      <c r="AC224" s="33"/>
      <c r="AD224" s="33"/>
      <c r="AE224" s="33"/>
    </row>
    <row r="225" spans="1:31">
      <c r="A225" s="18" t="s">
        <v>271</v>
      </c>
      <c r="B225" s="8" t="s">
        <v>63</v>
      </c>
      <c r="C225" s="8" t="s">
        <v>22</v>
      </c>
      <c r="D225" s="8" t="s">
        <v>109</v>
      </c>
      <c r="E225" s="23" t="s">
        <v>31</v>
      </c>
      <c r="F225" s="16" t="s">
        <v>278</v>
      </c>
      <c r="G225" s="118">
        <v>15</v>
      </c>
      <c r="H225" s="118">
        <v>22.6</v>
      </c>
      <c r="I225" s="119" t="s">
        <v>26</v>
      </c>
      <c r="J225" s="118">
        <v>22.8</v>
      </c>
      <c r="K225" s="119" t="s">
        <v>26</v>
      </c>
      <c r="L225" s="119" t="s">
        <v>26</v>
      </c>
      <c r="M225" s="119" t="s">
        <v>26</v>
      </c>
      <c r="N225" s="119" t="s">
        <v>26</v>
      </c>
      <c r="O225" s="125" t="s">
        <v>26</v>
      </c>
      <c r="P225" s="119" t="s">
        <v>26</v>
      </c>
      <c r="Q225" s="119" t="s">
        <v>26</v>
      </c>
      <c r="R225" s="119" t="s">
        <v>26</v>
      </c>
      <c r="S225" s="120" t="s">
        <v>26</v>
      </c>
      <c r="T225" s="121" t="s">
        <v>26</v>
      </c>
      <c r="U225" s="123" t="s">
        <v>26</v>
      </c>
      <c r="V225" s="126" t="s">
        <v>26</v>
      </c>
      <c r="AC225" s="33"/>
      <c r="AD225" s="33"/>
      <c r="AE225" s="33"/>
    </row>
    <row r="226" spans="1:31">
      <c r="A226" s="18" t="s">
        <v>271</v>
      </c>
      <c r="B226" s="8" t="s">
        <v>163</v>
      </c>
      <c r="C226" s="8" t="s">
        <v>22</v>
      </c>
      <c r="D226" s="3" t="s">
        <v>33</v>
      </c>
      <c r="E226" s="23" t="s">
        <v>24</v>
      </c>
      <c r="F226" s="16" t="s">
        <v>279</v>
      </c>
      <c r="G226" s="118">
        <v>192</v>
      </c>
      <c r="H226" s="118">
        <v>32.799999999999997</v>
      </c>
      <c r="I226" s="119" t="s">
        <v>26</v>
      </c>
      <c r="J226" s="119" t="s">
        <v>26</v>
      </c>
      <c r="K226" s="119" t="s">
        <v>26</v>
      </c>
      <c r="L226" s="119" t="s">
        <v>26</v>
      </c>
      <c r="M226" s="118">
        <v>5</v>
      </c>
      <c r="N226" s="119" t="s">
        <v>26</v>
      </c>
      <c r="O226" s="118">
        <v>1.8</v>
      </c>
      <c r="P226" s="119" t="s">
        <v>26</v>
      </c>
      <c r="Q226" s="119" t="s">
        <v>26</v>
      </c>
      <c r="R226" s="119" t="s">
        <v>26</v>
      </c>
      <c r="S226" s="127">
        <v>5.2</v>
      </c>
      <c r="T226" s="121" t="s">
        <v>26</v>
      </c>
      <c r="U226" s="130">
        <v>80</v>
      </c>
      <c r="V226" s="126" t="s">
        <v>26</v>
      </c>
      <c r="AC226" s="33"/>
      <c r="AD226" s="33"/>
      <c r="AE226" s="33"/>
    </row>
    <row r="227" spans="1:31">
      <c r="A227" s="18" t="s">
        <v>271</v>
      </c>
      <c r="B227" s="8" t="s">
        <v>163</v>
      </c>
      <c r="C227" s="8" t="s">
        <v>22</v>
      </c>
      <c r="D227" s="3" t="s">
        <v>33</v>
      </c>
      <c r="E227" s="23" t="s">
        <v>27</v>
      </c>
      <c r="F227" s="16" t="s">
        <v>280</v>
      </c>
      <c r="G227" s="118">
        <v>100</v>
      </c>
      <c r="H227" s="118">
        <v>41.5</v>
      </c>
      <c r="I227" s="118">
        <v>2.9</v>
      </c>
      <c r="J227" s="119" t="s">
        <v>26</v>
      </c>
      <c r="K227" s="119" t="s">
        <v>26</v>
      </c>
      <c r="L227" s="119" t="s">
        <v>26</v>
      </c>
      <c r="M227" s="118">
        <v>6</v>
      </c>
      <c r="N227" s="119" t="s">
        <v>26</v>
      </c>
      <c r="O227" s="118">
        <v>2.5</v>
      </c>
      <c r="P227" s="119" t="s">
        <v>26</v>
      </c>
      <c r="Q227" s="119" t="s">
        <v>26</v>
      </c>
      <c r="R227" s="119" t="s">
        <v>26</v>
      </c>
      <c r="S227" s="127">
        <v>6.6</v>
      </c>
      <c r="T227" s="121" t="s">
        <v>26</v>
      </c>
      <c r="U227" s="123" t="s">
        <v>26</v>
      </c>
      <c r="V227" s="126" t="s">
        <v>26</v>
      </c>
      <c r="AC227" s="33"/>
      <c r="AD227" s="33"/>
      <c r="AE227" s="33"/>
    </row>
    <row r="228" spans="1:31">
      <c r="A228" s="18" t="s">
        <v>271</v>
      </c>
      <c r="B228" s="8" t="s">
        <v>163</v>
      </c>
      <c r="C228" s="8" t="s">
        <v>22</v>
      </c>
      <c r="D228" s="3" t="s">
        <v>33</v>
      </c>
      <c r="E228" s="23" t="s">
        <v>29</v>
      </c>
      <c r="F228" s="16" t="s">
        <v>1476</v>
      </c>
      <c r="G228" s="118">
        <v>49</v>
      </c>
      <c r="H228" s="118">
        <v>4.5</v>
      </c>
      <c r="I228" s="118">
        <v>18.600000000000001</v>
      </c>
      <c r="J228" s="118">
        <v>1.88</v>
      </c>
      <c r="K228" s="119" t="s">
        <v>26</v>
      </c>
      <c r="L228" s="119" t="s">
        <v>26</v>
      </c>
      <c r="M228" s="118">
        <v>5.5</v>
      </c>
      <c r="N228" s="119" t="s">
        <v>26</v>
      </c>
      <c r="O228" s="118">
        <v>3.6</v>
      </c>
      <c r="P228" s="119" t="s">
        <v>26</v>
      </c>
      <c r="Q228" s="119" t="s">
        <v>26</v>
      </c>
      <c r="R228" s="119" t="s">
        <v>26</v>
      </c>
      <c r="S228" s="127">
        <v>14.4</v>
      </c>
      <c r="T228" s="121" t="s">
        <v>26</v>
      </c>
      <c r="U228" s="123" t="s">
        <v>26</v>
      </c>
      <c r="V228" s="126" t="s">
        <v>26</v>
      </c>
      <c r="AC228" s="33"/>
      <c r="AD228" s="33"/>
      <c r="AE228" s="33"/>
    </row>
    <row r="229" spans="1:31">
      <c r="A229" s="18" t="s">
        <v>271</v>
      </c>
      <c r="B229" s="8" t="s">
        <v>163</v>
      </c>
      <c r="C229" s="8" t="s">
        <v>22</v>
      </c>
      <c r="D229" s="3" t="s">
        <v>33</v>
      </c>
      <c r="E229" s="23" t="s">
        <v>31</v>
      </c>
      <c r="F229" s="16" t="s">
        <v>281</v>
      </c>
      <c r="G229" s="118">
        <v>18</v>
      </c>
      <c r="H229" s="119" t="s">
        <v>26</v>
      </c>
      <c r="I229" s="118">
        <v>7.7</v>
      </c>
      <c r="J229" s="118">
        <v>3.94</v>
      </c>
      <c r="K229" s="119" t="s">
        <v>26</v>
      </c>
      <c r="L229" s="119" t="s">
        <v>26</v>
      </c>
      <c r="M229" s="119" t="s">
        <v>26</v>
      </c>
      <c r="N229" s="119" t="s">
        <v>26</v>
      </c>
      <c r="O229" s="118">
        <v>3.1</v>
      </c>
      <c r="P229" s="119" t="s">
        <v>26</v>
      </c>
      <c r="Q229" s="119" t="s">
        <v>26</v>
      </c>
      <c r="R229" s="119" t="s">
        <v>26</v>
      </c>
      <c r="S229" s="127">
        <v>21.5</v>
      </c>
      <c r="T229" s="121" t="s">
        <v>26</v>
      </c>
      <c r="U229" s="130">
        <v>1010</v>
      </c>
      <c r="V229" s="126" t="s">
        <v>26</v>
      </c>
      <c r="AC229" s="33"/>
      <c r="AD229" s="33"/>
      <c r="AE229" s="33"/>
    </row>
    <row r="230" spans="1:31">
      <c r="A230" s="18" t="s">
        <v>271</v>
      </c>
      <c r="B230" s="8" t="s">
        <v>155</v>
      </c>
      <c r="C230" s="8" t="s">
        <v>22</v>
      </c>
      <c r="D230" s="3" t="s">
        <v>23</v>
      </c>
      <c r="E230" s="23" t="s">
        <v>24</v>
      </c>
      <c r="F230" s="16" t="s">
        <v>282</v>
      </c>
      <c r="G230" s="118">
        <v>228</v>
      </c>
      <c r="H230" s="118">
        <v>15.2</v>
      </c>
      <c r="I230" s="119" t="s">
        <v>26</v>
      </c>
      <c r="J230" s="119" t="s">
        <v>26</v>
      </c>
      <c r="K230" s="119" t="s">
        <v>26</v>
      </c>
      <c r="L230" s="119" t="s">
        <v>26</v>
      </c>
      <c r="M230" s="118">
        <v>10.8</v>
      </c>
      <c r="N230" s="119" t="s">
        <v>26</v>
      </c>
      <c r="O230" s="118">
        <v>2.5</v>
      </c>
      <c r="P230" s="119" t="s">
        <v>26</v>
      </c>
      <c r="Q230" s="119" t="s">
        <v>26</v>
      </c>
      <c r="R230" s="119" t="s">
        <v>26</v>
      </c>
      <c r="S230" s="120" t="s">
        <v>26</v>
      </c>
      <c r="T230" s="121" t="s">
        <v>26</v>
      </c>
      <c r="U230" s="123" t="s">
        <v>26</v>
      </c>
      <c r="V230" s="126" t="s">
        <v>26</v>
      </c>
      <c r="AC230" s="33"/>
      <c r="AD230" s="33"/>
      <c r="AE230" s="33"/>
    </row>
    <row r="231" spans="1:31">
      <c r="A231" s="18" t="s">
        <v>271</v>
      </c>
      <c r="B231" s="8" t="s">
        <v>155</v>
      </c>
      <c r="C231" s="8" t="s">
        <v>22</v>
      </c>
      <c r="D231" s="3" t="s">
        <v>23</v>
      </c>
      <c r="E231" s="23" t="s">
        <v>27</v>
      </c>
      <c r="F231" s="16" t="s">
        <v>283</v>
      </c>
      <c r="G231" s="118">
        <v>109</v>
      </c>
      <c r="H231" s="118">
        <v>22.5</v>
      </c>
      <c r="I231" s="118">
        <v>10.8</v>
      </c>
      <c r="J231" s="119" t="s">
        <v>26</v>
      </c>
      <c r="K231" s="119" t="s">
        <v>26</v>
      </c>
      <c r="L231" s="119" t="s">
        <v>26</v>
      </c>
      <c r="M231" s="118">
        <v>11.2</v>
      </c>
      <c r="N231" s="119" t="s">
        <v>26</v>
      </c>
      <c r="O231" s="118">
        <v>3.2</v>
      </c>
      <c r="P231" s="119" t="s">
        <v>26</v>
      </c>
      <c r="Q231" s="119" t="s">
        <v>26</v>
      </c>
      <c r="R231" s="119" t="s">
        <v>26</v>
      </c>
      <c r="S231" s="120" t="s">
        <v>26</v>
      </c>
      <c r="T231" s="121" t="s">
        <v>26</v>
      </c>
      <c r="U231" s="89">
        <v>80</v>
      </c>
      <c r="V231" s="126" t="s">
        <v>26</v>
      </c>
      <c r="AC231" s="33"/>
      <c r="AD231" s="33"/>
      <c r="AE231" s="33"/>
    </row>
    <row r="232" spans="1:31">
      <c r="A232" s="18" t="s">
        <v>271</v>
      </c>
      <c r="B232" s="8" t="s">
        <v>155</v>
      </c>
      <c r="C232" s="8" t="s">
        <v>22</v>
      </c>
      <c r="D232" s="3" t="s">
        <v>23</v>
      </c>
      <c r="E232" s="23" t="s">
        <v>29</v>
      </c>
      <c r="F232" s="16" t="s">
        <v>284</v>
      </c>
      <c r="G232" s="118">
        <v>47</v>
      </c>
      <c r="H232" s="118">
        <v>17.600000000000001</v>
      </c>
      <c r="I232" s="118">
        <v>15.2</v>
      </c>
      <c r="J232" s="118">
        <v>1.22</v>
      </c>
      <c r="K232" s="119" t="s">
        <v>26</v>
      </c>
      <c r="L232" s="119" t="s">
        <v>26</v>
      </c>
      <c r="M232" s="118">
        <v>7.4</v>
      </c>
      <c r="N232" s="119" t="s">
        <v>26</v>
      </c>
      <c r="O232" s="118">
        <v>6.8</v>
      </c>
      <c r="P232" s="119" t="s">
        <v>26</v>
      </c>
      <c r="Q232" s="119" t="s">
        <v>26</v>
      </c>
      <c r="R232" s="119" t="s">
        <v>26</v>
      </c>
      <c r="S232" s="120" t="s">
        <v>26</v>
      </c>
      <c r="T232" s="121" t="s">
        <v>26</v>
      </c>
      <c r="U232" s="89">
        <v>814</v>
      </c>
      <c r="V232" s="126" t="s">
        <v>26</v>
      </c>
      <c r="AC232" s="33"/>
      <c r="AD232" s="33"/>
      <c r="AE232" s="33"/>
    </row>
    <row r="233" spans="1:31">
      <c r="A233" s="18" t="s">
        <v>271</v>
      </c>
      <c r="B233" s="8" t="s">
        <v>155</v>
      </c>
      <c r="C233" s="8" t="s">
        <v>22</v>
      </c>
      <c r="D233" s="3" t="s">
        <v>23</v>
      </c>
      <c r="E233" s="23" t="s">
        <v>31</v>
      </c>
      <c r="F233" s="16" t="s">
        <v>285</v>
      </c>
      <c r="G233" s="118">
        <v>17</v>
      </c>
      <c r="H233" s="119" t="s">
        <v>26</v>
      </c>
      <c r="I233" s="118">
        <v>12.5</v>
      </c>
      <c r="J233" s="118">
        <v>4.5</v>
      </c>
      <c r="K233" s="119" t="s">
        <v>26</v>
      </c>
      <c r="L233" s="119" t="s">
        <v>26</v>
      </c>
      <c r="M233" s="119" t="s">
        <v>26</v>
      </c>
      <c r="N233" s="119" t="s">
        <v>26</v>
      </c>
      <c r="O233" s="118">
        <v>3.8</v>
      </c>
      <c r="P233" s="119" t="s">
        <v>26</v>
      </c>
      <c r="Q233" s="119" t="s">
        <v>26</v>
      </c>
      <c r="R233" s="119" t="s">
        <v>26</v>
      </c>
      <c r="S233" s="120" t="s">
        <v>26</v>
      </c>
      <c r="T233" s="121" t="s">
        <v>26</v>
      </c>
      <c r="U233" s="89">
        <v>120</v>
      </c>
      <c r="V233" s="126" t="s">
        <v>26</v>
      </c>
      <c r="AC233" s="33"/>
      <c r="AD233" s="33"/>
      <c r="AE233" s="33"/>
    </row>
    <row r="234" spans="1:31">
      <c r="A234" s="18" t="s">
        <v>271</v>
      </c>
      <c r="B234" s="8" t="s">
        <v>155</v>
      </c>
      <c r="C234" s="8" t="s">
        <v>22</v>
      </c>
      <c r="D234" s="3" t="s">
        <v>23</v>
      </c>
      <c r="E234" s="25" t="s">
        <v>131</v>
      </c>
      <c r="F234" s="16" t="s">
        <v>286</v>
      </c>
      <c r="G234" s="118">
        <v>7</v>
      </c>
      <c r="H234" s="118">
        <v>68.5</v>
      </c>
      <c r="I234" s="118">
        <v>22.6</v>
      </c>
      <c r="J234" s="118">
        <v>8.8000000000000007</v>
      </c>
      <c r="K234" s="119" t="s">
        <v>26</v>
      </c>
      <c r="L234" s="119" t="s">
        <v>26</v>
      </c>
      <c r="M234" s="119" t="s">
        <v>26</v>
      </c>
      <c r="N234" s="119" t="s">
        <v>26</v>
      </c>
      <c r="O234" s="125" t="s">
        <v>26</v>
      </c>
      <c r="P234" s="119" t="s">
        <v>26</v>
      </c>
      <c r="Q234" s="119" t="s">
        <v>26</v>
      </c>
      <c r="R234" s="119" t="s">
        <v>26</v>
      </c>
      <c r="S234" s="120" t="s">
        <v>26</v>
      </c>
      <c r="T234" s="121" t="s">
        <v>26</v>
      </c>
      <c r="U234" s="123" t="s">
        <v>26</v>
      </c>
      <c r="V234" s="126" t="s">
        <v>26</v>
      </c>
      <c r="AC234" s="33"/>
      <c r="AD234" s="33"/>
      <c r="AE234" s="33"/>
    </row>
    <row r="235" spans="1:31">
      <c r="A235" s="18" t="s">
        <v>271</v>
      </c>
      <c r="B235" s="8" t="s">
        <v>59</v>
      </c>
      <c r="C235" s="8" t="s">
        <v>22</v>
      </c>
      <c r="D235" s="8" t="s">
        <v>54</v>
      </c>
      <c r="E235" s="23" t="s">
        <v>27</v>
      </c>
      <c r="F235" s="16" t="s">
        <v>287</v>
      </c>
      <c r="G235" s="118">
        <v>110</v>
      </c>
      <c r="H235" s="118">
        <v>23.4</v>
      </c>
      <c r="I235" s="118">
        <v>18.7</v>
      </c>
      <c r="J235" s="118">
        <v>0.7</v>
      </c>
      <c r="K235" s="119" t="s">
        <v>26</v>
      </c>
      <c r="L235" s="119" t="s">
        <v>26</v>
      </c>
      <c r="M235" s="119" t="s">
        <v>26</v>
      </c>
      <c r="N235" s="119" t="s">
        <v>26</v>
      </c>
      <c r="O235" s="118">
        <v>5.0999999999999996</v>
      </c>
      <c r="P235" s="118">
        <v>1.7</v>
      </c>
      <c r="Q235" s="118">
        <v>2.7</v>
      </c>
      <c r="R235" s="118">
        <v>1.8</v>
      </c>
      <c r="S235" s="127">
        <v>3.4</v>
      </c>
      <c r="T235" s="121" t="s">
        <v>26</v>
      </c>
      <c r="U235" s="122">
        <v>597</v>
      </c>
      <c r="V235" s="126" t="s">
        <v>26</v>
      </c>
      <c r="AC235" s="33"/>
      <c r="AD235" s="33"/>
      <c r="AE235" s="33"/>
    </row>
    <row r="236" spans="1:31">
      <c r="A236" s="18" t="s">
        <v>271</v>
      </c>
      <c r="B236" s="8" t="s">
        <v>59</v>
      </c>
      <c r="C236" s="8" t="s">
        <v>22</v>
      </c>
      <c r="D236" s="8" t="s">
        <v>54</v>
      </c>
      <c r="E236" s="23" t="s">
        <v>29</v>
      </c>
      <c r="F236" s="16" t="s">
        <v>288</v>
      </c>
      <c r="G236" s="118">
        <v>38</v>
      </c>
      <c r="H236" s="118">
        <v>14.6</v>
      </c>
      <c r="I236" s="118">
        <v>15.7</v>
      </c>
      <c r="J236" s="118">
        <v>6.7</v>
      </c>
      <c r="K236" s="119" t="s">
        <v>26</v>
      </c>
      <c r="L236" s="119" t="s">
        <v>26</v>
      </c>
      <c r="M236" s="119" t="s">
        <v>26</v>
      </c>
      <c r="N236" s="119" t="s">
        <v>26</v>
      </c>
      <c r="O236" s="118">
        <v>5.2</v>
      </c>
      <c r="P236" s="119" t="s">
        <v>26</v>
      </c>
      <c r="Q236" s="118">
        <v>2.1</v>
      </c>
      <c r="R236" s="118">
        <v>1.9</v>
      </c>
      <c r="S236" s="127">
        <v>4.7</v>
      </c>
      <c r="T236" s="121" t="s">
        <v>26</v>
      </c>
      <c r="U236" s="133">
        <v>4112</v>
      </c>
      <c r="V236" s="126" t="s">
        <v>26</v>
      </c>
      <c r="AC236" s="33"/>
      <c r="AD236" s="33"/>
      <c r="AE236" s="33"/>
    </row>
    <row r="237" spans="1:31">
      <c r="A237" s="18" t="s">
        <v>271</v>
      </c>
      <c r="B237" s="8" t="s">
        <v>59</v>
      </c>
      <c r="C237" s="8" t="s">
        <v>22</v>
      </c>
      <c r="D237" s="8" t="s">
        <v>54</v>
      </c>
      <c r="E237" s="23" t="s">
        <v>31</v>
      </c>
      <c r="F237" s="16" t="s">
        <v>289</v>
      </c>
      <c r="G237" s="118">
        <v>15</v>
      </c>
      <c r="H237" s="119" t="s">
        <v>26</v>
      </c>
      <c r="I237" s="118">
        <v>5.0999999999999996</v>
      </c>
      <c r="J237" s="118">
        <v>5.5</v>
      </c>
      <c r="K237" s="119" t="s">
        <v>26</v>
      </c>
      <c r="L237" s="119" t="s">
        <v>26</v>
      </c>
      <c r="M237" s="119" t="s">
        <v>26</v>
      </c>
      <c r="N237" s="119" t="s">
        <v>26</v>
      </c>
      <c r="O237" s="118">
        <v>5.2</v>
      </c>
      <c r="P237" s="119" t="s">
        <v>26</v>
      </c>
      <c r="Q237" s="119" t="s">
        <v>26</v>
      </c>
      <c r="R237" s="119" t="s">
        <v>26</v>
      </c>
      <c r="S237" s="127">
        <v>4.7</v>
      </c>
      <c r="T237" s="121" t="s">
        <v>26</v>
      </c>
      <c r="U237" s="133">
        <v>380</v>
      </c>
      <c r="V237" s="126" t="s">
        <v>26</v>
      </c>
      <c r="AC237" s="33"/>
      <c r="AD237" s="33"/>
      <c r="AE237" s="33"/>
    </row>
    <row r="238" spans="1:31">
      <c r="A238" s="18" t="s">
        <v>271</v>
      </c>
      <c r="B238" s="8" t="s">
        <v>39</v>
      </c>
      <c r="C238" s="8" t="s">
        <v>22</v>
      </c>
      <c r="D238" s="3" t="s">
        <v>33</v>
      </c>
      <c r="E238" s="25" t="s">
        <v>71</v>
      </c>
      <c r="F238" s="16" t="s">
        <v>290</v>
      </c>
      <c r="G238" s="118">
        <v>115</v>
      </c>
      <c r="H238" s="118">
        <v>4.5999999999999996</v>
      </c>
      <c r="I238" s="118">
        <v>15.4</v>
      </c>
      <c r="J238" s="119" t="s">
        <v>26</v>
      </c>
      <c r="K238" s="119" t="s">
        <v>26</v>
      </c>
      <c r="L238" s="119" t="s">
        <v>26</v>
      </c>
      <c r="M238" s="119" t="s">
        <v>26</v>
      </c>
      <c r="N238" s="119" t="s">
        <v>26</v>
      </c>
      <c r="O238" s="118">
        <v>3.7</v>
      </c>
      <c r="P238" s="118">
        <v>1.3</v>
      </c>
      <c r="Q238" s="118">
        <v>8.6999999999999993</v>
      </c>
      <c r="R238" s="118">
        <v>1.4</v>
      </c>
      <c r="S238" s="127">
        <v>3.4</v>
      </c>
      <c r="T238" s="121" t="s">
        <v>26</v>
      </c>
      <c r="U238" s="122">
        <v>2010</v>
      </c>
      <c r="V238" s="89">
        <v>245</v>
      </c>
      <c r="AC238" s="33"/>
      <c r="AD238" s="33"/>
      <c r="AE238" s="33"/>
    </row>
    <row r="239" spans="1:31">
      <c r="A239" s="18" t="s">
        <v>271</v>
      </c>
      <c r="B239" s="8" t="s">
        <v>39</v>
      </c>
      <c r="C239" s="8" t="s">
        <v>22</v>
      </c>
      <c r="D239" s="3" t="s">
        <v>33</v>
      </c>
      <c r="E239" s="23" t="s">
        <v>29</v>
      </c>
      <c r="F239" s="16" t="s">
        <v>291</v>
      </c>
      <c r="G239" s="118">
        <v>55</v>
      </c>
      <c r="H239" s="118">
        <v>9.6</v>
      </c>
      <c r="I239" s="118">
        <v>12.7</v>
      </c>
      <c r="J239" s="119" t="s">
        <v>26</v>
      </c>
      <c r="K239" s="119" t="s">
        <v>26</v>
      </c>
      <c r="L239" s="119" t="s">
        <v>26</v>
      </c>
      <c r="M239" s="119" t="s">
        <v>26</v>
      </c>
      <c r="N239" s="119" t="s">
        <v>26</v>
      </c>
      <c r="O239" s="118">
        <v>5.7</v>
      </c>
      <c r="P239" s="119" t="s">
        <v>26</v>
      </c>
      <c r="Q239" s="118">
        <v>7.2</v>
      </c>
      <c r="R239" s="119" t="s">
        <v>26</v>
      </c>
      <c r="S239" s="127">
        <v>5.2</v>
      </c>
      <c r="T239" s="121" t="s">
        <v>26</v>
      </c>
      <c r="U239" s="130">
        <v>3160</v>
      </c>
      <c r="V239" s="126" t="s">
        <v>26</v>
      </c>
      <c r="AC239" s="33"/>
      <c r="AD239" s="33"/>
      <c r="AE239" s="33"/>
    </row>
    <row r="240" spans="1:31">
      <c r="A240" s="18" t="s">
        <v>271</v>
      </c>
      <c r="B240" s="8" t="s">
        <v>39</v>
      </c>
      <c r="C240" s="8" t="s">
        <v>22</v>
      </c>
      <c r="D240" s="3" t="s">
        <v>33</v>
      </c>
      <c r="E240" s="23" t="s">
        <v>31</v>
      </c>
      <c r="F240" s="16" t="s">
        <v>292</v>
      </c>
      <c r="G240" s="118">
        <v>19</v>
      </c>
      <c r="H240" s="119" t="s">
        <v>26</v>
      </c>
      <c r="I240" s="118">
        <v>11.5</v>
      </c>
      <c r="J240" s="118">
        <v>3</v>
      </c>
      <c r="K240" s="119" t="s">
        <v>26</v>
      </c>
      <c r="L240" s="119" t="s">
        <v>26</v>
      </c>
      <c r="M240" s="119" t="s">
        <v>26</v>
      </c>
      <c r="N240" s="119" t="s">
        <v>26</v>
      </c>
      <c r="O240" s="118">
        <v>5.0999999999999996</v>
      </c>
      <c r="P240" s="118">
        <v>1.9</v>
      </c>
      <c r="Q240" s="118">
        <v>3.9</v>
      </c>
      <c r="R240" s="119" t="s">
        <v>26</v>
      </c>
      <c r="S240" s="127">
        <v>5.2</v>
      </c>
      <c r="T240" s="121" t="s">
        <v>26</v>
      </c>
      <c r="U240" s="123" t="s">
        <v>26</v>
      </c>
      <c r="V240" s="126" t="s">
        <v>26</v>
      </c>
      <c r="AC240" s="33"/>
      <c r="AD240" s="33"/>
      <c r="AE240" s="33"/>
    </row>
    <row r="241" spans="1:31">
      <c r="A241" s="18" t="s">
        <v>271</v>
      </c>
      <c r="B241" s="8" t="s">
        <v>211</v>
      </c>
      <c r="C241" s="8" t="s">
        <v>22</v>
      </c>
      <c r="D241" s="3" t="s">
        <v>33</v>
      </c>
      <c r="E241" s="23" t="s">
        <v>27</v>
      </c>
      <c r="F241" s="16" t="s">
        <v>293</v>
      </c>
      <c r="G241" s="118">
        <v>145</v>
      </c>
      <c r="H241" s="118">
        <v>10.4</v>
      </c>
      <c r="I241" s="118">
        <v>16.2</v>
      </c>
      <c r="J241" s="119" t="s">
        <v>26</v>
      </c>
      <c r="K241" s="119" t="s">
        <v>26</v>
      </c>
      <c r="L241" s="119" t="s">
        <v>26</v>
      </c>
      <c r="M241" s="119" t="s">
        <v>26</v>
      </c>
      <c r="N241" s="119" t="s">
        <v>26</v>
      </c>
      <c r="O241" s="118">
        <v>4.7</v>
      </c>
      <c r="P241" s="118">
        <v>1.3</v>
      </c>
      <c r="Q241" s="119" t="s">
        <v>26</v>
      </c>
      <c r="R241" s="118">
        <v>1.2</v>
      </c>
      <c r="S241" s="127">
        <v>3.1</v>
      </c>
      <c r="T241" s="121" t="s">
        <v>26</v>
      </c>
      <c r="U241" s="130">
        <v>20</v>
      </c>
      <c r="V241" s="126" t="s">
        <v>26</v>
      </c>
      <c r="AC241" s="33"/>
      <c r="AD241" s="33"/>
      <c r="AE241" s="33"/>
    </row>
    <row r="242" spans="1:31">
      <c r="A242" s="18" t="s">
        <v>271</v>
      </c>
      <c r="B242" s="8" t="s">
        <v>211</v>
      </c>
      <c r="C242" s="8" t="s">
        <v>22</v>
      </c>
      <c r="D242" s="3" t="s">
        <v>33</v>
      </c>
      <c r="E242" s="23" t="s">
        <v>29</v>
      </c>
      <c r="F242" s="16" t="s">
        <v>294</v>
      </c>
      <c r="G242" s="118">
        <v>51</v>
      </c>
      <c r="H242" s="118">
        <v>5.4</v>
      </c>
      <c r="I242" s="118">
        <v>21.8</v>
      </c>
      <c r="J242" s="118">
        <v>1.2</v>
      </c>
      <c r="K242" s="119" t="s">
        <v>26</v>
      </c>
      <c r="L242" s="119" t="s">
        <v>26</v>
      </c>
      <c r="M242" s="119" t="s">
        <v>26</v>
      </c>
      <c r="N242" s="119" t="s">
        <v>26</v>
      </c>
      <c r="O242" s="118">
        <v>5.5</v>
      </c>
      <c r="P242" s="118">
        <v>1.4</v>
      </c>
      <c r="Q242" s="119" t="s">
        <v>26</v>
      </c>
      <c r="R242" s="118">
        <v>1.8</v>
      </c>
      <c r="S242" s="127">
        <v>4.5</v>
      </c>
      <c r="T242" s="121" t="s">
        <v>26</v>
      </c>
      <c r="U242" s="130">
        <v>54</v>
      </c>
      <c r="V242" s="126" t="s">
        <v>26</v>
      </c>
      <c r="AC242" s="33"/>
      <c r="AD242" s="33"/>
      <c r="AE242" s="33"/>
    </row>
    <row r="243" spans="1:31">
      <c r="A243" s="18" t="s">
        <v>271</v>
      </c>
      <c r="B243" s="8" t="s">
        <v>211</v>
      </c>
      <c r="C243" s="8" t="s">
        <v>22</v>
      </c>
      <c r="D243" s="3" t="s">
        <v>33</v>
      </c>
      <c r="E243" s="23" t="s">
        <v>31</v>
      </c>
      <c r="F243" s="16" t="s">
        <v>295</v>
      </c>
      <c r="G243" s="118">
        <v>17</v>
      </c>
      <c r="H243" s="118">
        <v>7.8</v>
      </c>
      <c r="I243" s="118">
        <v>11.4</v>
      </c>
      <c r="J243" s="118">
        <v>3.8</v>
      </c>
      <c r="K243" s="119" t="s">
        <v>26</v>
      </c>
      <c r="L243" s="119" t="s">
        <v>26</v>
      </c>
      <c r="M243" s="119" t="s">
        <v>26</v>
      </c>
      <c r="N243" s="119" t="s">
        <v>26</v>
      </c>
      <c r="O243" s="118">
        <v>6.1</v>
      </c>
      <c r="P243" s="118">
        <v>2.8</v>
      </c>
      <c r="Q243" s="119" t="s">
        <v>26</v>
      </c>
      <c r="R243" s="119" t="s">
        <v>26</v>
      </c>
      <c r="S243" s="127">
        <v>3.8</v>
      </c>
      <c r="T243" s="121" t="s">
        <v>26</v>
      </c>
      <c r="U243" s="123" t="s">
        <v>26</v>
      </c>
      <c r="V243" s="126" t="s">
        <v>26</v>
      </c>
      <c r="AC243" s="33"/>
      <c r="AD243" s="33"/>
      <c r="AE243" s="33"/>
    </row>
    <row r="244" spans="1:31">
      <c r="A244" s="18" t="s">
        <v>271</v>
      </c>
      <c r="B244" s="8" t="s">
        <v>83</v>
      </c>
      <c r="C244" s="8" t="s">
        <v>22</v>
      </c>
      <c r="D244" s="3" t="s">
        <v>23</v>
      </c>
      <c r="E244" s="23" t="s">
        <v>24</v>
      </c>
      <c r="F244" s="16" t="s">
        <v>296</v>
      </c>
      <c r="G244" s="118">
        <v>241</v>
      </c>
      <c r="H244" s="118">
        <v>8.6</v>
      </c>
      <c r="I244" s="119" t="s">
        <v>26</v>
      </c>
      <c r="J244" s="119" t="s">
        <v>26</v>
      </c>
      <c r="K244" s="119" t="s">
        <v>26</v>
      </c>
      <c r="L244" s="119" t="s">
        <v>26</v>
      </c>
      <c r="M244" s="118">
        <v>1.1000000000000001</v>
      </c>
      <c r="N244" s="119" t="s">
        <v>26</v>
      </c>
      <c r="O244" s="118">
        <v>2.5</v>
      </c>
      <c r="P244" s="119" t="s">
        <v>26</v>
      </c>
      <c r="Q244" s="118">
        <v>3.5</v>
      </c>
      <c r="R244" s="119" t="s">
        <v>26</v>
      </c>
      <c r="S244" s="120" t="s">
        <v>26</v>
      </c>
      <c r="T244" s="121" t="s">
        <v>26</v>
      </c>
      <c r="U244" s="89">
        <v>20</v>
      </c>
      <c r="V244" s="126" t="s">
        <v>26</v>
      </c>
      <c r="AC244" s="33"/>
      <c r="AD244" s="33"/>
      <c r="AE244" s="33"/>
    </row>
    <row r="245" spans="1:31">
      <c r="A245" s="18" t="s">
        <v>271</v>
      </c>
      <c r="B245" s="8" t="s">
        <v>83</v>
      </c>
      <c r="C245" s="8" t="s">
        <v>22</v>
      </c>
      <c r="D245" s="3" t="s">
        <v>23</v>
      </c>
      <c r="E245" s="23" t="s">
        <v>27</v>
      </c>
      <c r="F245" s="16" t="s">
        <v>297</v>
      </c>
      <c r="G245" s="118">
        <v>110</v>
      </c>
      <c r="H245" s="118">
        <v>18.600000000000001</v>
      </c>
      <c r="I245" s="118">
        <v>10.199999999999999</v>
      </c>
      <c r="J245" s="119" t="s">
        <v>26</v>
      </c>
      <c r="K245" s="119" t="s">
        <v>26</v>
      </c>
      <c r="L245" s="119" t="s">
        <v>26</v>
      </c>
      <c r="M245" s="118">
        <v>1.8</v>
      </c>
      <c r="N245" s="119" t="s">
        <v>26</v>
      </c>
      <c r="O245" s="118">
        <v>3.8</v>
      </c>
      <c r="P245" s="119" t="s">
        <v>26</v>
      </c>
      <c r="Q245" s="118">
        <v>2.8</v>
      </c>
      <c r="R245" s="119" t="s">
        <v>26</v>
      </c>
      <c r="S245" s="120" t="s">
        <v>26</v>
      </c>
      <c r="T245" s="121" t="s">
        <v>26</v>
      </c>
      <c r="U245" s="123" t="s">
        <v>26</v>
      </c>
      <c r="V245" s="126" t="s">
        <v>26</v>
      </c>
      <c r="AC245" s="33"/>
      <c r="AD245" s="33"/>
      <c r="AE245" s="33"/>
    </row>
    <row r="246" spans="1:31">
      <c r="A246" s="18" t="s">
        <v>271</v>
      </c>
      <c r="B246" s="8" t="s">
        <v>83</v>
      </c>
      <c r="C246" s="8" t="s">
        <v>22</v>
      </c>
      <c r="D246" s="3" t="s">
        <v>23</v>
      </c>
      <c r="E246" s="23" t="s">
        <v>29</v>
      </c>
      <c r="F246" s="16" t="s">
        <v>298</v>
      </c>
      <c r="G246" s="118">
        <v>48</v>
      </c>
      <c r="H246" s="118">
        <v>5.6</v>
      </c>
      <c r="I246" s="118">
        <v>18.2</v>
      </c>
      <c r="J246" s="118">
        <v>2.36</v>
      </c>
      <c r="K246" s="119" t="s">
        <v>26</v>
      </c>
      <c r="L246" s="119" t="s">
        <v>26</v>
      </c>
      <c r="M246" s="119" t="s">
        <v>26</v>
      </c>
      <c r="N246" s="119" t="s">
        <v>26</v>
      </c>
      <c r="O246" s="118">
        <v>6.9</v>
      </c>
      <c r="P246" s="119" t="s">
        <v>26</v>
      </c>
      <c r="Q246" s="119" t="s">
        <v>26</v>
      </c>
      <c r="R246" s="119" t="s">
        <v>26</v>
      </c>
      <c r="S246" s="120" t="s">
        <v>26</v>
      </c>
      <c r="T246" s="121" t="s">
        <v>26</v>
      </c>
      <c r="U246" s="123" t="s">
        <v>26</v>
      </c>
      <c r="V246" s="126" t="s">
        <v>26</v>
      </c>
      <c r="AC246" s="33"/>
      <c r="AD246" s="33"/>
      <c r="AE246" s="33"/>
    </row>
    <row r="247" spans="1:31">
      <c r="A247" s="18" t="s">
        <v>271</v>
      </c>
      <c r="B247" s="8" t="s">
        <v>83</v>
      </c>
      <c r="C247" s="8" t="s">
        <v>22</v>
      </c>
      <c r="D247" s="3" t="s">
        <v>23</v>
      </c>
      <c r="E247" s="23" t="s">
        <v>31</v>
      </c>
      <c r="F247" s="16" t="s">
        <v>299</v>
      </c>
      <c r="G247" s="118">
        <v>18</v>
      </c>
      <c r="H247" s="119" t="s">
        <v>26</v>
      </c>
      <c r="I247" s="118">
        <v>7.2</v>
      </c>
      <c r="J247" s="118">
        <v>5.92</v>
      </c>
      <c r="K247" s="119" t="s">
        <v>26</v>
      </c>
      <c r="L247" s="119" t="s">
        <v>26</v>
      </c>
      <c r="M247" s="119" t="s">
        <v>26</v>
      </c>
      <c r="N247" s="119" t="s">
        <v>26</v>
      </c>
      <c r="O247" s="118">
        <v>5.2</v>
      </c>
      <c r="P247" s="119" t="s">
        <v>26</v>
      </c>
      <c r="Q247" s="119" t="s">
        <v>26</v>
      </c>
      <c r="R247" s="119" t="s">
        <v>26</v>
      </c>
      <c r="S247" s="120" t="s">
        <v>26</v>
      </c>
      <c r="T247" s="121" t="s">
        <v>26</v>
      </c>
      <c r="U247" s="89">
        <v>874</v>
      </c>
      <c r="V247" s="126" t="s">
        <v>26</v>
      </c>
      <c r="AC247" s="33"/>
      <c r="AD247" s="33"/>
      <c r="AE247" s="33"/>
    </row>
    <row r="248" spans="1:31">
      <c r="A248" s="18" t="s">
        <v>271</v>
      </c>
      <c r="B248" s="8" t="s">
        <v>83</v>
      </c>
      <c r="C248" s="8" t="s">
        <v>22</v>
      </c>
      <c r="D248" s="3" t="s">
        <v>23</v>
      </c>
      <c r="E248" s="25" t="s">
        <v>131</v>
      </c>
      <c r="F248" s="16" t="s">
        <v>256</v>
      </c>
      <c r="G248" s="118">
        <v>6</v>
      </c>
      <c r="H248" s="118">
        <v>72.8</v>
      </c>
      <c r="I248" s="118">
        <v>20.5</v>
      </c>
      <c r="J248" s="118">
        <v>6.7</v>
      </c>
      <c r="K248" s="119" t="s">
        <v>26</v>
      </c>
      <c r="L248" s="119" t="s">
        <v>26</v>
      </c>
      <c r="M248" s="119" t="s">
        <v>26</v>
      </c>
      <c r="N248" s="119" t="s">
        <v>26</v>
      </c>
      <c r="O248" s="125" t="s">
        <v>26</v>
      </c>
      <c r="P248" s="119" t="s">
        <v>26</v>
      </c>
      <c r="Q248" s="119" t="s">
        <v>26</v>
      </c>
      <c r="R248" s="119" t="s">
        <v>26</v>
      </c>
      <c r="S248" s="120" t="s">
        <v>26</v>
      </c>
      <c r="T248" s="121" t="s">
        <v>26</v>
      </c>
      <c r="U248" s="89">
        <v>1193</v>
      </c>
      <c r="V248" s="126" t="s">
        <v>26</v>
      </c>
      <c r="AC248" s="33"/>
      <c r="AD248" s="33"/>
      <c r="AE248" s="33"/>
    </row>
    <row r="249" spans="1:31">
      <c r="A249" s="18" t="s">
        <v>271</v>
      </c>
      <c r="B249" s="8" t="s">
        <v>89</v>
      </c>
      <c r="C249" s="8" t="s">
        <v>22</v>
      </c>
      <c r="D249" s="3" t="s">
        <v>23</v>
      </c>
      <c r="E249" s="23" t="s">
        <v>24</v>
      </c>
      <c r="F249" s="16" t="s">
        <v>300</v>
      </c>
      <c r="G249" s="118">
        <v>221</v>
      </c>
      <c r="H249" s="118">
        <v>10.8</v>
      </c>
      <c r="I249" s="119" t="s">
        <v>26</v>
      </c>
      <c r="J249" s="119" t="s">
        <v>26</v>
      </c>
      <c r="K249" s="119" t="s">
        <v>26</v>
      </c>
      <c r="L249" s="119" t="s">
        <v>26</v>
      </c>
      <c r="M249" s="118">
        <v>12.5</v>
      </c>
      <c r="N249" s="119" t="s">
        <v>26</v>
      </c>
      <c r="O249" s="118">
        <v>2.5</v>
      </c>
      <c r="P249" s="119" t="s">
        <v>26</v>
      </c>
      <c r="Q249" s="119" t="s">
        <v>26</v>
      </c>
      <c r="R249" s="119" t="s">
        <v>26</v>
      </c>
      <c r="S249" s="120" t="s">
        <v>26</v>
      </c>
      <c r="T249" s="121" t="s">
        <v>26</v>
      </c>
      <c r="U249" s="122">
        <v>120</v>
      </c>
      <c r="V249" s="126" t="s">
        <v>26</v>
      </c>
      <c r="AC249" s="33"/>
      <c r="AD249" s="33"/>
      <c r="AE249" s="33"/>
    </row>
    <row r="250" spans="1:31">
      <c r="A250" s="18" t="s">
        <v>271</v>
      </c>
      <c r="B250" s="8" t="s">
        <v>89</v>
      </c>
      <c r="C250" s="8" t="s">
        <v>22</v>
      </c>
      <c r="D250" s="3" t="s">
        <v>23</v>
      </c>
      <c r="E250" s="23" t="s">
        <v>27</v>
      </c>
      <c r="F250" s="16" t="s">
        <v>281</v>
      </c>
      <c r="G250" s="118">
        <v>108</v>
      </c>
      <c r="H250" s="118">
        <v>18.399999999999999</v>
      </c>
      <c r="I250" s="118">
        <v>10</v>
      </c>
      <c r="J250" s="119" t="s">
        <v>26</v>
      </c>
      <c r="K250" s="119" t="s">
        <v>26</v>
      </c>
      <c r="L250" s="119" t="s">
        <v>26</v>
      </c>
      <c r="M250" s="118">
        <v>11.1</v>
      </c>
      <c r="N250" s="119" t="s">
        <v>26</v>
      </c>
      <c r="O250" s="118">
        <v>3.8</v>
      </c>
      <c r="P250" s="119" t="s">
        <v>26</v>
      </c>
      <c r="Q250" s="119" t="s">
        <v>26</v>
      </c>
      <c r="R250" s="119" t="s">
        <v>26</v>
      </c>
      <c r="S250" s="120" t="s">
        <v>26</v>
      </c>
      <c r="T250" s="121" t="s">
        <v>26</v>
      </c>
      <c r="U250" s="123" t="s">
        <v>26</v>
      </c>
      <c r="V250" s="126" t="s">
        <v>26</v>
      </c>
      <c r="AC250" s="33"/>
      <c r="AD250" s="33"/>
      <c r="AE250" s="33"/>
    </row>
    <row r="251" spans="1:31">
      <c r="A251" s="18" t="s">
        <v>271</v>
      </c>
      <c r="B251" s="8" t="s">
        <v>89</v>
      </c>
      <c r="C251" s="8" t="s">
        <v>22</v>
      </c>
      <c r="D251" s="3" t="s">
        <v>23</v>
      </c>
      <c r="E251" s="23" t="s">
        <v>29</v>
      </c>
      <c r="F251" s="16" t="s">
        <v>301</v>
      </c>
      <c r="G251" s="118">
        <v>51</v>
      </c>
      <c r="H251" s="118">
        <v>3.8</v>
      </c>
      <c r="I251" s="118">
        <v>22.5</v>
      </c>
      <c r="J251" s="118">
        <v>2.02</v>
      </c>
      <c r="K251" s="119" t="s">
        <v>26</v>
      </c>
      <c r="L251" s="119" t="s">
        <v>26</v>
      </c>
      <c r="M251" s="118">
        <v>8.4</v>
      </c>
      <c r="N251" s="119" t="s">
        <v>26</v>
      </c>
      <c r="O251" s="118">
        <v>7.4</v>
      </c>
      <c r="P251" s="119" t="s">
        <v>26</v>
      </c>
      <c r="Q251" s="119" t="s">
        <v>26</v>
      </c>
      <c r="R251" s="119" t="s">
        <v>26</v>
      </c>
      <c r="S251" s="120" t="s">
        <v>26</v>
      </c>
      <c r="T251" s="121" t="s">
        <v>26</v>
      </c>
      <c r="U251" s="123" t="s">
        <v>26</v>
      </c>
      <c r="V251" s="126" t="s">
        <v>26</v>
      </c>
      <c r="AC251" s="33"/>
      <c r="AD251" s="33"/>
      <c r="AE251" s="33"/>
    </row>
    <row r="252" spans="1:31">
      <c r="A252" s="18" t="s">
        <v>271</v>
      </c>
      <c r="B252" s="8" t="s">
        <v>89</v>
      </c>
      <c r="C252" s="8" t="s">
        <v>22</v>
      </c>
      <c r="D252" s="3" t="s">
        <v>23</v>
      </c>
      <c r="E252" s="23" t="s">
        <v>31</v>
      </c>
      <c r="F252" s="16" t="s">
        <v>302</v>
      </c>
      <c r="G252" s="118">
        <v>19</v>
      </c>
      <c r="H252" s="119" t="s">
        <v>26</v>
      </c>
      <c r="I252" s="118">
        <v>16.5</v>
      </c>
      <c r="J252" s="118">
        <v>8.42</v>
      </c>
      <c r="K252" s="119" t="s">
        <v>26</v>
      </c>
      <c r="L252" s="119" t="s">
        <v>26</v>
      </c>
      <c r="M252" s="119" t="s">
        <v>26</v>
      </c>
      <c r="N252" s="119" t="s">
        <v>26</v>
      </c>
      <c r="O252" s="118">
        <v>5.2</v>
      </c>
      <c r="P252" s="119" t="s">
        <v>26</v>
      </c>
      <c r="Q252" s="119" t="s">
        <v>26</v>
      </c>
      <c r="R252" s="119" t="s">
        <v>26</v>
      </c>
      <c r="S252" s="120" t="s">
        <v>26</v>
      </c>
      <c r="T252" s="121" t="s">
        <v>26</v>
      </c>
      <c r="U252" s="133">
        <v>486</v>
      </c>
      <c r="V252" s="126" t="s">
        <v>26</v>
      </c>
      <c r="AC252" s="33"/>
      <c r="AD252" s="33"/>
      <c r="AE252" s="33"/>
    </row>
    <row r="253" spans="1:31">
      <c r="A253" s="18" t="s">
        <v>303</v>
      </c>
      <c r="B253" s="8" t="s">
        <v>53</v>
      </c>
      <c r="C253" s="8" t="s">
        <v>22</v>
      </c>
      <c r="D253" s="8" t="s">
        <v>54</v>
      </c>
      <c r="E253" s="23" t="s">
        <v>27</v>
      </c>
      <c r="F253" s="16" t="s">
        <v>304</v>
      </c>
      <c r="G253" s="118">
        <v>110</v>
      </c>
      <c r="H253" s="118">
        <v>32</v>
      </c>
      <c r="I253" s="118">
        <v>9.4</v>
      </c>
      <c r="J253" s="119" t="s">
        <v>26</v>
      </c>
      <c r="K253" s="119" t="s">
        <v>26</v>
      </c>
      <c r="L253" s="119" t="s">
        <v>26</v>
      </c>
      <c r="M253" s="119" t="s">
        <v>26</v>
      </c>
      <c r="N253" s="119" t="s">
        <v>26</v>
      </c>
      <c r="O253" s="118">
        <v>5.2</v>
      </c>
      <c r="P253" s="118">
        <v>1</v>
      </c>
      <c r="Q253" s="118">
        <v>4.9000000000000004</v>
      </c>
      <c r="R253" s="118">
        <v>1.4</v>
      </c>
      <c r="S253" s="120" t="s">
        <v>26</v>
      </c>
      <c r="T253" s="121" t="s">
        <v>26</v>
      </c>
      <c r="U253" s="130">
        <v>1217</v>
      </c>
      <c r="V253" s="126" t="s">
        <v>26</v>
      </c>
      <c r="AC253" s="33"/>
      <c r="AD253" s="33"/>
      <c r="AE253" s="33"/>
    </row>
    <row r="254" spans="1:31">
      <c r="A254" s="18" t="s">
        <v>303</v>
      </c>
      <c r="B254" s="8" t="s">
        <v>53</v>
      </c>
      <c r="C254" s="8" t="s">
        <v>22</v>
      </c>
      <c r="D254" s="8" t="s">
        <v>54</v>
      </c>
      <c r="E254" s="23" t="s">
        <v>29</v>
      </c>
      <c r="F254" s="16" t="s">
        <v>305</v>
      </c>
      <c r="G254" s="118">
        <v>42</v>
      </c>
      <c r="H254" s="118">
        <v>15.6</v>
      </c>
      <c r="I254" s="118">
        <v>23.4</v>
      </c>
      <c r="J254" s="118">
        <v>5.72</v>
      </c>
      <c r="K254" s="119" t="s">
        <v>26</v>
      </c>
      <c r="L254" s="119" t="s">
        <v>26</v>
      </c>
      <c r="M254" s="119" t="s">
        <v>26</v>
      </c>
      <c r="N254" s="119" t="s">
        <v>26</v>
      </c>
      <c r="O254" s="118">
        <v>4.7</v>
      </c>
      <c r="P254" s="118">
        <v>0.9</v>
      </c>
      <c r="Q254" s="118">
        <v>2.1</v>
      </c>
      <c r="R254" s="118">
        <v>1.7</v>
      </c>
      <c r="S254" s="127">
        <v>4.0999999999999996</v>
      </c>
      <c r="T254" s="121" t="s">
        <v>26</v>
      </c>
      <c r="U254" s="133">
        <v>4218</v>
      </c>
      <c r="V254" s="126" t="s">
        <v>26</v>
      </c>
      <c r="AC254" s="33"/>
      <c r="AD254" s="33"/>
      <c r="AE254" s="33"/>
    </row>
    <row r="255" spans="1:31">
      <c r="A255" s="18" t="s">
        <v>303</v>
      </c>
      <c r="B255" s="8" t="s">
        <v>53</v>
      </c>
      <c r="C255" s="8" t="s">
        <v>22</v>
      </c>
      <c r="D255" s="8" t="s">
        <v>54</v>
      </c>
      <c r="E255" s="23" t="s">
        <v>31</v>
      </c>
      <c r="F255" s="16" t="s">
        <v>306</v>
      </c>
      <c r="G255" s="118">
        <v>16</v>
      </c>
      <c r="H255" s="119" t="s">
        <v>26</v>
      </c>
      <c r="I255" s="118">
        <v>4.7</v>
      </c>
      <c r="J255" s="118">
        <v>3.4</v>
      </c>
      <c r="K255" s="119" t="s">
        <v>26</v>
      </c>
      <c r="L255" s="119" t="s">
        <v>26</v>
      </c>
      <c r="M255" s="119" t="s">
        <v>26</v>
      </c>
      <c r="N255" s="119" t="s">
        <v>26</v>
      </c>
      <c r="O255" s="118">
        <v>3.9</v>
      </c>
      <c r="P255" s="119" t="s">
        <v>26</v>
      </c>
      <c r="Q255" s="119" t="s">
        <v>26</v>
      </c>
      <c r="R255" s="119" t="s">
        <v>26</v>
      </c>
      <c r="S255" s="127">
        <v>4.2</v>
      </c>
      <c r="T255" s="121" t="s">
        <v>26</v>
      </c>
      <c r="U255" s="133">
        <v>203</v>
      </c>
      <c r="V255" s="126" t="s">
        <v>26</v>
      </c>
      <c r="AC255" s="33"/>
      <c r="AD255" s="33"/>
      <c r="AE255" s="33"/>
    </row>
    <row r="256" spans="1:31">
      <c r="A256" s="18" t="s">
        <v>303</v>
      </c>
      <c r="B256" s="8" t="s">
        <v>21</v>
      </c>
      <c r="C256" s="8" t="s">
        <v>22</v>
      </c>
      <c r="D256" s="3" t="s">
        <v>33</v>
      </c>
      <c r="E256" s="23" t="s">
        <v>27</v>
      </c>
      <c r="F256" s="16" t="s">
        <v>307</v>
      </c>
      <c r="G256" s="118">
        <v>124</v>
      </c>
      <c r="H256" s="118">
        <v>23</v>
      </c>
      <c r="I256" s="118">
        <v>19.399999999999999</v>
      </c>
      <c r="J256" s="119" t="s">
        <v>26</v>
      </c>
      <c r="K256" s="119" t="s">
        <v>26</v>
      </c>
      <c r="L256" s="119" t="s">
        <v>26</v>
      </c>
      <c r="M256" s="118">
        <v>0.7</v>
      </c>
      <c r="N256" s="119" t="s">
        <v>26</v>
      </c>
      <c r="O256" s="118">
        <v>4.9000000000000004</v>
      </c>
      <c r="P256" s="118">
        <v>1.2</v>
      </c>
      <c r="Q256" s="118">
        <v>3.4</v>
      </c>
      <c r="R256" s="118">
        <v>1.4</v>
      </c>
      <c r="S256" s="127">
        <v>4.0999999999999996</v>
      </c>
      <c r="T256" s="121" t="s">
        <v>26</v>
      </c>
      <c r="U256" s="123" t="s">
        <v>26</v>
      </c>
      <c r="V256" s="126" t="s">
        <v>26</v>
      </c>
      <c r="AC256" s="33"/>
      <c r="AD256" s="33"/>
      <c r="AE256" s="33"/>
    </row>
    <row r="257" spans="1:31">
      <c r="A257" s="18" t="s">
        <v>303</v>
      </c>
      <c r="B257" s="8" t="s">
        <v>21</v>
      </c>
      <c r="C257" s="8" t="s">
        <v>22</v>
      </c>
      <c r="D257" s="3" t="s">
        <v>33</v>
      </c>
      <c r="E257" s="23" t="s">
        <v>29</v>
      </c>
      <c r="F257" s="16" t="s">
        <v>308</v>
      </c>
      <c r="G257" s="118">
        <v>53</v>
      </c>
      <c r="H257" s="118">
        <v>7.8</v>
      </c>
      <c r="I257" s="118">
        <v>30.4</v>
      </c>
      <c r="J257" s="119" t="s">
        <v>26</v>
      </c>
      <c r="K257" s="119" t="s">
        <v>26</v>
      </c>
      <c r="L257" s="119" t="s">
        <v>26</v>
      </c>
      <c r="M257" s="119" t="s">
        <v>26</v>
      </c>
      <c r="N257" s="119" t="s">
        <v>26</v>
      </c>
      <c r="O257" s="118">
        <v>4.8</v>
      </c>
      <c r="P257" s="118">
        <v>1</v>
      </c>
      <c r="Q257" s="118">
        <v>4.7</v>
      </c>
      <c r="R257" s="118">
        <v>1.2</v>
      </c>
      <c r="S257" s="127">
        <v>5.2</v>
      </c>
      <c r="T257" s="121" t="s">
        <v>26</v>
      </c>
      <c r="U257" s="123" t="s">
        <v>26</v>
      </c>
      <c r="V257" s="126" t="s">
        <v>26</v>
      </c>
      <c r="AC257" s="33"/>
      <c r="AD257" s="33"/>
      <c r="AE257" s="33"/>
    </row>
    <row r="258" spans="1:31">
      <c r="A258" s="18" t="s">
        <v>303</v>
      </c>
      <c r="B258" s="8" t="s">
        <v>21</v>
      </c>
      <c r="C258" s="8" t="s">
        <v>22</v>
      </c>
      <c r="D258" s="3" t="s">
        <v>33</v>
      </c>
      <c r="E258" s="23" t="s">
        <v>31</v>
      </c>
      <c r="F258" s="16" t="s">
        <v>309</v>
      </c>
      <c r="G258" s="118">
        <v>18</v>
      </c>
      <c r="H258" s="119" t="s">
        <v>26</v>
      </c>
      <c r="I258" s="118">
        <v>9.6</v>
      </c>
      <c r="J258" s="118">
        <v>3</v>
      </c>
      <c r="K258" s="119" t="s">
        <v>26</v>
      </c>
      <c r="L258" s="119" t="s">
        <v>26</v>
      </c>
      <c r="M258" s="119" t="s">
        <v>26</v>
      </c>
      <c r="N258" s="119" t="s">
        <v>26</v>
      </c>
      <c r="O258" s="118">
        <v>4.9000000000000004</v>
      </c>
      <c r="P258" s="118">
        <v>2.5</v>
      </c>
      <c r="Q258" s="119" t="s">
        <v>26</v>
      </c>
      <c r="R258" s="119" t="s">
        <v>26</v>
      </c>
      <c r="S258" s="127">
        <v>5.8</v>
      </c>
      <c r="T258" s="121" t="s">
        <v>26</v>
      </c>
      <c r="U258" s="123" t="s">
        <v>26</v>
      </c>
      <c r="V258" s="126" t="s">
        <v>26</v>
      </c>
      <c r="AC258" s="33"/>
      <c r="AD258" s="33"/>
      <c r="AE258" s="33"/>
    </row>
    <row r="259" spans="1:31">
      <c r="A259" s="18" t="s">
        <v>303</v>
      </c>
      <c r="B259" s="8" t="s">
        <v>310</v>
      </c>
      <c r="C259" s="8" t="s">
        <v>22</v>
      </c>
      <c r="D259" s="3" t="s">
        <v>23</v>
      </c>
      <c r="E259" s="23" t="s">
        <v>24</v>
      </c>
      <c r="F259" s="16" t="s">
        <v>311</v>
      </c>
      <c r="G259" s="118">
        <v>230</v>
      </c>
      <c r="H259" s="118">
        <v>24.6</v>
      </c>
      <c r="I259" s="119" t="s">
        <v>26</v>
      </c>
      <c r="J259" s="119" t="s">
        <v>26</v>
      </c>
      <c r="K259" s="119" t="s">
        <v>26</v>
      </c>
      <c r="L259" s="119" t="s">
        <v>26</v>
      </c>
      <c r="M259" s="118">
        <v>0.4</v>
      </c>
      <c r="N259" s="119" t="s">
        <v>26</v>
      </c>
      <c r="O259" s="118">
        <v>3.2</v>
      </c>
      <c r="P259" s="119" t="s">
        <v>26</v>
      </c>
      <c r="Q259" s="118">
        <v>7.8</v>
      </c>
      <c r="R259" s="118">
        <v>1.7</v>
      </c>
      <c r="S259" s="127">
        <v>2.7</v>
      </c>
      <c r="T259" s="121" t="s">
        <v>26</v>
      </c>
      <c r="U259" s="123" t="s">
        <v>26</v>
      </c>
      <c r="V259" s="89">
        <v>850</v>
      </c>
      <c r="AC259" s="33"/>
      <c r="AD259" s="33"/>
      <c r="AE259" s="33"/>
    </row>
    <row r="260" spans="1:31">
      <c r="A260" s="18" t="s">
        <v>303</v>
      </c>
      <c r="B260" s="8" t="s">
        <v>310</v>
      </c>
      <c r="C260" s="8" t="s">
        <v>22</v>
      </c>
      <c r="D260" s="3" t="s">
        <v>23</v>
      </c>
      <c r="E260" s="23" t="s">
        <v>27</v>
      </c>
      <c r="F260" s="16" t="s">
        <v>312</v>
      </c>
      <c r="G260" s="118">
        <v>135</v>
      </c>
      <c r="H260" s="118">
        <v>34</v>
      </c>
      <c r="I260" s="118">
        <v>12.7</v>
      </c>
      <c r="J260" s="119" t="s">
        <v>26</v>
      </c>
      <c r="K260" s="119" t="s">
        <v>26</v>
      </c>
      <c r="L260" s="119" t="s">
        <v>26</v>
      </c>
      <c r="M260" s="119" t="s">
        <v>26</v>
      </c>
      <c r="N260" s="119" t="s">
        <v>26</v>
      </c>
      <c r="O260" s="118">
        <v>5.0999999999999996</v>
      </c>
      <c r="P260" s="118">
        <v>1.1000000000000001</v>
      </c>
      <c r="Q260" s="118">
        <v>7.8</v>
      </c>
      <c r="R260" s="118">
        <v>1.2</v>
      </c>
      <c r="S260" s="127">
        <v>4.2</v>
      </c>
      <c r="T260" s="121" t="s">
        <v>26</v>
      </c>
      <c r="U260" s="89">
        <v>38</v>
      </c>
      <c r="V260" s="89">
        <v>390</v>
      </c>
      <c r="AC260" s="33"/>
      <c r="AD260" s="33"/>
      <c r="AE260" s="33"/>
    </row>
    <row r="261" spans="1:31">
      <c r="A261" s="18" t="s">
        <v>303</v>
      </c>
      <c r="B261" s="8" t="s">
        <v>310</v>
      </c>
      <c r="C261" s="8" t="s">
        <v>22</v>
      </c>
      <c r="D261" s="3" t="s">
        <v>23</v>
      </c>
      <c r="E261" s="23" t="s">
        <v>29</v>
      </c>
      <c r="F261" s="16" t="s">
        <v>313</v>
      </c>
      <c r="G261" s="118">
        <v>58</v>
      </c>
      <c r="H261" s="118">
        <v>13.2</v>
      </c>
      <c r="I261" s="118">
        <v>44.3</v>
      </c>
      <c r="J261" s="118">
        <v>1.2</v>
      </c>
      <c r="K261" s="119" t="s">
        <v>26</v>
      </c>
      <c r="L261" s="119" t="s">
        <v>26</v>
      </c>
      <c r="M261" s="119" t="s">
        <v>26</v>
      </c>
      <c r="N261" s="119" t="s">
        <v>26</v>
      </c>
      <c r="O261" s="118">
        <v>7.6</v>
      </c>
      <c r="P261" s="118">
        <v>4.2</v>
      </c>
      <c r="Q261" s="118">
        <v>3.1</v>
      </c>
      <c r="R261" s="118">
        <v>1.8</v>
      </c>
      <c r="S261" s="127">
        <v>5.0999999999999996</v>
      </c>
      <c r="T261" s="121" t="s">
        <v>26</v>
      </c>
      <c r="U261" s="89">
        <v>135</v>
      </c>
      <c r="V261" s="89">
        <v>902</v>
      </c>
      <c r="AC261" s="33"/>
      <c r="AD261" s="33"/>
      <c r="AE261" s="33"/>
    </row>
    <row r="262" spans="1:31">
      <c r="A262" s="18" t="s">
        <v>303</v>
      </c>
      <c r="B262" s="8" t="s">
        <v>310</v>
      </c>
      <c r="C262" s="8" t="s">
        <v>22</v>
      </c>
      <c r="D262" s="3" t="s">
        <v>23</v>
      </c>
      <c r="E262" s="23" t="s">
        <v>31</v>
      </c>
      <c r="F262" s="16" t="s">
        <v>314</v>
      </c>
      <c r="G262" s="118">
        <v>15</v>
      </c>
      <c r="H262" s="119" t="s">
        <v>26</v>
      </c>
      <c r="I262" s="118">
        <v>8.4</v>
      </c>
      <c r="J262" s="118">
        <v>3.5</v>
      </c>
      <c r="K262" s="119" t="s">
        <v>26</v>
      </c>
      <c r="L262" s="119" t="s">
        <v>26</v>
      </c>
      <c r="M262" s="119" t="s">
        <v>26</v>
      </c>
      <c r="N262" s="119" t="s">
        <v>26</v>
      </c>
      <c r="O262" s="118">
        <v>6.2</v>
      </c>
      <c r="P262" s="118">
        <v>1.7</v>
      </c>
      <c r="Q262" s="119" t="s">
        <v>26</v>
      </c>
      <c r="R262" s="118">
        <v>1.8</v>
      </c>
      <c r="S262" s="127">
        <v>5.0999999999999996</v>
      </c>
      <c r="T262" s="121" t="s">
        <v>26</v>
      </c>
      <c r="U262" s="123" t="s">
        <v>26</v>
      </c>
      <c r="V262" s="89">
        <v>45</v>
      </c>
      <c r="AC262" s="33"/>
      <c r="AD262" s="33"/>
      <c r="AE262" s="33"/>
    </row>
    <row r="263" spans="1:31">
      <c r="A263" s="18" t="s">
        <v>303</v>
      </c>
      <c r="B263" s="8" t="s">
        <v>315</v>
      </c>
      <c r="C263" s="8" t="s">
        <v>22</v>
      </c>
      <c r="D263" s="3" t="s">
        <v>23</v>
      </c>
      <c r="E263" s="23" t="s">
        <v>24</v>
      </c>
      <c r="F263" s="16" t="s">
        <v>316</v>
      </c>
      <c r="G263" s="118">
        <v>210</v>
      </c>
      <c r="H263" s="118">
        <v>33.700000000000003</v>
      </c>
      <c r="I263" s="119" t="s">
        <v>26</v>
      </c>
      <c r="J263" s="119" t="s">
        <v>26</v>
      </c>
      <c r="K263" s="119" t="s">
        <v>26</v>
      </c>
      <c r="L263" s="119" t="s">
        <v>26</v>
      </c>
      <c r="M263" s="119" t="s">
        <v>26</v>
      </c>
      <c r="N263" s="119" t="s">
        <v>26</v>
      </c>
      <c r="O263" s="118">
        <v>3.7</v>
      </c>
      <c r="P263" s="118">
        <v>1.1000000000000001</v>
      </c>
      <c r="Q263" s="118">
        <v>5.8</v>
      </c>
      <c r="R263" s="118">
        <v>1.1000000000000001</v>
      </c>
      <c r="S263" s="127">
        <v>4.2</v>
      </c>
      <c r="T263" s="121" t="s">
        <v>26</v>
      </c>
      <c r="U263" s="123" t="s">
        <v>26</v>
      </c>
      <c r="V263" s="126" t="s">
        <v>26</v>
      </c>
      <c r="AC263" s="33"/>
      <c r="AD263" s="33"/>
      <c r="AE263" s="33"/>
    </row>
    <row r="264" spans="1:31">
      <c r="A264" s="18" t="s">
        <v>303</v>
      </c>
      <c r="B264" s="8" t="s">
        <v>315</v>
      </c>
      <c r="C264" s="8" t="s">
        <v>22</v>
      </c>
      <c r="D264" s="3" t="s">
        <v>23</v>
      </c>
      <c r="E264" s="23" t="s">
        <v>27</v>
      </c>
      <c r="F264" s="16" t="s">
        <v>317</v>
      </c>
      <c r="G264" s="118">
        <v>145</v>
      </c>
      <c r="H264" s="118">
        <v>30</v>
      </c>
      <c r="I264" s="118">
        <v>10.7</v>
      </c>
      <c r="J264" s="118">
        <v>0.6</v>
      </c>
      <c r="K264" s="119" t="s">
        <v>26</v>
      </c>
      <c r="L264" s="119" t="s">
        <v>26</v>
      </c>
      <c r="M264" s="118">
        <v>0.7</v>
      </c>
      <c r="N264" s="119" t="s">
        <v>26</v>
      </c>
      <c r="O264" s="118">
        <v>5.2</v>
      </c>
      <c r="P264" s="118">
        <v>6.7</v>
      </c>
      <c r="Q264" s="118">
        <v>6.6</v>
      </c>
      <c r="R264" s="118">
        <v>2.1</v>
      </c>
      <c r="S264" s="127">
        <v>4.0999999999999996</v>
      </c>
      <c r="T264" s="121" t="s">
        <v>26</v>
      </c>
      <c r="U264" s="89">
        <v>38</v>
      </c>
      <c r="V264" s="126" t="s">
        <v>26</v>
      </c>
      <c r="AC264" s="33"/>
      <c r="AD264" s="33"/>
      <c r="AE264" s="33"/>
    </row>
    <row r="265" spans="1:31">
      <c r="A265" s="18" t="s">
        <v>303</v>
      </c>
      <c r="B265" s="8" t="s">
        <v>315</v>
      </c>
      <c r="C265" s="8" t="s">
        <v>22</v>
      </c>
      <c r="D265" s="3" t="s">
        <v>23</v>
      </c>
      <c r="E265" s="23" t="s">
        <v>29</v>
      </c>
      <c r="F265" s="16" t="s">
        <v>318</v>
      </c>
      <c r="G265" s="118">
        <v>60</v>
      </c>
      <c r="H265" s="118">
        <v>12.6</v>
      </c>
      <c r="I265" s="118">
        <v>42.4</v>
      </c>
      <c r="J265" s="118">
        <v>3</v>
      </c>
      <c r="K265" s="119" t="s">
        <v>26</v>
      </c>
      <c r="L265" s="119" t="s">
        <v>26</v>
      </c>
      <c r="M265" s="119" t="s">
        <v>26</v>
      </c>
      <c r="N265" s="119" t="s">
        <v>26</v>
      </c>
      <c r="O265" s="118">
        <v>7.1</v>
      </c>
      <c r="P265" s="118">
        <v>3.2</v>
      </c>
      <c r="Q265" s="118">
        <v>1.7</v>
      </c>
      <c r="R265" s="118">
        <v>2.1</v>
      </c>
      <c r="S265" s="127">
        <v>5.0999999999999996</v>
      </c>
      <c r="T265" s="121" t="s">
        <v>26</v>
      </c>
      <c r="U265" s="122">
        <v>270</v>
      </c>
      <c r="V265" s="126" t="s">
        <v>26</v>
      </c>
      <c r="AC265" s="33"/>
      <c r="AD265" s="33"/>
      <c r="AE265" s="33"/>
    </row>
    <row r="266" spans="1:31">
      <c r="A266" s="18" t="s">
        <v>303</v>
      </c>
      <c r="B266" s="8" t="s">
        <v>315</v>
      </c>
      <c r="C266" s="8" t="s">
        <v>22</v>
      </c>
      <c r="D266" s="3" t="s">
        <v>23</v>
      </c>
      <c r="E266" s="23" t="s">
        <v>31</v>
      </c>
      <c r="F266" s="16" t="s">
        <v>319</v>
      </c>
      <c r="G266" s="118">
        <v>17</v>
      </c>
      <c r="H266" s="119" t="s">
        <v>26</v>
      </c>
      <c r="I266" s="118">
        <v>6.5</v>
      </c>
      <c r="J266" s="118">
        <v>5.0999999999999996</v>
      </c>
      <c r="K266" s="119" t="s">
        <v>26</v>
      </c>
      <c r="L266" s="119" t="s">
        <v>26</v>
      </c>
      <c r="M266" s="119" t="s">
        <v>26</v>
      </c>
      <c r="N266" s="119" t="s">
        <v>26</v>
      </c>
      <c r="O266" s="118">
        <v>5.3</v>
      </c>
      <c r="P266" s="118">
        <v>1.7</v>
      </c>
      <c r="Q266" s="119" t="s">
        <v>26</v>
      </c>
      <c r="R266" s="119" t="s">
        <v>26</v>
      </c>
      <c r="S266" s="127">
        <v>6.2</v>
      </c>
      <c r="T266" s="121" t="s">
        <v>26</v>
      </c>
      <c r="U266" s="122">
        <v>55</v>
      </c>
      <c r="V266" s="126" t="s">
        <v>26</v>
      </c>
      <c r="AC266" s="33"/>
      <c r="AD266" s="33"/>
      <c r="AE266" s="33"/>
    </row>
    <row r="267" spans="1:31">
      <c r="A267" s="18" t="s">
        <v>303</v>
      </c>
      <c r="B267" s="8" t="s">
        <v>320</v>
      </c>
      <c r="C267" s="8" t="s">
        <v>22</v>
      </c>
      <c r="D267" s="8" t="s">
        <v>109</v>
      </c>
      <c r="E267" s="23" t="s">
        <v>24</v>
      </c>
      <c r="F267" s="16" t="s">
        <v>321</v>
      </c>
      <c r="G267" s="118">
        <v>252</v>
      </c>
      <c r="H267" s="118">
        <v>29.2</v>
      </c>
      <c r="I267" s="119" t="s">
        <v>26</v>
      </c>
      <c r="J267" s="119" t="s">
        <v>26</v>
      </c>
      <c r="K267" s="119" t="s">
        <v>26</v>
      </c>
      <c r="L267" s="119" t="s">
        <v>26</v>
      </c>
      <c r="M267" s="119" t="s">
        <v>26</v>
      </c>
      <c r="N267" s="119" t="s">
        <v>26</v>
      </c>
      <c r="O267" s="118">
        <v>3.8</v>
      </c>
      <c r="P267" s="119" t="s">
        <v>26</v>
      </c>
      <c r="Q267" s="118">
        <v>17.2</v>
      </c>
      <c r="R267" s="118">
        <v>3.6</v>
      </c>
      <c r="S267" s="120" t="s">
        <v>26</v>
      </c>
      <c r="T267" s="121" t="s">
        <v>26</v>
      </c>
      <c r="U267" s="130">
        <v>790</v>
      </c>
      <c r="V267" s="126" t="s">
        <v>26</v>
      </c>
      <c r="AC267" s="33"/>
      <c r="AD267" s="33"/>
      <c r="AE267" s="33"/>
    </row>
    <row r="268" spans="1:31">
      <c r="A268" s="18" t="s">
        <v>303</v>
      </c>
      <c r="B268" s="8" t="s">
        <v>320</v>
      </c>
      <c r="C268" s="8" t="s">
        <v>22</v>
      </c>
      <c r="D268" s="8" t="s">
        <v>109</v>
      </c>
      <c r="E268" s="23" t="s">
        <v>27</v>
      </c>
      <c r="F268" s="16" t="s">
        <v>322</v>
      </c>
      <c r="G268" s="118">
        <v>112</v>
      </c>
      <c r="H268" s="118">
        <v>34.6</v>
      </c>
      <c r="I268" s="118">
        <v>7.2</v>
      </c>
      <c r="J268" s="119" t="s">
        <v>26</v>
      </c>
      <c r="K268" s="119" t="s">
        <v>26</v>
      </c>
      <c r="L268" s="119" t="s">
        <v>26</v>
      </c>
      <c r="M268" s="119" t="s">
        <v>26</v>
      </c>
      <c r="N268" s="119" t="s">
        <v>26</v>
      </c>
      <c r="O268" s="118">
        <v>4.7</v>
      </c>
      <c r="P268" s="119" t="s">
        <v>26</v>
      </c>
      <c r="Q268" s="118">
        <v>4.7</v>
      </c>
      <c r="R268" s="119" t="s">
        <v>26</v>
      </c>
      <c r="S268" s="120" t="s">
        <v>26</v>
      </c>
      <c r="T268" s="121" t="s">
        <v>26</v>
      </c>
      <c r="U268" s="123" t="s">
        <v>26</v>
      </c>
      <c r="V268" s="126" t="s">
        <v>26</v>
      </c>
      <c r="AC268" s="33"/>
      <c r="AD268" s="33"/>
      <c r="AE268" s="33"/>
    </row>
    <row r="269" spans="1:31">
      <c r="A269" s="18" t="s">
        <v>303</v>
      </c>
      <c r="B269" s="8" t="s">
        <v>320</v>
      </c>
      <c r="C269" s="8" t="s">
        <v>22</v>
      </c>
      <c r="D269" s="8" t="s">
        <v>109</v>
      </c>
      <c r="E269" s="23" t="s">
        <v>29</v>
      </c>
      <c r="F269" s="16" t="s">
        <v>323</v>
      </c>
      <c r="G269" s="118">
        <v>40</v>
      </c>
      <c r="H269" s="118">
        <v>27.5</v>
      </c>
      <c r="I269" s="119" t="s">
        <v>26</v>
      </c>
      <c r="J269" s="119" t="s">
        <v>26</v>
      </c>
      <c r="K269" s="119" t="s">
        <v>26</v>
      </c>
      <c r="L269" s="119" t="s">
        <v>26</v>
      </c>
      <c r="M269" s="119" t="s">
        <v>26</v>
      </c>
      <c r="N269" s="119" t="s">
        <v>26</v>
      </c>
      <c r="O269" s="118">
        <v>4.5999999999999996</v>
      </c>
      <c r="P269" s="119" t="s">
        <v>26</v>
      </c>
      <c r="Q269" s="119" t="s">
        <v>26</v>
      </c>
      <c r="R269" s="119" t="s">
        <v>26</v>
      </c>
      <c r="S269" s="120" t="s">
        <v>26</v>
      </c>
      <c r="T269" s="121" t="s">
        <v>26</v>
      </c>
      <c r="U269" s="123" t="s">
        <v>26</v>
      </c>
      <c r="V269" s="126" t="s">
        <v>26</v>
      </c>
      <c r="AC269" s="33"/>
      <c r="AD269" s="33"/>
      <c r="AE269" s="33"/>
    </row>
    <row r="270" spans="1:31">
      <c r="A270" s="18" t="s">
        <v>303</v>
      </c>
      <c r="B270" s="8" t="s">
        <v>320</v>
      </c>
      <c r="C270" s="8" t="s">
        <v>22</v>
      </c>
      <c r="D270" s="8" t="s">
        <v>109</v>
      </c>
      <c r="E270" s="23" t="s">
        <v>31</v>
      </c>
      <c r="F270" s="16" t="s">
        <v>324</v>
      </c>
      <c r="G270" s="118">
        <v>14</v>
      </c>
      <c r="H270" s="118">
        <v>15.6</v>
      </c>
      <c r="I270" s="119" t="s">
        <v>26</v>
      </c>
      <c r="J270" s="118">
        <v>7.2</v>
      </c>
      <c r="K270" s="119" t="s">
        <v>26</v>
      </c>
      <c r="L270" s="119" t="s">
        <v>26</v>
      </c>
      <c r="M270" s="119" t="s">
        <v>26</v>
      </c>
      <c r="N270" s="119" t="s">
        <v>26</v>
      </c>
      <c r="O270" s="118">
        <v>6.4</v>
      </c>
      <c r="P270" s="119" t="s">
        <v>26</v>
      </c>
      <c r="Q270" s="119" t="s">
        <v>26</v>
      </c>
      <c r="R270" s="119" t="s">
        <v>26</v>
      </c>
      <c r="S270" s="120" t="s">
        <v>26</v>
      </c>
      <c r="T270" s="121" t="s">
        <v>26</v>
      </c>
      <c r="U270" s="123" t="s">
        <v>26</v>
      </c>
      <c r="V270" s="126" t="s">
        <v>26</v>
      </c>
      <c r="AC270" s="33"/>
      <c r="AD270" s="33"/>
      <c r="AE270" s="33"/>
    </row>
    <row r="271" spans="1:31">
      <c r="A271" s="18" t="s">
        <v>303</v>
      </c>
      <c r="B271" s="8" t="s">
        <v>325</v>
      </c>
      <c r="C271" s="8" t="s">
        <v>22</v>
      </c>
      <c r="D271" s="3" t="s">
        <v>142</v>
      </c>
      <c r="E271" s="23" t="s">
        <v>24</v>
      </c>
      <c r="F271" s="16" t="s">
        <v>326</v>
      </c>
      <c r="G271" s="118">
        <v>263</v>
      </c>
      <c r="H271" s="118">
        <v>18.7</v>
      </c>
      <c r="I271" s="119" t="s">
        <v>26</v>
      </c>
      <c r="J271" s="119" t="s">
        <v>26</v>
      </c>
      <c r="K271" s="119" t="s">
        <v>26</v>
      </c>
      <c r="L271" s="119" t="s">
        <v>26</v>
      </c>
      <c r="M271" s="119" t="s">
        <v>26</v>
      </c>
      <c r="N271" s="119" t="s">
        <v>26</v>
      </c>
      <c r="O271" s="125" t="s">
        <v>26</v>
      </c>
      <c r="P271" s="119" t="s">
        <v>26</v>
      </c>
      <c r="Q271" s="119" t="s">
        <v>26</v>
      </c>
      <c r="R271" s="119" t="s">
        <v>26</v>
      </c>
      <c r="S271" s="120" t="s">
        <v>26</v>
      </c>
      <c r="T271" s="121" t="s">
        <v>26</v>
      </c>
      <c r="U271" s="89">
        <v>190</v>
      </c>
      <c r="V271" s="126" t="s">
        <v>26</v>
      </c>
      <c r="AC271" s="33"/>
      <c r="AD271" s="33"/>
      <c r="AE271" s="33"/>
    </row>
    <row r="272" spans="1:31">
      <c r="A272" s="18" t="s">
        <v>303</v>
      </c>
      <c r="B272" s="8" t="s">
        <v>325</v>
      </c>
      <c r="C272" s="8" t="s">
        <v>22</v>
      </c>
      <c r="D272" s="3" t="s">
        <v>142</v>
      </c>
      <c r="E272" s="23" t="s">
        <v>27</v>
      </c>
      <c r="F272" s="16" t="s">
        <v>327</v>
      </c>
      <c r="G272" s="118">
        <v>110</v>
      </c>
      <c r="H272" s="118">
        <v>33.5</v>
      </c>
      <c r="I272" s="119" t="s">
        <v>26</v>
      </c>
      <c r="J272" s="119" t="s">
        <v>26</v>
      </c>
      <c r="K272" s="119" t="s">
        <v>26</v>
      </c>
      <c r="L272" s="119" t="s">
        <v>26</v>
      </c>
      <c r="M272" s="119" t="s">
        <v>26</v>
      </c>
      <c r="N272" s="119" t="s">
        <v>26</v>
      </c>
      <c r="O272" s="118">
        <v>3.6</v>
      </c>
      <c r="P272" s="119" t="s">
        <v>26</v>
      </c>
      <c r="Q272" s="119" t="s">
        <v>26</v>
      </c>
      <c r="R272" s="119" t="s">
        <v>26</v>
      </c>
      <c r="S272" s="120" t="s">
        <v>26</v>
      </c>
      <c r="T272" s="121" t="s">
        <v>26</v>
      </c>
      <c r="U272" s="122">
        <v>133</v>
      </c>
      <c r="V272" s="126" t="s">
        <v>26</v>
      </c>
      <c r="AC272" s="33"/>
      <c r="AD272" s="33"/>
      <c r="AE272" s="33"/>
    </row>
    <row r="273" spans="1:31">
      <c r="A273" s="18" t="s">
        <v>303</v>
      </c>
      <c r="B273" s="8" t="s">
        <v>325</v>
      </c>
      <c r="C273" s="8" t="s">
        <v>22</v>
      </c>
      <c r="D273" s="3" t="s">
        <v>142</v>
      </c>
      <c r="E273" s="23" t="s">
        <v>29</v>
      </c>
      <c r="F273" s="16" t="s">
        <v>328</v>
      </c>
      <c r="G273" s="118">
        <v>47</v>
      </c>
      <c r="H273" s="118">
        <v>23.6</v>
      </c>
      <c r="I273" s="118">
        <v>23.6</v>
      </c>
      <c r="J273" s="118">
        <v>6.1</v>
      </c>
      <c r="K273" s="119" t="s">
        <v>26</v>
      </c>
      <c r="L273" s="119" t="s">
        <v>26</v>
      </c>
      <c r="M273" s="119" t="s">
        <v>26</v>
      </c>
      <c r="N273" s="119" t="s">
        <v>26</v>
      </c>
      <c r="O273" s="118">
        <v>6.9</v>
      </c>
      <c r="P273" s="119" t="s">
        <v>26</v>
      </c>
      <c r="Q273" s="119" t="s">
        <v>26</v>
      </c>
      <c r="R273" s="119" t="s">
        <v>26</v>
      </c>
      <c r="S273" s="120" t="s">
        <v>26</v>
      </c>
      <c r="T273" s="121" t="s">
        <v>26</v>
      </c>
      <c r="U273" s="89">
        <v>3854</v>
      </c>
      <c r="V273" s="126" t="s">
        <v>26</v>
      </c>
      <c r="AC273" s="33"/>
      <c r="AD273" s="33"/>
      <c r="AE273" s="33"/>
    </row>
    <row r="274" spans="1:31">
      <c r="A274" s="18" t="s">
        <v>303</v>
      </c>
      <c r="B274" s="8" t="s">
        <v>325</v>
      </c>
      <c r="C274" s="8" t="s">
        <v>22</v>
      </c>
      <c r="D274" s="3" t="s">
        <v>142</v>
      </c>
      <c r="E274" s="23" t="s">
        <v>31</v>
      </c>
      <c r="F274" s="16" t="s">
        <v>329</v>
      </c>
      <c r="G274" s="118">
        <v>15</v>
      </c>
      <c r="H274" s="118">
        <v>23</v>
      </c>
      <c r="I274" s="118">
        <v>23</v>
      </c>
      <c r="J274" s="118">
        <v>12</v>
      </c>
      <c r="K274" s="119" t="s">
        <v>26</v>
      </c>
      <c r="L274" s="119" t="s">
        <v>26</v>
      </c>
      <c r="M274" s="119" t="s">
        <v>26</v>
      </c>
      <c r="N274" s="119" t="s">
        <v>26</v>
      </c>
      <c r="O274" s="125" t="s">
        <v>26</v>
      </c>
      <c r="P274" s="119" t="s">
        <v>26</v>
      </c>
      <c r="Q274" s="119" t="s">
        <v>26</v>
      </c>
      <c r="R274" s="119" t="s">
        <v>26</v>
      </c>
      <c r="S274" s="120" t="s">
        <v>26</v>
      </c>
      <c r="T274" s="121" t="s">
        <v>26</v>
      </c>
      <c r="U274" s="89">
        <v>890</v>
      </c>
      <c r="V274" s="126" t="s">
        <v>26</v>
      </c>
      <c r="AC274" s="33"/>
      <c r="AD274" s="33"/>
      <c r="AE274" s="33"/>
    </row>
    <row r="275" spans="1:31">
      <c r="A275" s="18" t="s">
        <v>303</v>
      </c>
      <c r="B275" s="8" t="s">
        <v>68</v>
      </c>
      <c r="C275" s="8" t="s">
        <v>22</v>
      </c>
      <c r="D275" s="3" t="s">
        <v>33</v>
      </c>
      <c r="E275" s="23" t="s">
        <v>24</v>
      </c>
      <c r="F275" s="16" t="s">
        <v>330</v>
      </c>
      <c r="G275" s="118">
        <v>252</v>
      </c>
      <c r="H275" s="118">
        <v>22.7</v>
      </c>
      <c r="I275" s="118">
        <v>22.7</v>
      </c>
      <c r="J275" s="119" t="s">
        <v>26</v>
      </c>
      <c r="K275" s="119" t="s">
        <v>26</v>
      </c>
      <c r="L275" s="119" t="s">
        <v>26</v>
      </c>
      <c r="M275" s="119" t="s">
        <v>26</v>
      </c>
      <c r="N275" s="119" t="s">
        <v>26</v>
      </c>
      <c r="O275" s="125" t="s">
        <v>26</v>
      </c>
      <c r="P275" s="119" t="s">
        <v>26</v>
      </c>
      <c r="Q275" s="118">
        <v>7.2</v>
      </c>
      <c r="R275" s="119" t="s">
        <v>26</v>
      </c>
      <c r="S275" s="120" t="s">
        <v>26</v>
      </c>
      <c r="T275" s="121" t="s">
        <v>26</v>
      </c>
      <c r="U275" s="122">
        <v>397</v>
      </c>
      <c r="V275" s="126" t="s">
        <v>26</v>
      </c>
      <c r="AC275" s="33"/>
      <c r="AD275" s="33"/>
      <c r="AE275" s="33"/>
    </row>
    <row r="276" spans="1:31">
      <c r="A276" s="18" t="s">
        <v>303</v>
      </c>
      <c r="B276" s="8" t="s">
        <v>68</v>
      </c>
      <c r="C276" s="8" t="s">
        <v>22</v>
      </c>
      <c r="D276" s="3" t="s">
        <v>33</v>
      </c>
      <c r="E276" s="23" t="s">
        <v>27</v>
      </c>
      <c r="F276" s="16" t="s">
        <v>331</v>
      </c>
      <c r="G276" s="118">
        <v>112</v>
      </c>
      <c r="H276" s="118">
        <v>30.7</v>
      </c>
      <c r="I276" s="118">
        <v>30.7</v>
      </c>
      <c r="J276" s="119" t="s">
        <v>26</v>
      </c>
      <c r="K276" s="119" t="s">
        <v>26</v>
      </c>
      <c r="L276" s="119" t="s">
        <v>26</v>
      </c>
      <c r="M276" s="119" t="s">
        <v>26</v>
      </c>
      <c r="N276" s="119" t="s">
        <v>26</v>
      </c>
      <c r="O276" s="118">
        <v>3.6</v>
      </c>
      <c r="P276" s="119" t="s">
        <v>26</v>
      </c>
      <c r="Q276" s="119" t="s">
        <v>26</v>
      </c>
      <c r="R276" s="119" t="s">
        <v>26</v>
      </c>
      <c r="S276" s="120" t="s">
        <v>26</v>
      </c>
      <c r="T276" s="121" t="s">
        <v>26</v>
      </c>
      <c r="U276" s="123" t="s">
        <v>26</v>
      </c>
      <c r="V276" s="126" t="s">
        <v>26</v>
      </c>
      <c r="AC276" s="33"/>
      <c r="AD276" s="33"/>
      <c r="AE276" s="33"/>
    </row>
    <row r="277" spans="1:31">
      <c r="A277" s="18" t="s">
        <v>303</v>
      </c>
      <c r="B277" s="8" t="s">
        <v>68</v>
      </c>
      <c r="C277" s="8" t="s">
        <v>22</v>
      </c>
      <c r="D277" s="3" t="s">
        <v>33</v>
      </c>
      <c r="E277" s="23" t="s">
        <v>29</v>
      </c>
      <c r="F277" s="16" t="s">
        <v>332</v>
      </c>
      <c r="G277" s="118">
        <v>44</v>
      </c>
      <c r="H277" s="118">
        <v>27.2</v>
      </c>
      <c r="I277" s="118">
        <v>27.2</v>
      </c>
      <c r="J277" s="118">
        <v>6.1</v>
      </c>
      <c r="K277" s="119" t="s">
        <v>26</v>
      </c>
      <c r="L277" s="119" t="s">
        <v>26</v>
      </c>
      <c r="M277" s="119" t="s">
        <v>26</v>
      </c>
      <c r="N277" s="119" t="s">
        <v>26</v>
      </c>
      <c r="O277" s="118">
        <v>6.8</v>
      </c>
      <c r="P277" s="119" t="s">
        <v>26</v>
      </c>
      <c r="Q277" s="119" t="s">
        <v>26</v>
      </c>
      <c r="R277" s="119" t="s">
        <v>26</v>
      </c>
      <c r="S277" s="120" t="s">
        <v>26</v>
      </c>
      <c r="T277" s="121" t="s">
        <v>26</v>
      </c>
      <c r="U277" s="122">
        <v>20</v>
      </c>
      <c r="V277" s="126" t="s">
        <v>26</v>
      </c>
      <c r="AC277" s="33"/>
      <c r="AD277" s="33"/>
      <c r="AE277" s="33"/>
    </row>
    <row r="278" spans="1:31">
      <c r="A278" s="18" t="s">
        <v>303</v>
      </c>
      <c r="B278" s="8" t="s">
        <v>68</v>
      </c>
      <c r="C278" s="8" t="s">
        <v>22</v>
      </c>
      <c r="D278" s="3" t="s">
        <v>33</v>
      </c>
      <c r="E278" s="23" t="s">
        <v>31</v>
      </c>
      <c r="F278" s="16" t="s">
        <v>333</v>
      </c>
      <c r="G278" s="118">
        <v>17</v>
      </c>
      <c r="H278" s="119" t="s">
        <v>26</v>
      </c>
      <c r="I278" s="119" t="s">
        <v>26</v>
      </c>
      <c r="J278" s="119" t="s">
        <v>26</v>
      </c>
      <c r="K278" s="119" t="s">
        <v>26</v>
      </c>
      <c r="L278" s="119" t="s">
        <v>26</v>
      </c>
      <c r="M278" s="119" t="s">
        <v>26</v>
      </c>
      <c r="N278" s="119" t="s">
        <v>26</v>
      </c>
      <c r="O278" s="125" t="s">
        <v>26</v>
      </c>
      <c r="P278" s="119" t="s">
        <v>26</v>
      </c>
      <c r="Q278" s="119" t="s">
        <v>26</v>
      </c>
      <c r="R278" s="119" t="s">
        <v>26</v>
      </c>
      <c r="S278" s="120" t="s">
        <v>26</v>
      </c>
      <c r="T278" s="121" t="s">
        <v>26</v>
      </c>
      <c r="U278" s="130">
        <v>922</v>
      </c>
      <c r="V278" s="126" t="s">
        <v>26</v>
      </c>
      <c r="AC278" s="33"/>
      <c r="AD278" s="33"/>
      <c r="AE278" s="33"/>
    </row>
    <row r="279" spans="1:31">
      <c r="A279" s="18" t="s">
        <v>334</v>
      </c>
      <c r="B279" s="8" t="s">
        <v>59</v>
      </c>
      <c r="C279" s="8" t="s">
        <v>22</v>
      </c>
      <c r="D279" s="8" t="s">
        <v>54</v>
      </c>
      <c r="E279" s="23" t="s">
        <v>27</v>
      </c>
      <c r="F279" s="16" t="s">
        <v>335</v>
      </c>
      <c r="G279" s="118">
        <v>130</v>
      </c>
      <c r="H279" s="118">
        <v>33.4</v>
      </c>
      <c r="I279" s="118">
        <v>10.7</v>
      </c>
      <c r="J279" s="118">
        <v>0.5</v>
      </c>
      <c r="K279" s="119" t="s">
        <v>26</v>
      </c>
      <c r="L279" s="119" t="s">
        <v>26</v>
      </c>
      <c r="M279" s="118">
        <v>0.5</v>
      </c>
      <c r="N279" s="119" t="s">
        <v>26</v>
      </c>
      <c r="O279" s="118">
        <v>4.2</v>
      </c>
      <c r="P279" s="118">
        <v>1.3</v>
      </c>
      <c r="Q279" s="118">
        <v>6.7</v>
      </c>
      <c r="R279" s="118">
        <v>1.4</v>
      </c>
      <c r="S279" s="127">
        <v>1</v>
      </c>
      <c r="T279" s="121" t="s">
        <v>26</v>
      </c>
      <c r="U279" s="122">
        <v>173</v>
      </c>
      <c r="V279" s="126" t="s">
        <v>26</v>
      </c>
      <c r="AC279" s="33"/>
      <c r="AD279" s="33"/>
      <c r="AE279" s="33"/>
    </row>
    <row r="280" spans="1:31">
      <c r="A280" s="18" t="s">
        <v>334</v>
      </c>
      <c r="B280" s="8" t="s">
        <v>59</v>
      </c>
      <c r="C280" s="8" t="s">
        <v>22</v>
      </c>
      <c r="D280" s="8" t="s">
        <v>54</v>
      </c>
      <c r="E280" s="23" t="s">
        <v>29</v>
      </c>
      <c r="F280" s="16" t="s">
        <v>336</v>
      </c>
      <c r="G280" s="118">
        <v>48</v>
      </c>
      <c r="H280" s="118">
        <v>11</v>
      </c>
      <c r="I280" s="118">
        <v>15</v>
      </c>
      <c r="J280" s="118">
        <v>5</v>
      </c>
      <c r="K280" s="119" t="s">
        <v>26</v>
      </c>
      <c r="L280" s="119" t="s">
        <v>26</v>
      </c>
      <c r="M280" s="118">
        <v>0.8</v>
      </c>
      <c r="N280" s="119" t="s">
        <v>26</v>
      </c>
      <c r="O280" s="118">
        <v>5.8</v>
      </c>
      <c r="P280" s="118">
        <v>7</v>
      </c>
      <c r="Q280" s="118">
        <v>2.1</v>
      </c>
      <c r="R280" s="118">
        <v>1.9</v>
      </c>
      <c r="S280" s="127">
        <v>3.9</v>
      </c>
      <c r="T280" s="121" t="s">
        <v>26</v>
      </c>
      <c r="U280" s="130">
        <v>4591</v>
      </c>
      <c r="V280" s="126" t="s">
        <v>26</v>
      </c>
      <c r="AC280" s="33"/>
      <c r="AD280" s="33"/>
      <c r="AE280" s="33"/>
    </row>
    <row r="281" spans="1:31">
      <c r="A281" s="18" t="s">
        <v>334</v>
      </c>
      <c r="B281" s="8" t="s">
        <v>59</v>
      </c>
      <c r="C281" s="8" t="s">
        <v>22</v>
      </c>
      <c r="D281" s="8" t="s">
        <v>54</v>
      </c>
      <c r="E281" s="23" t="s">
        <v>31</v>
      </c>
      <c r="F281" s="16" t="s">
        <v>337</v>
      </c>
      <c r="G281" s="118">
        <v>17</v>
      </c>
      <c r="H281" s="119" t="s">
        <v>26</v>
      </c>
      <c r="I281" s="118">
        <v>4.8</v>
      </c>
      <c r="J281" s="118">
        <v>10.1</v>
      </c>
      <c r="K281" s="119" t="s">
        <v>26</v>
      </c>
      <c r="L281" s="119" t="s">
        <v>26</v>
      </c>
      <c r="M281" s="119" t="s">
        <v>26</v>
      </c>
      <c r="N281" s="119" t="s">
        <v>26</v>
      </c>
      <c r="O281" s="118">
        <v>5.4</v>
      </c>
      <c r="P281" s="118">
        <v>3.1</v>
      </c>
      <c r="Q281" s="119" t="s">
        <v>26</v>
      </c>
      <c r="R281" s="119" t="s">
        <v>26</v>
      </c>
      <c r="S281" s="127">
        <v>5.6</v>
      </c>
      <c r="T281" s="121" t="s">
        <v>26</v>
      </c>
      <c r="U281" s="130">
        <v>321</v>
      </c>
      <c r="V281" s="126" t="s">
        <v>26</v>
      </c>
      <c r="AC281" s="33"/>
      <c r="AD281" s="33"/>
      <c r="AE281" s="33"/>
    </row>
    <row r="282" spans="1:31">
      <c r="A282" s="18" t="s">
        <v>334</v>
      </c>
      <c r="B282" s="8" t="s">
        <v>119</v>
      </c>
      <c r="C282" s="8" t="s">
        <v>22</v>
      </c>
      <c r="D282" s="3" t="s">
        <v>33</v>
      </c>
      <c r="E282" s="25" t="s">
        <v>71</v>
      </c>
      <c r="F282" s="16" t="s">
        <v>338</v>
      </c>
      <c r="G282" s="118">
        <v>92</v>
      </c>
      <c r="H282" s="118">
        <v>33.5</v>
      </c>
      <c r="I282" s="118">
        <v>11.4</v>
      </c>
      <c r="J282" s="119" t="s">
        <v>26</v>
      </c>
      <c r="K282" s="119" t="s">
        <v>26</v>
      </c>
      <c r="L282" s="119" t="s">
        <v>26</v>
      </c>
      <c r="M282" s="119" t="s">
        <v>26</v>
      </c>
      <c r="N282" s="119" t="s">
        <v>26</v>
      </c>
      <c r="O282" s="118">
        <v>1.2</v>
      </c>
      <c r="P282" s="119" t="s">
        <v>26</v>
      </c>
      <c r="Q282" s="118">
        <v>25.8</v>
      </c>
      <c r="R282" s="119" t="s">
        <v>26</v>
      </c>
      <c r="S282" s="127">
        <v>2.5</v>
      </c>
      <c r="T282" s="121" t="s">
        <v>26</v>
      </c>
      <c r="U282" s="130">
        <v>1140</v>
      </c>
      <c r="V282" s="89">
        <v>124</v>
      </c>
      <c r="AC282" s="33"/>
      <c r="AD282" s="33"/>
      <c r="AE282" s="33"/>
    </row>
    <row r="283" spans="1:31">
      <c r="A283" s="18" t="s">
        <v>334</v>
      </c>
      <c r="B283" s="8" t="s">
        <v>119</v>
      </c>
      <c r="C283" s="8" t="s">
        <v>22</v>
      </c>
      <c r="D283" s="3" t="s">
        <v>33</v>
      </c>
      <c r="E283" s="23" t="s">
        <v>29</v>
      </c>
      <c r="F283" s="16" t="s">
        <v>339</v>
      </c>
      <c r="G283" s="118">
        <v>53</v>
      </c>
      <c r="H283" s="118">
        <v>3.4</v>
      </c>
      <c r="I283" s="118">
        <v>22.6</v>
      </c>
      <c r="J283" s="119" t="s">
        <v>26</v>
      </c>
      <c r="K283" s="119" t="s">
        <v>26</v>
      </c>
      <c r="L283" s="119" t="s">
        <v>26</v>
      </c>
      <c r="M283" s="119" t="s">
        <v>26</v>
      </c>
      <c r="N283" s="119" t="s">
        <v>26</v>
      </c>
      <c r="O283" s="118">
        <v>3.8</v>
      </c>
      <c r="P283" s="119" t="s">
        <v>26</v>
      </c>
      <c r="Q283" s="118">
        <v>18.600000000000001</v>
      </c>
      <c r="R283" s="119" t="s">
        <v>26</v>
      </c>
      <c r="S283" s="127">
        <v>6.5</v>
      </c>
      <c r="T283" s="121" t="s">
        <v>26</v>
      </c>
      <c r="U283" s="123" t="s">
        <v>26</v>
      </c>
      <c r="V283" s="126" t="s">
        <v>26</v>
      </c>
      <c r="AC283" s="33"/>
      <c r="AD283" s="33"/>
      <c r="AE283" s="33"/>
    </row>
    <row r="284" spans="1:31">
      <c r="A284" s="18" t="s">
        <v>334</v>
      </c>
      <c r="B284" s="8" t="s">
        <v>119</v>
      </c>
      <c r="C284" s="8" t="s">
        <v>22</v>
      </c>
      <c r="D284" s="3" t="s">
        <v>33</v>
      </c>
      <c r="E284" s="23" t="s">
        <v>31</v>
      </c>
      <c r="F284" s="16" t="s">
        <v>283</v>
      </c>
      <c r="G284" s="118">
        <v>19</v>
      </c>
      <c r="H284" s="119" t="s">
        <v>26</v>
      </c>
      <c r="I284" s="118">
        <v>15.4</v>
      </c>
      <c r="J284" s="118">
        <v>2.92</v>
      </c>
      <c r="K284" s="119" t="s">
        <v>26</v>
      </c>
      <c r="L284" s="119" t="s">
        <v>26</v>
      </c>
      <c r="M284" s="119" t="s">
        <v>26</v>
      </c>
      <c r="N284" s="119" t="s">
        <v>26</v>
      </c>
      <c r="O284" s="118">
        <v>2.9</v>
      </c>
      <c r="P284" s="119" t="s">
        <v>26</v>
      </c>
      <c r="Q284" s="119" t="s">
        <v>26</v>
      </c>
      <c r="R284" s="119" t="s">
        <v>26</v>
      </c>
      <c r="S284" s="127">
        <v>7.5</v>
      </c>
      <c r="T284" s="121" t="s">
        <v>26</v>
      </c>
      <c r="U284" s="130">
        <v>915</v>
      </c>
      <c r="V284" s="126" t="s">
        <v>26</v>
      </c>
      <c r="AC284" s="33"/>
      <c r="AD284" s="33"/>
      <c r="AE284" s="33"/>
    </row>
    <row r="285" spans="1:31">
      <c r="A285" s="18" t="s">
        <v>334</v>
      </c>
      <c r="B285" s="8" t="s">
        <v>340</v>
      </c>
      <c r="C285" s="8" t="s">
        <v>22</v>
      </c>
      <c r="D285" s="3" t="s">
        <v>33</v>
      </c>
      <c r="E285" s="23" t="s">
        <v>27</v>
      </c>
      <c r="F285" s="16" t="s">
        <v>341</v>
      </c>
      <c r="G285" s="118">
        <v>128</v>
      </c>
      <c r="H285" s="118">
        <v>35.799999999999997</v>
      </c>
      <c r="I285" s="118">
        <v>12.6</v>
      </c>
      <c r="J285" s="119" t="s">
        <v>26</v>
      </c>
      <c r="K285" s="119" t="s">
        <v>26</v>
      </c>
      <c r="L285" s="119" t="s">
        <v>26</v>
      </c>
      <c r="M285" s="119" t="s">
        <v>26</v>
      </c>
      <c r="N285" s="119" t="s">
        <v>26</v>
      </c>
      <c r="O285" s="118">
        <v>2</v>
      </c>
      <c r="P285" s="119" t="s">
        <v>26</v>
      </c>
      <c r="Q285" s="119" t="s">
        <v>26</v>
      </c>
      <c r="R285" s="119" t="s">
        <v>26</v>
      </c>
      <c r="S285" s="127">
        <v>2.1</v>
      </c>
      <c r="T285" s="121" t="s">
        <v>26</v>
      </c>
      <c r="U285" s="123" t="s">
        <v>26</v>
      </c>
      <c r="V285" s="126" t="s">
        <v>26</v>
      </c>
      <c r="AC285" s="33"/>
      <c r="AD285" s="33"/>
      <c r="AE285" s="33"/>
    </row>
    <row r="286" spans="1:31">
      <c r="A286" s="18" t="s">
        <v>334</v>
      </c>
      <c r="B286" s="8" t="s">
        <v>340</v>
      </c>
      <c r="C286" s="8" t="s">
        <v>22</v>
      </c>
      <c r="D286" s="3" t="s">
        <v>33</v>
      </c>
      <c r="E286" s="24" t="s">
        <v>29</v>
      </c>
      <c r="F286" s="16" t="s">
        <v>342</v>
      </c>
      <c r="G286" s="118">
        <v>46</v>
      </c>
      <c r="H286" s="118">
        <v>21.5</v>
      </c>
      <c r="I286" s="118">
        <v>18.399999999999999</v>
      </c>
      <c r="J286" s="119" t="s">
        <v>26</v>
      </c>
      <c r="K286" s="119" t="s">
        <v>26</v>
      </c>
      <c r="L286" s="119" t="s">
        <v>26</v>
      </c>
      <c r="M286" s="119" t="s">
        <v>26</v>
      </c>
      <c r="N286" s="119" t="s">
        <v>26</v>
      </c>
      <c r="O286" s="118">
        <v>4.5</v>
      </c>
      <c r="P286" s="119" t="s">
        <v>26</v>
      </c>
      <c r="Q286" s="119" t="s">
        <v>26</v>
      </c>
      <c r="R286" s="119" t="s">
        <v>26</v>
      </c>
      <c r="S286" s="127">
        <v>8.6</v>
      </c>
      <c r="T286" s="121" t="s">
        <v>26</v>
      </c>
      <c r="U286" s="123" t="s">
        <v>26</v>
      </c>
      <c r="V286" s="126" t="s">
        <v>26</v>
      </c>
      <c r="AC286" s="33"/>
      <c r="AD286" s="33"/>
      <c r="AE286" s="33"/>
    </row>
    <row r="287" spans="1:31">
      <c r="A287" s="18" t="s">
        <v>334</v>
      </c>
      <c r="B287" s="8" t="s">
        <v>340</v>
      </c>
      <c r="C287" s="8" t="s">
        <v>22</v>
      </c>
      <c r="D287" s="3" t="s">
        <v>33</v>
      </c>
      <c r="E287" s="23" t="s">
        <v>31</v>
      </c>
      <c r="F287" s="16" t="s">
        <v>343</v>
      </c>
      <c r="G287" s="118">
        <v>21</v>
      </c>
      <c r="H287" s="119" t="s">
        <v>26</v>
      </c>
      <c r="I287" s="118">
        <v>14.5</v>
      </c>
      <c r="J287" s="119" t="s">
        <v>26</v>
      </c>
      <c r="K287" s="119" t="s">
        <v>26</v>
      </c>
      <c r="L287" s="119" t="s">
        <v>26</v>
      </c>
      <c r="M287" s="119" t="s">
        <v>26</v>
      </c>
      <c r="N287" s="119" t="s">
        <v>26</v>
      </c>
      <c r="O287" s="118">
        <v>5.0999999999999996</v>
      </c>
      <c r="P287" s="119" t="s">
        <v>26</v>
      </c>
      <c r="Q287" s="119" t="s">
        <v>26</v>
      </c>
      <c r="R287" s="119" t="s">
        <v>26</v>
      </c>
      <c r="S287" s="127">
        <v>7.6</v>
      </c>
      <c r="T287" s="121" t="s">
        <v>26</v>
      </c>
      <c r="U287" s="133">
        <v>1024</v>
      </c>
      <c r="V287" s="126" t="s">
        <v>26</v>
      </c>
      <c r="AC287" s="33"/>
      <c r="AD287" s="33"/>
      <c r="AE287" s="33"/>
    </row>
    <row r="288" spans="1:31">
      <c r="A288" s="18" t="s">
        <v>334</v>
      </c>
      <c r="B288" s="8" t="s">
        <v>344</v>
      </c>
      <c r="C288" s="8" t="s">
        <v>22</v>
      </c>
      <c r="D288" s="8" t="s">
        <v>109</v>
      </c>
      <c r="E288" s="23" t="s">
        <v>24</v>
      </c>
      <c r="F288" s="16" t="s">
        <v>345</v>
      </c>
      <c r="G288" s="118">
        <v>228</v>
      </c>
      <c r="H288" s="118">
        <v>11.2</v>
      </c>
      <c r="I288" s="119" t="s">
        <v>26</v>
      </c>
      <c r="J288" s="119" t="s">
        <v>26</v>
      </c>
      <c r="K288" s="119" t="s">
        <v>26</v>
      </c>
      <c r="L288" s="119" t="s">
        <v>26</v>
      </c>
      <c r="M288" s="119" t="s">
        <v>26</v>
      </c>
      <c r="N288" s="119" t="s">
        <v>26</v>
      </c>
      <c r="O288" s="118">
        <v>2</v>
      </c>
      <c r="P288" s="119" t="s">
        <v>26</v>
      </c>
      <c r="Q288" s="119" t="s">
        <v>26</v>
      </c>
      <c r="R288" s="119" t="s">
        <v>26</v>
      </c>
      <c r="S288" s="120" t="s">
        <v>26</v>
      </c>
      <c r="T288" s="121" t="s">
        <v>26</v>
      </c>
      <c r="U288" s="130">
        <v>780</v>
      </c>
      <c r="V288" s="89">
        <v>650</v>
      </c>
      <c r="AC288" s="33"/>
      <c r="AD288" s="33"/>
      <c r="AE288" s="33"/>
    </row>
    <row r="289" spans="1:31">
      <c r="A289" s="18" t="s">
        <v>334</v>
      </c>
      <c r="B289" s="8" t="s">
        <v>344</v>
      </c>
      <c r="C289" s="8" t="s">
        <v>22</v>
      </c>
      <c r="D289" s="8" t="s">
        <v>109</v>
      </c>
      <c r="E289" s="23" t="s">
        <v>27</v>
      </c>
      <c r="F289" s="16" t="s">
        <v>346</v>
      </c>
      <c r="G289" s="118">
        <v>102</v>
      </c>
      <c r="H289" s="118">
        <v>35.6</v>
      </c>
      <c r="I289" s="118">
        <v>10.199999999999999</v>
      </c>
      <c r="J289" s="119" t="s">
        <v>26</v>
      </c>
      <c r="K289" s="119" t="s">
        <v>26</v>
      </c>
      <c r="L289" s="119" t="s">
        <v>26</v>
      </c>
      <c r="M289" s="118">
        <v>5.5</v>
      </c>
      <c r="N289" s="119" t="s">
        <v>26</v>
      </c>
      <c r="O289" s="118">
        <v>3.5</v>
      </c>
      <c r="P289" s="119" t="s">
        <v>26</v>
      </c>
      <c r="Q289" s="118">
        <v>15.4</v>
      </c>
      <c r="R289" s="119" t="s">
        <v>26</v>
      </c>
      <c r="S289" s="120" t="s">
        <v>26</v>
      </c>
      <c r="T289" s="121" t="s">
        <v>26</v>
      </c>
      <c r="U289" s="123" t="s">
        <v>26</v>
      </c>
      <c r="V289" s="89">
        <v>444</v>
      </c>
      <c r="AC289" s="33"/>
      <c r="AD289" s="33"/>
      <c r="AE289" s="33"/>
    </row>
    <row r="290" spans="1:31">
      <c r="A290" s="18" t="s">
        <v>334</v>
      </c>
      <c r="B290" s="8" t="s">
        <v>344</v>
      </c>
      <c r="C290" s="8" t="s">
        <v>22</v>
      </c>
      <c r="D290" s="8" t="s">
        <v>109</v>
      </c>
      <c r="E290" s="23" t="s">
        <v>29</v>
      </c>
      <c r="F290" s="16" t="s">
        <v>347</v>
      </c>
      <c r="G290" s="118">
        <v>40</v>
      </c>
      <c r="H290" s="118">
        <v>33.799999999999997</v>
      </c>
      <c r="I290" s="118">
        <v>15.2</v>
      </c>
      <c r="J290" s="118">
        <v>1.28</v>
      </c>
      <c r="K290" s="119" t="s">
        <v>26</v>
      </c>
      <c r="L290" s="119" t="s">
        <v>26</v>
      </c>
      <c r="M290" s="118">
        <v>4.2</v>
      </c>
      <c r="N290" s="119" t="s">
        <v>26</v>
      </c>
      <c r="O290" s="118">
        <v>5</v>
      </c>
      <c r="P290" s="119" t="s">
        <v>26</v>
      </c>
      <c r="Q290" s="118">
        <v>11.2</v>
      </c>
      <c r="R290" s="119" t="s">
        <v>26</v>
      </c>
      <c r="S290" s="120" t="s">
        <v>26</v>
      </c>
      <c r="T290" s="121" t="s">
        <v>26</v>
      </c>
      <c r="U290" s="130">
        <v>820</v>
      </c>
      <c r="V290" s="89">
        <v>822</v>
      </c>
      <c r="AC290" s="33"/>
      <c r="AD290" s="33"/>
      <c r="AE290" s="33"/>
    </row>
    <row r="291" spans="1:31">
      <c r="A291" s="18" t="s">
        <v>334</v>
      </c>
      <c r="B291" s="8" t="s">
        <v>344</v>
      </c>
      <c r="C291" s="8" t="s">
        <v>22</v>
      </c>
      <c r="D291" s="8" t="s">
        <v>109</v>
      </c>
      <c r="E291" s="23" t="s">
        <v>31</v>
      </c>
      <c r="F291" s="16" t="s">
        <v>348</v>
      </c>
      <c r="G291" s="118">
        <v>16</v>
      </c>
      <c r="H291" s="118">
        <v>21.5</v>
      </c>
      <c r="I291" s="118">
        <v>3.2</v>
      </c>
      <c r="J291" s="118">
        <v>7.32</v>
      </c>
      <c r="K291" s="119" t="s">
        <v>26</v>
      </c>
      <c r="L291" s="119" t="s">
        <v>26</v>
      </c>
      <c r="M291" s="119" t="s">
        <v>26</v>
      </c>
      <c r="N291" s="119" t="s">
        <v>26</v>
      </c>
      <c r="O291" s="125" t="s">
        <v>26</v>
      </c>
      <c r="P291" s="119" t="s">
        <v>26</v>
      </c>
      <c r="Q291" s="119" t="s">
        <v>26</v>
      </c>
      <c r="R291" s="119" t="s">
        <v>26</v>
      </c>
      <c r="S291" s="120" t="s">
        <v>26</v>
      </c>
      <c r="T291" s="121" t="s">
        <v>26</v>
      </c>
      <c r="U291" s="123" t="s">
        <v>26</v>
      </c>
      <c r="V291" s="89">
        <v>40</v>
      </c>
      <c r="AC291" s="33"/>
      <c r="AD291" s="33"/>
      <c r="AE291" s="33"/>
    </row>
    <row r="292" spans="1:31">
      <c r="A292" s="18" t="s">
        <v>334</v>
      </c>
      <c r="B292" s="8" t="s">
        <v>349</v>
      </c>
      <c r="C292" s="8" t="s">
        <v>22</v>
      </c>
      <c r="D292" s="3" t="s">
        <v>23</v>
      </c>
      <c r="E292" s="23" t="s">
        <v>24</v>
      </c>
      <c r="F292" s="16" t="s">
        <v>350</v>
      </c>
      <c r="G292" s="118">
        <v>208</v>
      </c>
      <c r="H292" s="118">
        <v>22.5</v>
      </c>
      <c r="I292" s="119" t="s">
        <v>26</v>
      </c>
      <c r="J292" s="119" t="s">
        <v>26</v>
      </c>
      <c r="K292" s="119" t="s">
        <v>26</v>
      </c>
      <c r="L292" s="119" t="s">
        <v>26</v>
      </c>
      <c r="M292" s="118">
        <v>1.5</v>
      </c>
      <c r="N292" s="119" t="s">
        <v>26</v>
      </c>
      <c r="O292" s="118">
        <v>2.2000000000000002</v>
      </c>
      <c r="P292" s="118">
        <v>3</v>
      </c>
      <c r="Q292" s="119" t="s">
        <v>26</v>
      </c>
      <c r="R292" s="119" t="s">
        <v>26</v>
      </c>
      <c r="S292" s="120" t="s">
        <v>26</v>
      </c>
      <c r="T292" s="121" t="s">
        <v>26</v>
      </c>
      <c r="U292" s="89">
        <v>80</v>
      </c>
      <c r="V292" s="126" t="s">
        <v>26</v>
      </c>
      <c r="AC292" s="33"/>
      <c r="AD292" s="33"/>
      <c r="AE292" s="33"/>
    </row>
    <row r="293" spans="1:31">
      <c r="A293" s="18" t="s">
        <v>334</v>
      </c>
      <c r="B293" s="8" t="s">
        <v>349</v>
      </c>
      <c r="C293" s="8" t="s">
        <v>22</v>
      </c>
      <c r="D293" s="3" t="s">
        <v>23</v>
      </c>
      <c r="E293" s="23" t="s">
        <v>27</v>
      </c>
      <c r="F293" s="16" t="s">
        <v>351</v>
      </c>
      <c r="G293" s="118">
        <v>101</v>
      </c>
      <c r="H293" s="118">
        <v>40.5</v>
      </c>
      <c r="I293" s="118">
        <v>6.6</v>
      </c>
      <c r="J293" s="119" t="s">
        <v>26</v>
      </c>
      <c r="K293" s="119" t="s">
        <v>26</v>
      </c>
      <c r="L293" s="119" t="s">
        <v>26</v>
      </c>
      <c r="M293" s="118">
        <v>2.6</v>
      </c>
      <c r="N293" s="119" t="s">
        <v>26</v>
      </c>
      <c r="O293" s="118">
        <v>3.1</v>
      </c>
      <c r="P293" s="118">
        <v>5</v>
      </c>
      <c r="Q293" s="119" t="s">
        <v>26</v>
      </c>
      <c r="R293" s="119" t="s">
        <v>26</v>
      </c>
      <c r="S293" s="120" t="s">
        <v>26</v>
      </c>
      <c r="T293" s="121" t="s">
        <v>26</v>
      </c>
      <c r="U293" s="123" t="s">
        <v>26</v>
      </c>
      <c r="V293" s="126" t="s">
        <v>26</v>
      </c>
      <c r="AC293" s="33"/>
      <c r="AD293" s="33"/>
      <c r="AE293" s="33"/>
    </row>
    <row r="294" spans="1:31">
      <c r="A294" s="18" t="s">
        <v>334</v>
      </c>
      <c r="B294" s="8" t="s">
        <v>349</v>
      </c>
      <c r="C294" s="8" t="s">
        <v>22</v>
      </c>
      <c r="D294" s="3" t="s">
        <v>23</v>
      </c>
      <c r="E294" s="23" t="s">
        <v>29</v>
      </c>
      <c r="F294" s="16" t="s">
        <v>352</v>
      </c>
      <c r="G294" s="118">
        <v>48</v>
      </c>
      <c r="H294" s="118">
        <v>5.5</v>
      </c>
      <c r="I294" s="118">
        <v>18.600000000000001</v>
      </c>
      <c r="J294" s="118">
        <v>2.08</v>
      </c>
      <c r="K294" s="119" t="s">
        <v>26</v>
      </c>
      <c r="L294" s="119" t="s">
        <v>26</v>
      </c>
      <c r="M294" s="118">
        <v>3.8</v>
      </c>
      <c r="N294" s="119" t="s">
        <v>26</v>
      </c>
      <c r="O294" s="118">
        <v>5.9</v>
      </c>
      <c r="P294" s="118">
        <v>11.5</v>
      </c>
      <c r="Q294" s="119" t="s">
        <v>26</v>
      </c>
      <c r="R294" s="119" t="s">
        <v>26</v>
      </c>
      <c r="S294" s="120" t="s">
        <v>26</v>
      </c>
      <c r="T294" s="121" t="s">
        <v>26</v>
      </c>
      <c r="U294" s="123" t="s">
        <v>26</v>
      </c>
      <c r="V294" s="126" t="s">
        <v>26</v>
      </c>
      <c r="AC294" s="33"/>
      <c r="AD294" s="33"/>
      <c r="AE294" s="33"/>
    </row>
    <row r="295" spans="1:31">
      <c r="A295" s="18" t="s">
        <v>334</v>
      </c>
      <c r="B295" s="8" t="s">
        <v>349</v>
      </c>
      <c r="C295" s="8" t="s">
        <v>22</v>
      </c>
      <c r="D295" s="3" t="s">
        <v>23</v>
      </c>
      <c r="E295" s="23" t="s">
        <v>31</v>
      </c>
      <c r="F295" s="16" t="s">
        <v>263</v>
      </c>
      <c r="G295" s="118">
        <v>24</v>
      </c>
      <c r="H295" s="119" t="s">
        <v>26</v>
      </c>
      <c r="I295" s="118">
        <v>35.6</v>
      </c>
      <c r="J295" s="118">
        <v>4.88</v>
      </c>
      <c r="K295" s="119" t="s">
        <v>26</v>
      </c>
      <c r="L295" s="119" t="s">
        <v>26</v>
      </c>
      <c r="M295" s="118">
        <v>5.2</v>
      </c>
      <c r="N295" s="119" t="s">
        <v>26</v>
      </c>
      <c r="O295" s="118">
        <v>6.5</v>
      </c>
      <c r="P295" s="118">
        <v>7.7</v>
      </c>
      <c r="Q295" s="119" t="s">
        <v>26</v>
      </c>
      <c r="R295" s="119" t="s">
        <v>26</v>
      </c>
      <c r="S295" s="120" t="s">
        <v>26</v>
      </c>
      <c r="T295" s="121" t="s">
        <v>26</v>
      </c>
      <c r="U295" s="89">
        <v>563</v>
      </c>
      <c r="V295" s="126" t="s">
        <v>26</v>
      </c>
      <c r="AC295" s="33"/>
      <c r="AD295" s="33"/>
      <c r="AE295" s="33"/>
    </row>
    <row r="296" spans="1:31">
      <c r="A296" s="18" t="s">
        <v>334</v>
      </c>
      <c r="B296" s="8" t="s">
        <v>349</v>
      </c>
      <c r="C296" s="8" t="s">
        <v>22</v>
      </c>
      <c r="D296" s="3" t="s">
        <v>23</v>
      </c>
      <c r="E296" s="25" t="s">
        <v>131</v>
      </c>
      <c r="F296" s="16" t="s">
        <v>353</v>
      </c>
      <c r="G296" s="118">
        <v>20</v>
      </c>
      <c r="H296" s="118">
        <v>5.8</v>
      </c>
      <c r="I296" s="118">
        <v>28.4</v>
      </c>
      <c r="J296" s="118">
        <v>5.9</v>
      </c>
      <c r="K296" s="119" t="s">
        <v>26</v>
      </c>
      <c r="L296" s="119" t="s">
        <v>26</v>
      </c>
      <c r="M296" s="118">
        <v>6</v>
      </c>
      <c r="N296" s="119" t="s">
        <v>26</v>
      </c>
      <c r="O296" s="125" t="s">
        <v>26</v>
      </c>
      <c r="P296" s="119" t="s">
        <v>26</v>
      </c>
      <c r="Q296" s="119" t="s">
        <v>26</v>
      </c>
      <c r="R296" s="119" t="s">
        <v>26</v>
      </c>
      <c r="S296" s="120" t="s">
        <v>26</v>
      </c>
      <c r="T296" s="121" t="s">
        <v>26</v>
      </c>
      <c r="U296" s="89">
        <v>1781</v>
      </c>
      <c r="V296" s="126" t="s">
        <v>26</v>
      </c>
      <c r="AC296" s="33"/>
      <c r="AD296" s="33"/>
      <c r="AE296" s="33"/>
    </row>
    <row r="297" spans="1:31">
      <c r="A297" s="18" t="s">
        <v>334</v>
      </c>
      <c r="B297" s="8" t="s">
        <v>83</v>
      </c>
      <c r="C297" s="8" t="s">
        <v>22</v>
      </c>
      <c r="D297" s="3" t="s">
        <v>23</v>
      </c>
      <c r="E297" s="23" t="s">
        <v>24</v>
      </c>
      <c r="F297" s="16" t="s">
        <v>354</v>
      </c>
      <c r="G297" s="118">
        <v>219</v>
      </c>
      <c r="H297" s="118">
        <v>25.8</v>
      </c>
      <c r="I297" s="119" t="s">
        <v>26</v>
      </c>
      <c r="J297" s="119" t="s">
        <v>26</v>
      </c>
      <c r="K297" s="119" t="s">
        <v>26</v>
      </c>
      <c r="L297" s="119" t="s">
        <v>26</v>
      </c>
      <c r="M297" s="118">
        <v>2</v>
      </c>
      <c r="N297" s="119" t="s">
        <v>26</v>
      </c>
      <c r="O297" s="118">
        <v>3.1</v>
      </c>
      <c r="P297" s="118">
        <v>1</v>
      </c>
      <c r="Q297" s="119" t="s">
        <v>26</v>
      </c>
      <c r="R297" s="119" t="s">
        <v>26</v>
      </c>
      <c r="S297" s="120" t="s">
        <v>26</v>
      </c>
      <c r="T297" s="121" t="s">
        <v>26</v>
      </c>
      <c r="U297" s="89">
        <v>320</v>
      </c>
      <c r="V297" s="126" t="s">
        <v>26</v>
      </c>
      <c r="AC297" s="33"/>
      <c r="AD297" s="33"/>
      <c r="AE297" s="33"/>
    </row>
    <row r="298" spans="1:31">
      <c r="A298" s="18" t="s">
        <v>334</v>
      </c>
      <c r="B298" s="8" t="s">
        <v>83</v>
      </c>
      <c r="C298" s="8" t="s">
        <v>22</v>
      </c>
      <c r="D298" s="3" t="s">
        <v>23</v>
      </c>
      <c r="E298" s="23" t="s">
        <v>27</v>
      </c>
      <c r="F298" s="16" t="s">
        <v>355</v>
      </c>
      <c r="G298" s="118">
        <v>109</v>
      </c>
      <c r="H298" s="118">
        <v>31.2</v>
      </c>
      <c r="I298" s="118">
        <v>7.7</v>
      </c>
      <c r="J298" s="119" t="s">
        <v>26</v>
      </c>
      <c r="K298" s="119" t="s">
        <v>26</v>
      </c>
      <c r="L298" s="119" t="s">
        <v>26</v>
      </c>
      <c r="M298" s="118">
        <v>2.9</v>
      </c>
      <c r="N298" s="119" t="s">
        <v>26</v>
      </c>
      <c r="O298" s="118">
        <v>4.2</v>
      </c>
      <c r="P298" s="118">
        <v>1.5</v>
      </c>
      <c r="Q298" s="119" t="s">
        <v>26</v>
      </c>
      <c r="R298" s="119" t="s">
        <v>26</v>
      </c>
      <c r="S298" s="120" t="s">
        <v>26</v>
      </c>
      <c r="T298" s="121" t="s">
        <v>26</v>
      </c>
      <c r="U298" s="123" t="s">
        <v>26</v>
      </c>
      <c r="V298" s="126" t="s">
        <v>26</v>
      </c>
      <c r="AC298" s="33"/>
      <c r="AD298" s="33"/>
      <c r="AE298" s="33"/>
    </row>
    <row r="299" spans="1:31">
      <c r="A299" s="18" t="s">
        <v>334</v>
      </c>
      <c r="B299" s="8" t="s">
        <v>83</v>
      </c>
      <c r="C299" s="8" t="s">
        <v>22</v>
      </c>
      <c r="D299" s="3" t="s">
        <v>23</v>
      </c>
      <c r="E299" s="23" t="s">
        <v>29</v>
      </c>
      <c r="F299" s="16" t="s">
        <v>356</v>
      </c>
      <c r="G299" s="118">
        <v>49</v>
      </c>
      <c r="H299" s="118">
        <v>5.2</v>
      </c>
      <c r="I299" s="118">
        <v>22.6</v>
      </c>
      <c r="J299" s="118">
        <v>1.85</v>
      </c>
      <c r="K299" s="119" t="s">
        <v>26</v>
      </c>
      <c r="L299" s="119" t="s">
        <v>26</v>
      </c>
      <c r="M299" s="118">
        <v>6.5</v>
      </c>
      <c r="N299" s="119" t="s">
        <v>26</v>
      </c>
      <c r="O299" s="118">
        <v>6.1</v>
      </c>
      <c r="P299" s="118">
        <v>3.5</v>
      </c>
      <c r="Q299" s="119" t="s">
        <v>26</v>
      </c>
      <c r="R299" s="119" t="s">
        <v>26</v>
      </c>
      <c r="S299" s="120" t="s">
        <v>26</v>
      </c>
      <c r="T299" s="121" t="s">
        <v>26</v>
      </c>
      <c r="U299" s="123" t="s">
        <v>26</v>
      </c>
      <c r="V299" s="126" t="s">
        <v>26</v>
      </c>
      <c r="AC299" s="33"/>
      <c r="AD299" s="33"/>
      <c r="AE299" s="33"/>
    </row>
    <row r="300" spans="1:31">
      <c r="A300" s="18" t="s">
        <v>334</v>
      </c>
      <c r="B300" s="8" t="s">
        <v>83</v>
      </c>
      <c r="C300" s="8" t="s">
        <v>22</v>
      </c>
      <c r="D300" s="3" t="s">
        <v>23</v>
      </c>
      <c r="E300" s="23" t="s">
        <v>31</v>
      </c>
      <c r="F300" s="16" t="s">
        <v>115</v>
      </c>
      <c r="G300" s="118">
        <v>22</v>
      </c>
      <c r="H300" s="119" t="s">
        <v>26</v>
      </c>
      <c r="I300" s="118">
        <v>25.4</v>
      </c>
      <c r="J300" s="118">
        <v>6.2</v>
      </c>
      <c r="K300" s="119" t="s">
        <v>26</v>
      </c>
      <c r="L300" s="119" t="s">
        <v>26</v>
      </c>
      <c r="M300" s="119" t="s">
        <v>26</v>
      </c>
      <c r="N300" s="119" t="s">
        <v>26</v>
      </c>
      <c r="O300" s="118">
        <v>3.8</v>
      </c>
      <c r="P300" s="119" t="s">
        <v>26</v>
      </c>
      <c r="Q300" s="119" t="s">
        <v>26</v>
      </c>
      <c r="R300" s="119" t="s">
        <v>26</v>
      </c>
      <c r="S300" s="120" t="s">
        <v>26</v>
      </c>
      <c r="T300" s="121" t="s">
        <v>26</v>
      </c>
      <c r="U300" s="89">
        <v>480</v>
      </c>
      <c r="V300" s="126" t="s">
        <v>26</v>
      </c>
      <c r="AC300" s="33"/>
      <c r="AD300" s="33"/>
      <c r="AE300" s="33"/>
    </row>
    <row r="301" spans="1:31">
      <c r="A301" s="18" t="s">
        <v>334</v>
      </c>
      <c r="B301" s="8" t="s">
        <v>83</v>
      </c>
      <c r="C301" s="8" t="s">
        <v>22</v>
      </c>
      <c r="D301" s="3" t="s">
        <v>23</v>
      </c>
      <c r="E301" s="25" t="s">
        <v>131</v>
      </c>
      <c r="F301" s="16" t="s">
        <v>357</v>
      </c>
      <c r="G301" s="118">
        <v>19</v>
      </c>
      <c r="H301" s="118">
        <v>11.5</v>
      </c>
      <c r="I301" s="118">
        <v>22.4</v>
      </c>
      <c r="J301" s="118">
        <v>7.68</v>
      </c>
      <c r="K301" s="119" t="s">
        <v>26</v>
      </c>
      <c r="L301" s="119" t="s">
        <v>26</v>
      </c>
      <c r="M301" s="118">
        <v>5.2</v>
      </c>
      <c r="N301" s="119" t="s">
        <v>26</v>
      </c>
      <c r="O301" s="125" t="s">
        <v>26</v>
      </c>
      <c r="P301" s="119" t="s">
        <v>26</v>
      </c>
      <c r="Q301" s="119" t="s">
        <v>26</v>
      </c>
      <c r="R301" s="119" t="s">
        <v>26</v>
      </c>
      <c r="S301" s="120" t="s">
        <v>26</v>
      </c>
      <c r="T301" s="121" t="s">
        <v>26</v>
      </c>
      <c r="U301" s="89">
        <v>2546</v>
      </c>
      <c r="V301" s="89">
        <v>30</v>
      </c>
      <c r="AC301" s="33"/>
      <c r="AD301" s="33"/>
      <c r="AE301" s="33"/>
    </row>
    <row r="302" spans="1:31">
      <c r="A302" s="18" t="s">
        <v>334</v>
      </c>
      <c r="B302" s="8" t="s">
        <v>358</v>
      </c>
      <c r="C302" s="8" t="s">
        <v>22</v>
      </c>
      <c r="D302" s="3" t="s">
        <v>33</v>
      </c>
      <c r="E302" s="23" t="s">
        <v>27</v>
      </c>
      <c r="F302" s="16" t="s">
        <v>359</v>
      </c>
      <c r="G302" s="118">
        <v>115</v>
      </c>
      <c r="H302" s="118">
        <v>40.5</v>
      </c>
      <c r="I302" s="118">
        <v>14.2</v>
      </c>
      <c r="J302" s="119" t="s">
        <v>26</v>
      </c>
      <c r="K302" s="119" t="s">
        <v>26</v>
      </c>
      <c r="L302" s="119" t="s">
        <v>26</v>
      </c>
      <c r="M302" s="118">
        <v>2.5</v>
      </c>
      <c r="N302" s="119" t="s">
        <v>26</v>
      </c>
      <c r="O302" s="118">
        <v>2.5</v>
      </c>
      <c r="P302" s="119" t="s">
        <v>26</v>
      </c>
      <c r="Q302" s="119" t="s">
        <v>26</v>
      </c>
      <c r="R302" s="119" t="s">
        <v>26</v>
      </c>
      <c r="S302" s="127">
        <v>6.1</v>
      </c>
      <c r="T302" s="121" t="s">
        <v>26</v>
      </c>
      <c r="U302" s="123" t="s">
        <v>26</v>
      </c>
      <c r="V302" s="126" t="s">
        <v>26</v>
      </c>
      <c r="AC302" s="33"/>
      <c r="AD302" s="33"/>
      <c r="AE302" s="33"/>
    </row>
    <row r="303" spans="1:31">
      <c r="A303" s="18" t="s">
        <v>334</v>
      </c>
      <c r="B303" s="8" t="s">
        <v>358</v>
      </c>
      <c r="C303" s="8" t="s">
        <v>22</v>
      </c>
      <c r="D303" s="3" t="s">
        <v>33</v>
      </c>
      <c r="E303" s="23" t="s">
        <v>29</v>
      </c>
      <c r="F303" s="16" t="s">
        <v>360</v>
      </c>
      <c r="G303" s="118">
        <v>51</v>
      </c>
      <c r="H303" s="118">
        <v>3.3</v>
      </c>
      <c r="I303" s="118">
        <v>25.8</v>
      </c>
      <c r="J303" s="118">
        <v>0.85</v>
      </c>
      <c r="K303" s="119" t="s">
        <v>26</v>
      </c>
      <c r="L303" s="119" t="s">
        <v>26</v>
      </c>
      <c r="M303" s="118">
        <v>5.8</v>
      </c>
      <c r="N303" s="119" t="s">
        <v>26</v>
      </c>
      <c r="O303" s="118">
        <v>6.5</v>
      </c>
      <c r="P303" s="119" t="s">
        <v>26</v>
      </c>
      <c r="Q303" s="119" t="s">
        <v>26</v>
      </c>
      <c r="R303" s="119" t="s">
        <v>26</v>
      </c>
      <c r="S303" s="127">
        <v>15.4</v>
      </c>
      <c r="T303" s="121" t="s">
        <v>26</v>
      </c>
      <c r="U303" s="122">
        <v>20</v>
      </c>
      <c r="V303" s="126" t="s">
        <v>26</v>
      </c>
      <c r="AC303" s="33"/>
      <c r="AD303" s="33"/>
      <c r="AE303" s="33"/>
    </row>
    <row r="304" spans="1:31">
      <c r="A304" s="18" t="s">
        <v>334</v>
      </c>
      <c r="B304" s="8" t="s">
        <v>358</v>
      </c>
      <c r="C304" s="8" t="s">
        <v>22</v>
      </c>
      <c r="D304" s="3" t="s">
        <v>33</v>
      </c>
      <c r="E304" s="23" t="s">
        <v>31</v>
      </c>
      <c r="F304" s="16" t="s">
        <v>361</v>
      </c>
      <c r="G304" s="118">
        <v>19</v>
      </c>
      <c r="H304" s="119" t="s">
        <v>26</v>
      </c>
      <c r="I304" s="118">
        <v>9.8000000000000007</v>
      </c>
      <c r="J304" s="118">
        <v>5.2</v>
      </c>
      <c r="K304" s="119" t="s">
        <v>26</v>
      </c>
      <c r="L304" s="119" t="s">
        <v>26</v>
      </c>
      <c r="M304" s="119" t="s">
        <v>26</v>
      </c>
      <c r="N304" s="119" t="s">
        <v>26</v>
      </c>
      <c r="O304" s="118">
        <v>5.0999999999999996</v>
      </c>
      <c r="P304" s="119" t="s">
        <v>26</v>
      </c>
      <c r="Q304" s="119" t="s">
        <v>26</v>
      </c>
      <c r="R304" s="119" t="s">
        <v>26</v>
      </c>
      <c r="S304" s="127">
        <v>16.2</v>
      </c>
      <c r="T304" s="121" t="s">
        <v>26</v>
      </c>
      <c r="U304" s="133">
        <v>858</v>
      </c>
      <c r="V304" s="126" t="s">
        <v>26</v>
      </c>
      <c r="AC304" s="33"/>
      <c r="AD304" s="33"/>
      <c r="AE304" s="33"/>
    </row>
    <row r="305" spans="1:31">
      <c r="A305" s="18" t="s">
        <v>334</v>
      </c>
      <c r="B305" s="8" t="s">
        <v>272</v>
      </c>
      <c r="C305" s="8" t="s">
        <v>22</v>
      </c>
      <c r="D305" s="3" t="s">
        <v>33</v>
      </c>
      <c r="E305" s="23" t="s">
        <v>24</v>
      </c>
      <c r="F305" s="16" t="s">
        <v>362</v>
      </c>
      <c r="G305" s="118">
        <v>202</v>
      </c>
      <c r="H305" s="118">
        <v>28.4</v>
      </c>
      <c r="I305" s="119" t="s">
        <v>26</v>
      </c>
      <c r="J305" s="119" t="s">
        <v>26</v>
      </c>
      <c r="K305" s="119" t="s">
        <v>26</v>
      </c>
      <c r="L305" s="119" t="s">
        <v>26</v>
      </c>
      <c r="M305" s="119" t="s">
        <v>26</v>
      </c>
      <c r="N305" s="119" t="s">
        <v>26</v>
      </c>
      <c r="O305" s="118">
        <v>1.2</v>
      </c>
      <c r="P305" s="119" t="s">
        <v>26</v>
      </c>
      <c r="Q305" s="119" t="s">
        <v>26</v>
      </c>
      <c r="R305" s="119" t="s">
        <v>26</v>
      </c>
      <c r="S305" s="127">
        <v>2.5</v>
      </c>
      <c r="T305" s="121" t="s">
        <v>26</v>
      </c>
      <c r="U305" s="130">
        <v>260</v>
      </c>
      <c r="V305" s="126" t="s">
        <v>26</v>
      </c>
      <c r="AC305" s="33"/>
      <c r="AD305" s="33"/>
      <c r="AE305" s="33"/>
    </row>
    <row r="306" spans="1:31">
      <c r="A306" s="18" t="s">
        <v>334</v>
      </c>
      <c r="B306" s="8" t="s">
        <v>272</v>
      </c>
      <c r="C306" s="8" t="s">
        <v>22</v>
      </c>
      <c r="D306" s="3" t="s">
        <v>33</v>
      </c>
      <c r="E306" s="23" t="s">
        <v>27</v>
      </c>
      <c r="F306" s="16" t="s">
        <v>363</v>
      </c>
      <c r="G306" s="118">
        <v>98</v>
      </c>
      <c r="H306" s="118">
        <v>42.6</v>
      </c>
      <c r="I306" s="118">
        <v>3.5</v>
      </c>
      <c r="J306" s="119" t="s">
        <v>26</v>
      </c>
      <c r="K306" s="119" t="s">
        <v>26</v>
      </c>
      <c r="L306" s="119" t="s">
        <v>26</v>
      </c>
      <c r="M306" s="119" t="s">
        <v>26</v>
      </c>
      <c r="N306" s="119" t="s">
        <v>26</v>
      </c>
      <c r="O306" s="118">
        <v>1.9</v>
      </c>
      <c r="P306" s="119" t="s">
        <v>26</v>
      </c>
      <c r="Q306" s="119" t="s">
        <v>26</v>
      </c>
      <c r="R306" s="119" t="s">
        <v>26</v>
      </c>
      <c r="S306" s="127">
        <v>3.8</v>
      </c>
      <c r="T306" s="121" t="s">
        <v>26</v>
      </c>
      <c r="U306" s="130">
        <v>40</v>
      </c>
      <c r="V306" s="126" t="s">
        <v>26</v>
      </c>
      <c r="AC306" s="33"/>
      <c r="AD306" s="33"/>
      <c r="AE306" s="33"/>
    </row>
    <row r="307" spans="1:31">
      <c r="A307" s="18" t="s">
        <v>334</v>
      </c>
      <c r="B307" s="8" t="s">
        <v>272</v>
      </c>
      <c r="C307" s="8" t="s">
        <v>22</v>
      </c>
      <c r="D307" s="3" t="s">
        <v>33</v>
      </c>
      <c r="E307" s="23" t="s">
        <v>29</v>
      </c>
      <c r="F307" s="16" t="s">
        <v>364</v>
      </c>
      <c r="G307" s="118">
        <v>52</v>
      </c>
      <c r="H307" s="118">
        <v>5.0999999999999996</v>
      </c>
      <c r="I307" s="118">
        <v>22.8</v>
      </c>
      <c r="J307" s="118">
        <v>1.18</v>
      </c>
      <c r="K307" s="119" t="s">
        <v>26</v>
      </c>
      <c r="L307" s="119" t="s">
        <v>26</v>
      </c>
      <c r="M307" s="119" t="s">
        <v>26</v>
      </c>
      <c r="N307" s="119" t="s">
        <v>26</v>
      </c>
      <c r="O307" s="118">
        <v>2.5</v>
      </c>
      <c r="P307" s="119" t="s">
        <v>26</v>
      </c>
      <c r="Q307" s="119" t="s">
        <v>26</v>
      </c>
      <c r="R307" s="119" t="s">
        <v>26</v>
      </c>
      <c r="S307" s="127">
        <v>11.5</v>
      </c>
      <c r="T307" s="121" t="s">
        <v>26</v>
      </c>
      <c r="U307" s="123" t="s">
        <v>26</v>
      </c>
      <c r="V307" s="126" t="s">
        <v>26</v>
      </c>
      <c r="AC307" s="33"/>
      <c r="AD307" s="33"/>
      <c r="AE307" s="33"/>
    </row>
    <row r="308" spans="1:31">
      <c r="A308" s="18" t="s">
        <v>334</v>
      </c>
      <c r="B308" s="8" t="s">
        <v>272</v>
      </c>
      <c r="C308" s="8" t="s">
        <v>22</v>
      </c>
      <c r="D308" s="3" t="s">
        <v>33</v>
      </c>
      <c r="E308" s="23" t="s">
        <v>31</v>
      </c>
      <c r="F308" s="16" t="s">
        <v>365</v>
      </c>
      <c r="G308" s="118">
        <v>19</v>
      </c>
      <c r="H308" s="119" t="s">
        <v>26</v>
      </c>
      <c r="I308" s="118">
        <v>17.2</v>
      </c>
      <c r="J308" s="118">
        <v>3.88</v>
      </c>
      <c r="K308" s="119" t="s">
        <v>26</v>
      </c>
      <c r="L308" s="119" t="s">
        <v>26</v>
      </c>
      <c r="M308" s="119" t="s">
        <v>26</v>
      </c>
      <c r="N308" s="119" t="s">
        <v>26</v>
      </c>
      <c r="O308" s="125" t="s">
        <v>26</v>
      </c>
      <c r="P308" s="119" t="s">
        <v>26</v>
      </c>
      <c r="Q308" s="119" t="s">
        <v>26</v>
      </c>
      <c r="R308" s="119" t="s">
        <v>26</v>
      </c>
      <c r="S308" s="127">
        <v>7.5</v>
      </c>
      <c r="T308" s="121" t="s">
        <v>26</v>
      </c>
      <c r="U308" s="133">
        <v>809</v>
      </c>
      <c r="V308" s="126" t="s">
        <v>26</v>
      </c>
      <c r="AC308" s="33"/>
      <c r="AD308" s="33"/>
      <c r="AE308" s="33"/>
    </row>
    <row r="309" spans="1:31">
      <c r="A309" s="18" t="s">
        <v>366</v>
      </c>
      <c r="B309" s="8" t="s">
        <v>53</v>
      </c>
      <c r="C309" s="8" t="s">
        <v>22</v>
      </c>
      <c r="D309" s="8" t="s">
        <v>54</v>
      </c>
      <c r="E309" s="23" t="s">
        <v>27</v>
      </c>
      <c r="F309" s="16" t="s">
        <v>367</v>
      </c>
      <c r="G309" s="118">
        <v>115</v>
      </c>
      <c r="H309" s="118">
        <v>30</v>
      </c>
      <c r="I309" s="118">
        <v>11.6</v>
      </c>
      <c r="J309" s="118">
        <v>0.6</v>
      </c>
      <c r="K309" s="119" t="s">
        <v>26</v>
      </c>
      <c r="L309" s="119" t="s">
        <v>26</v>
      </c>
      <c r="M309" s="118">
        <v>0.5</v>
      </c>
      <c r="N309" s="119" t="s">
        <v>26</v>
      </c>
      <c r="O309" s="118">
        <v>4.2</v>
      </c>
      <c r="P309" s="118">
        <v>3.9</v>
      </c>
      <c r="Q309" s="118">
        <v>3.9</v>
      </c>
      <c r="R309" s="118">
        <v>1.7</v>
      </c>
      <c r="S309" s="127">
        <v>2.7</v>
      </c>
      <c r="T309" s="121" t="s">
        <v>26</v>
      </c>
      <c r="U309" s="123" t="s">
        <v>26</v>
      </c>
      <c r="V309" s="89">
        <v>465</v>
      </c>
      <c r="AC309" s="33"/>
      <c r="AD309" s="33"/>
      <c r="AE309" s="33"/>
    </row>
    <row r="310" spans="1:31">
      <c r="A310" s="18" t="s">
        <v>366</v>
      </c>
      <c r="B310" s="8" t="s">
        <v>53</v>
      </c>
      <c r="C310" s="8" t="s">
        <v>22</v>
      </c>
      <c r="D310" s="8" t="s">
        <v>54</v>
      </c>
      <c r="E310" s="23" t="s">
        <v>29</v>
      </c>
      <c r="F310" s="16" t="s">
        <v>368</v>
      </c>
      <c r="G310" s="118">
        <v>48</v>
      </c>
      <c r="H310" s="118">
        <v>10.6</v>
      </c>
      <c r="I310" s="118">
        <v>20.399999999999999</v>
      </c>
      <c r="J310" s="118">
        <v>3.1</v>
      </c>
      <c r="K310" s="119" t="s">
        <v>26</v>
      </c>
      <c r="L310" s="119" t="s">
        <v>26</v>
      </c>
      <c r="M310" s="119" t="s">
        <v>26</v>
      </c>
      <c r="N310" s="119" t="s">
        <v>26</v>
      </c>
      <c r="O310" s="118">
        <v>6.2</v>
      </c>
      <c r="P310" s="118">
        <v>10.199999999999999</v>
      </c>
      <c r="Q310" s="119" t="s">
        <v>26</v>
      </c>
      <c r="R310" s="118">
        <v>2.7</v>
      </c>
      <c r="S310" s="127">
        <v>3.9</v>
      </c>
      <c r="T310" s="121" t="s">
        <v>26</v>
      </c>
      <c r="U310" s="130">
        <v>3723</v>
      </c>
      <c r="V310" s="126" t="s">
        <v>26</v>
      </c>
      <c r="AC310" s="33"/>
      <c r="AD310" s="33"/>
      <c r="AE310" s="33"/>
    </row>
    <row r="311" spans="1:31">
      <c r="A311" s="18" t="s">
        <v>366</v>
      </c>
      <c r="B311" s="8" t="s">
        <v>53</v>
      </c>
      <c r="C311" s="8" t="s">
        <v>22</v>
      </c>
      <c r="D311" s="8" t="s">
        <v>54</v>
      </c>
      <c r="E311" s="23" t="s">
        <v>31</v>
      </c>
      <c r="F311" s="16" t="s">
        <v>369</v>
      </c>
      <c r="G311" s="118">
        <v>16</v>
      </c>
      <c r="H311" s="119" t="s">
        <v>26</v>
      </c>
      <c r="I311" s="118">
        <v>4.2</v>
      </c>
      <c r="J311" s="118">
        <v>5.7</v>
      </c>
      <c r="K311" s="119" t="s">
        <v>26</v>
      </c>
      <c r="L311" s="119" t="s">
        <v>26</v>
      </c>
      <c r="M311" s="119" t="s">
        <v>26</v>
      </c>
      <c r="N311" s="119" t="s">
        <v>26</v>
      </c>
      <c r="O311" s="118">
        <v>4.8</v>
      </c>
      <c r="P311" s="118">
        <v>2.7</v>
      </c>
      <c r="Q311" s="119" t="s">
        <v>26</v>
      </c>
      <c r="R311" s="119" t="s">
        <v>26</v>
      </c>
      <c r="S311" s="127">
        <v>5.0999999999999996</v>
      </c>
      <c r="T311" s="121" t="s">
        <v>26</v>
      </c>
      <c r="U311" s="130">
        <v>296</v>
      </c>
      <c r="V311" s="126" t="s">
        <v>26</v>
      </c>
      <c r="AC311" s="33"/>
      <c r="AD311" s="33"/>
      <c r="AE311" s="33"/>
    </row>
    <row r="312" spans="1:31">
      <c r="A312" s="18" t="s">
        <v>366</v>
      </c>
      <c r="B312" s="8" t="s">
        <v>310</v>
      </c>
      <c r="C312" s="8" t="s">
        <v>22</v>
      </c>
      <c r="D312" s="3" t="s">
        <v>33</v>
      </c>
      <c r="E312" s="25" t="s">
        <v>71</v>
      </c>
      <c r="F312" s="16" t="s">
        <v>370</v>
      </c>
      <c r="G312" s="118">
        <v>120</v>
      </c>
      <c r="H312" s="118">
        <v>19</v>
      </c>
      <c r="I312" s="118">
        <v>21.4</v>
      </c>
      <c r="J312" s="119" t="s">
        <v>26</v>
      </c>
      <c r="K312" s="119" t="s">
        <v>26</v>
      </c>
      <c r="L312" s="119" t="s">
        <v>26</v>
      </c>
      <c r="M312" s="119" t="s">
        <v>26</v>
      </c>
      <c r="N312" s="119" t="s">
        <v>26</v>
      </c>
      <c r="O312" s="118">
        <v>4.9000000000000004</v>
      </c>
      <c r="P312" s="119" t="s">
        <v>26</v>
      </c>
      <c r="Q312" s="118">
        <v>4.8</v>
      </c>
      <c r="R312" s="118">
        <v>1.3</v>
      </c>
      <c r="S312" s="127">
        <v>3.9</v>
      </c>
      <c r="T312" s="121" t="s">
        <v>26</v>
      </c>
      <c r="U312" s="130">
        <v>693</v>
      </c>
      <c r="V312" s="89">
        <v>74</v>
      </c>
      <c r="AC312" s="33"/>
      <c r="AD312" s="33"/>
      <c r="AE312" s="33"/>
    </row>
    <row r="313" spans="1:31">
      <c r="A313" s="18" t="s">
        <v>366</v>
      </c>
      <c r="B313" s="8" t="s">
        <v>310</v>
      </c>
      <c r="C313" s="8" t="s">
        <v>22</v>
      </c>
      <c r="D313" s="3" t="s">
        <v>33</v>
      </c>
      <c r="E313" s="23" t="s">
        <v>29</v>
      </c>
      <c r="F313" s="16" t="s">
        <v>371</v>
      </c>
      <c r="G313" s="118">
        <v>49</v>
      </c>
      <c r="H313" s="118">
        <v>10.6</v>
      </c>
      <c r="I313" s="118">
        <v>18.899999999999999</v>
      </c>
      <c r="J313" s="118">
        <v>0.8</v>
      </c>
      <c r="K313" s="119" t="s">
        <v>26</v>
      </c>
      <c r="L313" s="119" t="s">
        <v>26</v>
      </c>
      <c r="M313" s="119" t="s">
        <v>26</v>
      </c>
      <c r="N313" s="119" t="s">
        <v>26</v>
      </c>
      <c r="O313" s="118">
        <v>5.2</v>
      </c>
      <c r="P313" s="118">
        <v>1.1000000000000001</v>
      </c>
      <c r="Q313" s="118">
        <v>8.6999999999999993</v>
      </c>
      <c r="R313" s="118">
        <v>1.6</v>
      </c>
      <c r="S313" s="127">
        <v>4.7</v>
      </c>
      <c r="T313" s="121" t="s">
        <v>26</v>
      </c>
      <c r="U313" s="130">
        <v>44</v>
      </c>
      <c r="V313" s="89">
        <v>671</v>
      </c>
      <c r="AC313" s="33"/>
      <c r="AD313" s="33"/>
      <c r="AE313" s="33"/>
    </row>
    <row r="314" spans="1:31">
      <c r="A314" s="18" t="s">
        <v>366</v>
      </c>
      <c r="B314" s="8" t="s">
        <v>310</v>
      </c>
      <c r="C314" s="8" t="s">
        <v>22</v>
      </c>
      <c r="D314" s="3" t="s">
        <v>33</v>
      </c>
      <c r="E314" s="23" t="s">
        <v>31</v>
      </c>
      <c r="F314" s="16" t="s">
        <v>372</v>
      </c>
      <c r="G314" s="118">
        <v>23</v>
      </c>
      <c r="H314" s="119" t="s">
        <v>26</v>
      </c>
      <c r="I314" s="118">
        <v>15.6</v>
      </c>
      <c r="J314" s="118">
        <v>2.5</v>
      </c>
      <c r="K314" s="119" t="s">
        <v>26</v>
      </c>
      <c r="L314" s="119" t="s">
        <v>26</v>
      </c>
      <c r="M314" s="119" t="s">
        <v>26</v>
      </c>
      <c r="N314" s="119" t="s">
        <v>26</v>
      </c>
      <c r="O314" s="118">
        <v>4.8</v>
      </c>
      <c r="P314" s="118">
        <v>2.1</v>
      </c>
      <c r="Q314" s="119" t="s">
        <v>26</v>
      </c>
      <c r="R314" s="118">
        <v>2</v>
      </c>
      <c r="S314" s="127">
        <v>5.7</v>
      </c>
      <c r="T314" s="121" t="s">
        <v>26</v>
      </c>
      <c r="U314" s="133">
        <v>988</v>
      </c>
      <c r="V314" s="89">
        <v>40</v>
      </c>
      <c r="AC314" s="33"/>
      <c r="AD314" s="33"/>
      <c r="AE314" s="33"/>
    </row>
    <row r="315" spans="1:31">
      <c r="A315" s="18" t="s">
        <v>366</v>
      </c>
      <c r="B315" s="8" t="s">
        <v>373</v>
      </c>
      <c r="C315" s="8" t="s">
        <v>22</v>
      </c>
      <c r="D315" s="3" t="s">
        <v>33</v>
      </c>
      <c r="E315" s="23" t="s">
        <v>27</v>
      </c>
      <c r="F315" s="16" t="s">
        <v>374</v>
      </c>
      <c r="G315" s="118">
        <v>127</v>
      </c>
      <c r="H315" s="118">
        <v>35.799999999999997</v>
      </c>
      <c r="I315" s="118">
        <v>12.8</v>
      </c>
      <c r="J315" s="119" t="s">
        <v>26</v>
      </c>
      <c r="K315" s="119" t="s">
        <v>26</v>
      </c>
      <c r="L315" s="119" t="s">
        <v>26</v>
      </c>
      <c r="M315" s="119" t="s">
        <v>26</v>
      </c>
      <c r="N315" s="119" t="s">
        <v>26</v>
      </c>
      <c r="O315" s="118">
        <v>1.8</v>
      </c>
      <c r="P315" s="119" t="s">
        <v>26</v>
      </c>
      <c r="Q315" s="119" t="s">
        <v>26</v>
      </c>
      <c r="R315" s="119" t="s">
        <v>26</v>
      </c>
      <c r="S315" s="127">
        <v>2.5</v>
      </c>
      <c r="T315" s="121" t="s">
        <v>26</v>
      </c>
      <c r="U315" s="130">
        <v>100</v>
      </c>
      <c r="V315" s="126" t="s">
        <v>26</v>
      </c>
      <c r="AC315" s="33"/>
      <c r="AD315" s="33"/>
      <c r="AE315" s="33"/>
    </row>
    <row r="316" spans="1:31">
      <c r="A316" s="18" t="s">
        <v>366</v>
      </c>
      <c r="B316" s="8" t="s">
        <v>373</v>
      </c>
      <c r="C316" s="8" t="s">
        <v>22</v>
      </c>
      <c r="D316" s="3" t="s">
        <v>33</v>
      </c>
      <c r="E316" s="23" t="s">
        <v>29</v>
      </c>
      <c r="F316" s="16" t="s">
        <v>375</v>
      </c>
      <c r="G316" s="118">
        <v>51</v>
      </c>
      <c r="H316" s="118">
        <v>4.0999999999999996</v>
      </c>
      <c r="I316" s="118">
        <v>26.4</v>
      </c>
      <c r="J316" s="118">
        <v>1.1000000000000001</v>
      </c>
      <c r="K316" s="119" t="s">
        <v>26</v>
      </c>
      <c r="L316" s="119" t="s">
        <v>26</v>
      </c>
      <c r="M316" s="119" t="s">
        <v>26</v>
      </c>
      <c r="N316" s="119" t="s">
        <v>26</v>
      </c>
      <c r="O316" s="118">
        <v>8.5</v>
      </c>
      <c r="P316" s="119" t="s">
        <v>26</v>
      </c>
      <c r="Q316" s="119" t="s">
        <v>26</v>
      </c>
      <c r="R316" s="119" t="s">
        <v>26</v>
      </c>
      <c r="S316" s="127">
        <v>5.8</v>
      </c>
      <c r="T316" s="121" t="s">
        <v>26</v>
      </c>
      <c r="U316" s="123" t="s">
        <v>26</v>
      </c>
      <c r="V316" s="126" t="s">
        <v>26</v>
      </c>
      <c r="AC316" s="33"/>
      <c r="AD316" s="33"/>
      <c r="AE316" s="33"/>
    </row>
    <row r="317" spans="1:31">
      <c r="A317" s="18" t="s">
        <v>366</v>
      </c>
      <c r="B317" s="8" t="s">
        <v>373</v>
      </c>
      <c r="C317" s="8" t="s">
        <v>22</v>
      </c>
      <c r="D317" s="3" t="s">
        <v>33</v>
      </c>
      <c r="E317" s="23" t="s">
        <v>31</v>
      </c>
      <c r="F317" s="16" t="s">
        <v>376</v>
      </c>
      <c r="G317" s="118">
        <v>18</v>
      </c>
      <c r="H317" s="119" t="s">
        <v>26</v>
      </c>
      <c r="I317" s="118">
        <v>13.5</v>
      </c>
      <c r="J317" s="118">
        <v>4.8</v>
      </c>
      <c r="K317" s="119" t="s">
        <v>26</v>
      </c>
      <c r="L317" s="119" t="s">
        <v>26</v>
      </c>
      <c r="M317" s="119" t="s">
        <v>26</v>
      </c>
      <c r="N317" s="119" t="s">
        <v>26</v>
      </c>
      <c r="O317" s="118">
        <v>2.5</v>
      </c>
      <c r="P317" s="119" t="s">
        <v>26</v>
      </c>
      <c r="Q317" s="119" t="s">
        <v>26</v>
      </c>
      <c r="R317" s="119" t="s">
        <v>26</v>
      </c>
      <c r="S317" s="127">
        <v>6.6</v>
      </c>
      <c r="T317" s="121" t="s">
        <v>26</v>
      </c>
      <c r="U317" s="130">
        <v>1332</v>
      </c>
      <c r="V317" s="126" t="s">
        <v>26</v>
      </c>
      <c r="AC317" s="33"/>
      <c r="AD317" s="33"/>
      <c r="AE317" s="33"/>
    </row>
    <row r="318" spans="1:31">
      <c r="A318" s="18" t="s">
        <v>366</v>
      </c>
      <c r="B318" s="8" t="s">
        <v>155</v>
      </c>
      <c r="C318" s="8" t="s">
        <v>22</v>
      </c>
      <c r="D318" s="3" t="s">
        <v>23</v>
      </c>
      <c r="E318" s="23" t="s">
        <v>24</v>
      </c>
      <c r="F318" s="16" t="s">
        <v>377</v>
      </c>
      <c r="G318" s="118">
        <v>231</v>
      </c>
      <c r="H318" s="118">
        <v>12.5</v>
      </c>
      <c r="I318" s="119" t="s">
        <v>26</v>
      </c>
      <c r="J318" s="119" t="s">
        <v>26</v>
      </c>
      <c r="K318" s="119" t="s">
        <v>26</v>
      </c>
      <c r="L318" s="119" t="s">
        <v>26</v>
      </c>
      <c r="M318" s="118">
        <v>8.8000000000000007</v>
      </c>
      <c r="N318" s="119" t="s">
        <v>26</v>
      </c>
      <c r="O318" s="118">
        <v>8.1</v>
      </c>
      <c r="P318" s="119" t="s">
        <v>26</v>
      </c>
      <c r="Q318" s="119" t="s">
        <v>26</v>
      </c>
      <c r="R318" s="119" t="s">
        <v>26</v>
      </c>
      <c r="S318" s="120" t="s">
        <v>26</v>
      </c>
      <c r="T318" s="121" t="s">
        <v>26</v>
      </c>
      <c r="U318" s="123" t="s">
        <v>26</v>
      </c>
      <c r="V318" s="89">
        <v>594</v>
      </c>
      <c r="AC318" s="33"/>
      <c r="AD318" s="33"/>
      <c r="AE318" s="33"/>
    </row>
    <row r="319" spans="1:31">
      <c r="A319" s="18" t="s">
        <v>366</v>
      </c>
      <c r="B319" s="8" t="s">
        <v>155</v>
      </c>
      <c r="C319" s="8" t="s">
        <v>22</v>
      </c>
      <c r="D319" s="3" t="s">
        <v>23</v>
      </c>
      <c r="E319" s="23" t="s">
        <v>27</v>
      </c>
      <c r="F319" s="16" t="s">
        <v>378</v>
      </c>
      <c r="G319" s="118">
        <v>108</v>
      </c>
      <c r="H319" s="118">
        <v>17.5</v>
      </c>
      <c r="I319" s="118">
        <v>12.2</v>
      </c>
      <c r="J319" s="118">
        <v>0.91</v>
      </c>
      <c r="K319" s="119" t="s">
        <v>26</v>
      </c>
      <c r="L319" s="119" t="s">
        <v>26</v>
      </c>
      <c r="M319" s="118">
        <v>7.6</v>
      </c>
      <c r="N319" s="119" t="s">
        <v>26</v>
      </c>
      <c r="O319" s="118">
        <v>4.4000000000000004</v>
      </c>
      <c r="P319" s="119" t="s">
        <v>26</v>
      </c>
      <c r="Q319" s="119" t="s">
        <v>26</v>
      </c>
      <c r="R319" s="119" t="s">
        <v>26</v>
      </c>
      <c r="S319" s="120" t="s">
        <v>26</v>
      </c>
      <c r="T319" s="121" t="s">
        <v>26</v>
      </c>
      <c r="U319" s="123" t="s">
        <v>26</v>
      </c>
      <c r="V319" s="126" t="s">
        <v>26</v>
      </c>
      <c r="AC319" s="33"/>
      <c r="AD319" s="33"/>
      <c r="AE319" s="33"/>
    </row>
    <row r="320" spans="1:31">
      <c r="A320" s="18" t="s">
        <v>366</v>
      </c>
      <c r="B320" s="8" t="s">
        <v>155</v>
      </c>
      <c r="C320" s="8" t="s">
        <v>22</v>
      </c>
      <c r="D320" s="3" t="s">
        <v>23</v>
      </c>
      <c r="E320" s="23" t="s">
        <v>29</v>
      </c>
      <c r="F320" s="16" t="s">
        <v>379</v>
      </c>
      <c r="G320" s="118">
        <v>48</v>
      </c>
      <c r="H320" s="118">
        <v>8.5</v>
      </c>
      <c r="I320" s="118">
        <v>16.5</v>
      </c>
      <c r="J320" s="118">
        <v>4.7</v>
      </c>
      <c r="K320" s="119" t="s">
        <v>26</v>
      </c>
      <c r="L320" s="119" t="s">
        <v>26</v>
      </c>
      <c r="M320" s="118">
        <v>11.5</v>
      </c>
      <c r="N320" s="119" t="s">
        <v>26</v>
      </c>
      <c r="O320" s="118">
        <v>11.5</v>
      </c>
      <c r="P320" s="119" t="s">
        <v>26</v>
      </c>
      <c r="Q320" s="119" t="s">
        <v>26</v>
      </c>
      <c r="R320" s="119" t="s">
        <v>26</v>
      </c>
      <c r="S320" s="120" t="s">
        <v>26</v>
      </c>
      <c r="T320" s="121" t="s">
        <v>26</v>
      </c>
      <c r="U320" s="89">
        <v>1500</v>
      </c>
      <c r="V320" s="126" t="s">
        <v>26</v>
      </c>
      <c r="AC320" s="33"/>
      <c r="AD320" s="33"/>
      <c r="AE320" s="33"/>
    </row>
    <row r="321" spans="1:31">
      <c r="A321" s="18" t="s">
        <v>366</v>
      </c>
      <c r="B321" s="8" t="s">
        <v>155</v>
      </c>
      <c r="C321" s="8" t="s">
        <v>22</v>
      </c>
      <c r="D321" s="3" t="s">
        <v>23</v>
      </c>
      <c r="E321" s="23" t="s">
        <v>31</v>
      </c>
      <c r="F321" s="16" t="s">
        <v>380</v>
      </c>
      <c r="G321" s="118">
        <v>17</v>
      </c>
      <c r="H321" s="118">
        <v>8.9</v>
      </c>
      <c r="I321" s="118">
        <v>11.2</v>
      </c>
      <c r="J321" s="118">
        <v>24.4</v>
      </c>
      <c r="K321" s="119" t="s">
        <v>26</v>
      </c>
      <c r="L321" s="119" t="s">
        <v>26</v>
      </c>
      <c r="M321" s="119" t="s">
        <v>26</v>
      </c>
      <c r="N321" s="119" t="s">
        <v>26</v>
      </c>
      <c r="O321" s="118">
        <v>8.4</v>
      </c>
      <c r="P321" s="119" t="s">
        <v>26</v>
      </c>
      <c r="Q321" s="119" t="s">
        <v>26</v>
      </c>
      <c r="R321" s="119" t="s">
        <v>26</v>
      </c>
      <c r="S321" s="120" t="s">
        <v>26</v>
      </c>
      <c r="T321" s="121" t="s">
        <v>26</v>
      </c>
      <c r="U321" s="89">
        <v>2725</v>
      </c>
      <c r="V321" s="126" t="s">
        <v>26</v>
      </c>
      <c r="AC321" s="33"/>
      <c r="AD321" s="33"/>
      <c r="AE321" s="33"/>
    </row>
    <row r="322" spans="1:31">
      <c r="A322" s="18" t="s">
        <v>366</v>
      </c>
      <c r="B322" s="8" t="s">
        <v>381</v>
      </c>
      <c r="C322" s="8" t="s">
        <v>22</v>
      </c>
      <c r="D322" s="8" t="s">
        <v>109</v>
      </c>
      <c r="E322" s="23" t="s">
        <v>24</v>
      </c>
      <c r="F322" s="16" t="s">
        <v>382</v>
      </c>
      <c r="G322" s="118">
        <v>221</v>
      </c>
      <c r="H322" s="118">
        <v>14.5</v>
      </c>
      <c r="I322" s="119" t="s">
        <v>26</v>
      </c>
      <c r="J322" s="119" t="s">
        <v>26</v>
      </c>
      <c r="K322" s="119" t="s">
        <v>26</v>
      </c>
      <c r="L322" s="119" t="s">
        <v>26</v>
      </c>
      <c r="M322" s="118">
        <v>4.4000000000000004</v>
      </c>
      <c r="N322" s="119" t="s">
        <v>26</v>
      </c>
      <c r="O322" s="118">
        <v>2.2000000000000002</v>
      </c>
      <c r="P322" s="119" t="s">
        <v>26</v>
      </c>
      <c r="Q322" s="118">
        <v>4.5</v>
      </c>
      <c r="R322" s="119" t="s">
        <v>26</v>
      </c>
      <c r="S322" s="120" t="s">
        <v>26</v>
      </c>
      <c r="T322" s="121" t="s">
        <v>26</v>
      </c>
      <c r="U322" s="123" t="s">
        <v>26</v>
      </c>
      <c r="V322" s="126" t="s">
        <v>26</v>
      </c>
      <c r="AC322" s="33"/>
      <c r="AD322" s="33"/>
      <c r="AE322" s="33"/>
    </row>
    <row r="323" spans="1:31">
      <c r="A323" s="18" t="s">
        <v>366</v>
      </c>
      <c r="B323" s="8" t="s">
        <v>381</v>
      </c>
      <c r="C323" s="8" t="s">
        <v>22</v>
      </c>
      <c r="D323" s="8" t="s">
        <v>109</v>
      </c>
      <c r="E323" s="23" t="s">
        <v>27</v>
      </c>
      <c r="F323" s="16" t="s">
        <v>383</v>
      </c>
      <c r="G323" s="118">
        <v>105</v>
      </c>
      <c r="H323" s="118">
        <v>28.4</v>
      </c>
      <c r="I323" s="118">
        <v>12.2</v>
      </c>
      <c r="J323" s="119" t="s">
        <v>26</v>
      </c>
      <c r="K323" s="119" t="s">
        <v>26</v>
      </c>
      <c r="L323" s="119" t="s">
        <v>26</v>
      </c>
      <c r="M323" s="118">
        <v>4.8</v>
      </c>
      <c r="N323" s="119" t="s">
        <v>26</v>
      </c>
      <c r="O323" s="118">
        <v>3.1</v>
      </c>
      <c r="P323" s="119" t="s">
        <v>26</v>
      </c>
      <c r="Q323" s="118">
        <v>3.3</v>
      </c>
      <c r="R323" s="119" t="s">
        <v>26</v>
      </c>
      <c r="S323" s="120" t="s">
        <v>26</v>
      </c>
      <c r="T323" s="121" t="s">
        <v>26</v>
      </c>
      <c r="U323" s="123" t="s">
        <v>26</v>
      </c>
      <c r="V323" s="126" t="s">
        <v>26</v>
      </c>
      <c r="AC323" s="33"/>
      <c r="AD323" s="33"/>
      <c r="AE323" s="33"/>
    </row>
    <row r="324" spans="1:31">
      <c r="A324" s="18" t="s">
        <v>366</v>
      </c>
      <c r="B324" s="8" t="s">
        <v>381</v>
      </c>
      <c r="C324" s="8" t="s">
        <v>22</v>
      </c>
      <c r="D324" s="8" t="s">
        <v>109</v>
      </c>
      <c r="E324" s="23" t="s">
        <v>29</v>
      </c>
      <c r="F324" s="16" t="s">
        <v>384</v>
      </c>
      <c r="G324" s="118">
        <v>46</v>
      </c>
      <c r="H324" s="118">
        <v>19.5</v>
      </c>
      <c r="I324" s="118">
        <v>17.600000000000001</v>
      </c>
      <c r="J324" s="118">
        <v>1.44</v>
      </c>
      <c r="K324" s="119" t="s">
        <v>26</v>
      </c>
      <c r="L324" s="119" t="s">
        <v>26</v>
      </c>
      <c r="M324" s="118">
        <v>5.0999999999999996</v>
      </c>
      <c r="N324" s="119" t="s">
        <v>26</v>
      </c>
      <c r="O324" s="118">
        <v>5.8</v>
      </c>
      <c r="P324" s="119" t="s">
        <v>26</v>
      </c>
      <c r="Q324" s="119" t="s">
        <v>26</v>
      </c>
      <c r="R324" s="119" t="s">
        <v>26</v>
      </c>
      <c r="S324" s="120" t="s">
        <v>26</v>
      </c>
      <c r="T324" s="121" t="s">
        <v>26</v>
      </c>
      <c r="U324" s="123" t="s">
        <v>26</v>
      </c>
      <c r="V324" s="126" t="s">
        <v>26</v>
      </c>
      <c r="AC324" s="33"/>
      <c r="AD324" s="33"/>
      <c r="AE324" s="33"/>
    </row>
    <row r="325" spans="1:31">
      <c r="A325" s="18" t="s">
        <v>366</v>
      </c>
      <c r="B325" s="8" t="s">
        <v>381</v>
      </c>
      <c r="C325" s="8" t="s">
        <v>22</v>
      </c>
      <c r="D325" s="8" t="s">
        <v>109</v>
      </c>
      <c r="E325" s="23" t="s">
        <v>31</v>
      </c>
      <c r="F325" s="16" t="s">
        <v>223</v>
      </c>
      <c r="G325" s="118">
        <v>18</v>
      </c>
      <c r="H325" s="118">
        <v>7.8</v>
      </c>
      <c r="I325" s="118">
        <v>16.5</v>
      </c>
      <c r="J325" s="118">
        <v>6.51</v>
      </c>
      <c r="K325" s="119" t="s">
        <v>26</v>
      </c>
      <c r="L325" s="119" t="s">
        <v>26</v>
      </c>
      <c r="M325" s="119" t="s">
        <v>26</v>
      </c>
      <c r="N325" s="119" t="s">
        <v>26</v>
      </c>
      <c r="O325" s="118">
        <v>4.0999999999999996</v>
      </c>
      <c r="P325" s="119" t="s">
        <v>26</v>
      </c>
      <c r="Q325" s="119" t="s">
        <v>26</v>
      </c>
      <c r="R325" s="119" t="s">
        <v>26</v>
      </c>
      <c r="S325" s="120" t="s">
        <v>26</v>
      </c>
      <c r="T325" s="121" t="s">
        <v>26</v>
      </c>
      <c r="U325" s="130">
        <v>1149</v>
      </c>
      <c r="V325" s="126" t="s">
        <v>26</v>
      </c>
      <c r="AC325" s="33"/>
      <c r="AD325" s="33"/>
      <c r="AE325" s="33"/>
    </row>
    <row r="326" spans="1:31">
      <c r="A326" s="18" t="s">
        <v>366</v>
      </c>
      <c r="B326" s="8" t="s">
        <v>89</v>
      </c>
      <c r="C326" s="8" t="s">
        <v>22</v>
      </c>
      <c r="D326" s="3" t="s">
        <v>23</v>
      </c>
      <c r="E326" s="23" t="s">
        <v>24</v>
      </c>
      <c r="F326" s="16" t="s">
        <v>385</v>
      </c>
      <c r="G326" s="118">
        <v>230</v>
      </c>
      <c r="H326" s="118">
        <v>15.2</v>
      </c>
      <c r="I326" s="119" t="s">
        <v>26</v>
      </c>
      <c r="J326" s="119" t="s">
        <v>26</v>
      </c>
      <c r="K326" s="119" t="s">
        <v>26</v>
      </c>
      <c r="L326" s="119" t="s">
        <v>26</v>
      </c>
      <c r="M326" s="118">
        <v>5.0999999999999996</v>
      </c>
      <c r="N326" s="119" t="s">
        <v>26</v>
      </c>
      <c r="O326" s="118">
        <v>2</v>
      </c>
      <c r="P326" s="119" t="s">
        <v>26</v>
      </c>
      <c r="Q326" s="119" t="s">
        <v>26</v>
      </c>
      <c r="R326" s="119" t="s">
        <v>26</v>
      </c>
      <c r="S326" s="120" t="s">
        <v>26</v>
      </c>
      <c r="T326" s="121" t="s">
        <v>26</v>
      </c>
      <c r="U326" s="89">
        <v>343</v>
      </c>
      <c r="V326" s="126" t="s">
        <v>26</v>
      </c>
      <c r="AC326" s="33"/>
      <c r="AD326" s="33"/>
      <c r="AE326" s="33"/>
    </row>
    <row r="327" spans="1:31">
      <c r="A327" s="18" t="s">
        <v>366</v>
      </c>
      <c r="B327" s="8" t="s">
        <v>89</v>
      </c>
      <c r="C327" s="8" t="s">
        <v>22</v>
      </c>
      <c r="D327" s="3" t="s">
        <v>23</v>
      </c>
      <c r="E327" s="23" t="s">
        <v>27</v>
      </c>
      <c r="F327" s="16" t="s">
        <v>386</v>
      </c>
      <c r="G327" s="118">
        <v>110</v>
      </c>
      <c r="H327" s="118">
        <v>20.5</v>
      </c>
      <c r="I327" s="118">
        <v>15.1</v>
      </c>
      <c r="J327" s="119" t="s">
        <v>26</v>
      </c>
      <c r="K327" s="119" t="s">
        <v>26</v>
      </c>
      <c r="L327" s="119" t="s">
        <v>26</v>
      </c>
      <c r="M327" s="118">
        <v>4.0999999999999996</v>
      </c>
      <c r="N327" s="119" t="s">
        <v>26</v>
      </c>
      <c r="O327" s="118">
        <v>3.1</v>
      </c>
      <c r="P327" s="119" t="s">
        <v>26</v>
      </c>
      <c r="Q327" s="119" t="s">
        <v>26</v>
      </c>
      <c r="R327" s="119" t="s">
        <v>26</v>
      </c>
      <c r="S327" s="120" t="s">
        <v>26</v>
      </c>
      <c r="T327" s="128">
        <v>1</v>
      </c>
      <c r="U327" s="89">
        <v>80</v>
      </c>
      <c r="V327" s="126" t="s">
        <v>26</v>
      </c>
      <c r="AC327" s="33"/>
      <c r="AD327" s="33"/>
      <c r="AE327" s="33"/>
    </row>
    <row r="328" spans="1:31">
      <c r="A328" s="18" t="s">
        <v>366</v>
      </c>
      <c r="B328" s="8" t="s">
        <v>89</v>
      </c>
      <c r="C328" s="8" t="s">
        <v>22</v>
      </c>
      <c r="D328" s="3" t="s">
        <v>23</v>
      </c>
      <c r="E328" s="23" t="s">
        <v>29</v>
      </c>
      <c r="F328" s="16" t="s">
        <v>387</v>
      </c>
      <c r="G328" s="118">
        <v>48</v>
      </c>
      <c r="H328" s="118">
        <v>10.5</v>
      </c>
      <c r="I328" s="118">
        <v>18.7</v>
      </c>
      <c r="J328" s="119" t="s">
        <v>26</v>
      </c>
      <c r="K328" s="119" t="s">
        <v>26</v>
      </c>
      <c r="L328" s="119" t="s">
        <v>26</v>
      </c>
      <c r="M328" s="118">
        <v>5.6</v>
      </c>
      <c r="N328" s="119" t="s">
        <v>26</v>
      </c>
      <c r="O328" s="118">
        <v>5.5</v>
      </c>
      <c r="P328" s="119" t="s">
        <v>26</v>
      </c>
      <c r="Q328" s="119" t="s">
        <v>26</v>
      </c>
      <c r="R328" s="119" t="s">
        <v>26</v>
      </c>
      <c r="S328" s="120" t="s">
        <v>26</v>
      </c>
      <c r="T328" s="121" t="s">
        <v>26</v>
      </c>
      <c r="U328" s="89">
        <v>262</v>
      </c>
      <c r="V328" s="126" t="s">
        <v>26</v>
      </c>
      <c r="AC328" s="33"/>
      <c r="AD328" s="33"/>
      <c r="AE328" s="33"/>
    </row>
    <row r="329" spans="1:31">
      <c r="A329" s="18" t="s">
        <v>366</v>
      </c>
      <c r="B329" s="8" t="s">
        <v>89</v>
      </c>
      <c r="C329" s="8" t="s">
        <v>22</v>
      </c>
      <c r="D329" s="3" t="s">
        <v>23</v>
      </c>
      <c r="E329" s="23" t="s">
        <v>31</v>
      </c>
      <c r="F329" s="16" t="s">
        <v>144</v>
      </c>
      <c r="G329" s="118">
        <v>16</v>
      </c>
      <c r="H329" s="118">
        <v>20.8</v>
      </c>
      <c r="I329" s="118">
        <v>11.5</v>
      </c>
      <c r="J329" s="118">
        <v>5.8</v>
      </c>
      <c r="K329" s="119" t="s">
        <v>26</v>
      </c>
      <c r="L329" s="119" t="s">
        <v>26</v>
      </c>
      <c r="M329" s="119" t="s">
        <v>26</v>
      </c>
      <c r="N329" s="119" t="s">
        <v>26</v>
      </c>
      <c r="O329" s="125" t="s">
        <v>26</v>
      </c>
      <c r="P329" s="119" t="s">
        <v>26</v>
      </c>
      <c r="Q329" s="119" t="s">
        <v>26</v>
      </c>
      <c r="R329" s="119" t="s">
        <v>26</v>
      </c>
      <c r="S329" s="120" t="s">
        <v>26</v>
      </c>
      <c r="T329" s="121" t="s">
        <v>26</v>
      </c>
      <c r="U329" s="89">
        <v>1206</v>
      </c>
      <c r="V329" s="126" t="s">
        <v>26</v>
      </c>
      <c r="AC329" s="33"/>
      <c r="AD329" s="33"/>
      <c r="AE329" s="33"/>
    </row>
    <row r="330" spans="1:31">
      <c r="A330" s="18" t="s">
        <v>366</v>
      </c>
      <c r="B330" s="8" t="s">
        <v>388</v>
      </c>
      <c r="C330" s="8" t="s">
        <v>22</v>
      </c>
      <c r="D330" s="3" t="s">
        <v>33</v>
      </c>
      <c r="E330" s="23" t="s">
        <v>27</v>
      </c>
      <c r="F330" s="16" t="s">
        <v>389</v>
      </c>
      <c r="G330" s="118">
        <v>131</v>
      </c>
      <c r="H330" s="118">
        <v>28.4</v>
      </c>
      <c r="I330" s="118">
        <v>13.9</v>
      </c>
      <c r="J330" s="119" t="s">
        <v>26</v>
      </c>
      <c r="K330" s="119" t="s">
        <v>26</v>
      </c>
      <c r="L330" s="119" t="s">
        <v>26</v>
      </c>
      <c r="M330" s="118">
        <v>2.5</v>
      </c>
      <c r="N330" s="119" t="s">
        <v>26</v>
      </c>
      <c r="O330" s="118">
        <v>2.1</v>
      </c>
      <c r="P330" s="119" t="s">
        <v>26</v>
      </c>
      <c r="Q330" s="119" t="s">
        <v>26</v>
      </c>
      <c r="R330" s="119" t="s">
        <v>26</v>
      </c>
      <c r="S330" s="127">
        <v>5.8</v>
      </c>
      <c r="T330" s="121" t="s">
        <v>26</v>
      </c>
      <c r="U330" s="123" t="s">
        <v>26</v>
      </c>
      <c r="V330" s="126" t="s">
        <v>26</v>
      </c>
      <c r="AC330" s="33"/>
      <c r="AD330" s="33"/>
      <c r="AE330" s="33"/>
    </row>
    <row r="331" spans="1:31">
      <c r="A331" s="18" t="s">
        <v>366</v>
      </c>
      <c r="B331" s="8" t="s">
        <v>388</v>
      </c>
      <c r="C331" s="8" t="s">
        <v>22</v>
      </c>
      <c r="D331" s="3" t="s">
        <v>33</v>
      </c>
      <c r="E331" s="23" t="s">
        <v>29</v>
      </c>
      <c r="F331" s="16" t="s">
        <v>390</v>
      </c>
      <c r="G331" s="118">
        <v>49</v>
      </c>
      <c r="H331" s="118">
        <v>3.8</v>
      </c>
      <c r="I331" s="118">
        <v>22.5</v>
      </c>
      <c r="J331" s="118">
        <v>1.8</v>
      </c>
      <c r="K331" s="119" t="s">
        <v>26</v>
      </c>
      <c r="L331" s="119" t="s">
        <v>26</v>
      </c>
      <c r="M331" s="118">
        <v>3.5</v>
      </c>
      <c r="N331" s="119" t="s">
        <v>26</v>
      </c>
      <c r="O331" s="118">
        <v>6</v>
      </c>
      <c r="P331" s="119" t="s">
        <v>26</v>
      </c>
      <c r="Q331" s="119" t="s">
        <v>26</v>
      </c>
      <c r="R331" s="119" t="s">
        <v>26</v>
      </c>
      <c r="S331" s="127">
        <v>14.4</v>
      </c>
      <c r="T331" s="121" t="s">
        <v>26</v>
      </c>
      <c r="U331" s="123" t="s">
        <v>26</v>
      </c>
      <c r="V331" s="126" t="s">
        <v>26</v>
      </c>
      <c r="AC331" s="33"/>
      <c r="AD331" s="33"/>
      <c r="AE331" s="33"/>
    </row>
    <row r="332" spans="1:31">
      <c r="A332" s="18" t="s">
        <v>366</v>
      </c>
      <c r="B332" s="8" t="s">
        <v>388</v>
      </c>
      <c r="C332" s="8" t="s">
        <v>22</v>
      </c>
      <c r="D332" s="3" t="s">
        <v>33</v>
      </c>
      <c r="E332" s="23" t="s">
        <v>31</v>
      </c>
      <c r="F332" s="16" t="s">
        <v>391</v>
      </c>
      <c r="G332" s="118">
        <v>18</v>
      </c>
      <c r="H332" s="119" t="s">
        <v>26</v>
      </c>
      <c r="I332" s="118">
        <v>12.2</v>
      </c>
      <c r="J332" s="118">
        <v>3.9</v>
      </c>
      <c r="K332" s="119" t="s">
        <v>26</v>
      </c>
      <c r="L332" s="119" t="s">
        <v>26</v>
      </c>
      <c r="M332" s="119" t="s">
        <v>26</v>
      </c>
      <c r="N332" s="119" t="s">
        <v>26</v>
      </c>
      <c r="O332" s="118">
        <v>5.2</v>
      </c>
      <c r="P332" s="119" t="s">
        <v>26</v>
      </c>
      <c r="Q332" s="119" t="s">
        <v>26</v>
      </c>
      <c r="R332" s="119" t="s">
        <v>26</v>
      </c>
      <c r="S332" s="127">
        <v>20.5</v>
      </c>
      <c r="T332" s="121" t="s">
        <v>26</v>
      </c>
      <c r="U332" s="133">
        <v>1403</v>
      </c>
      <c r="V332" s="126" t="s">
        <v>26</v>
      </c>
      <c r="AC332" s="33"/>
      <c r="AD332" s="33"/>
      <c r="AE332" s="33"/>
    </row>
    <row r="333" spans="1:31">
      <c r="A333" s="18" t="s">
        <v>392</v>
      </c>
      <c r="B333" s="8" t="s">
        <v>59</v>
      </c>
      <c r="C333" s="8" t="s">
        <v>22</v>
      </c>
      <c r="D333" s="8" t="s">
        <v>54</v>
      </c>
      <c r="E333" s="23" t="s">
        <v>27</v>
      </c>
      <c r="F333" s="16" t="s">
        <v>393</v>
      </c>
      <c r="G333" s="118">
        <v>110</v>
      </c>
      <c r="H333" s="118">
        <v>41.4</v>
      </c>
      <c r="I333" s="118">
        <v>12.5</v>
      </c>
      <c r="J333" s="119" t="s">
        <v>26</v>
      </c>
      <c r="K333" s="119" t="s">
        <v>26</v>
      </c>
      <c r="L333" s="119" t="s">
        <v>26</v>
      </c>
      <c r="M333" s="118">
        <v>0.7</v>
      </c>
      <c r="N333" s="119" t="s">
        <v>26</v>
      </c>
      <c r="O333" s="118">
        <v>4.2</v>
      </c>
      <c r="P333" s="118">
        <v>2.1</v>
      </c>
      <c r="Q333" s="118">
        <v>7.8</v>
      </c>
      <c r="R333" s="118">
        <v>1.6</v>
      </c>
      <c r="S333" s="127">
        <v>2.1</v>
      </c>
      <c r="T333" s="121" t="s">
        <v>26</v>
      </c>
      <c r="U333" s="123" t="s">
        <v>26</v>
      </c>
      <c r="V333" s="89">
        <v>275</v>
      </c>
      <c r="AC333" s="33"/>
      <c r="AD333" s="33"/>
      <c r="AE333" s="33"/>
    </row>
    <row r="334" spans="1:31">
      <c r="A334" s="18" t="s">
        <v>392</v>
      </c>
      <c r="B334" s="8" t="s">
        <v>59</v>
      </c>
      <c r="C334" s="8" t="s">
        <v>22</v>
      </c>
      <c r="D334" s="8" t="s">
        <v>54</v>
      </c>
      <c r="E334" s="23" t="s">
        <v>29</v>
      </c>
      <c r="F334" s="16" t="s">
        <v>394</v>
      </c>
      <c r="G334" s="118">
        <v>37</v>
      </c>
      <c r="H334" s="118">
        <v>27.8</v>
      </c>
      <c r="I334" s="118">
        <v>9.3000000000000007</v>
      </c>
      <c r="J334" s="118">
        <v>3.8</v>
      </c>
      <c r="K334" s="119" t="s">
        <v>26</v>
      </c>
      <c r="L334" s="119" t="s">
        <v>26</v>
      </c>
      <c r="M334" s="119" t="s">
        <v>26</v>
      </c>
      <c r="N334" s="119" t="s">
        <v>26</v>
      </c>
      <c r="O334" s="118">
        <v>4.2</v>
      </c>
      <c r="P334" s="119" t="s">
        <v>26</v>
      </c>
      <c r="Q334" s="118">
        <v>10.9</v>
      </c>
      <c r="R334" s="119" t="s">
        <v>26</v>
      </c>
      <c r="S334" s="120" t="s">
        <v>26</v>
      </c>
      <c r="T334" s="128">
        <v>3</v>
      </c>
      <c r="U334" s="133">
        <v>5268</v>
      </c>
      <c r="V334" s="126" t="s">
        <v>26</v>
      </c>
      <c r="AC334" s="33"/>
      <c r="AD334" s="33"/>
      <c r="AE334" s="33"/>
    </row>
    <row r="335" spans="1:31">
      <c r="A335" s="18" t="s">
        <v>392</v>
      </c>
      <c r="B335" s="8" t="s">
        <v>59</v>
      </c>
      <c r="C335" s="8" t="s">
        <v>22</v>
      </c>
      <c r="D335" s="8" t="s">
        <v>54</v>
      </c>
      <c r="E335" s="23" t="s">
        <v>31</v>
      </c>
      <c r="F335" s="16" t="s">
        <v>395</v>
      </c>
      <c r="G335" s="118">
        <v>18</v>
      </c>
      <c r="H335" s="118">
        <v>5</v>
      </c>
      <c r="I335" s="118">
        <v>9.5</v>
      </c>
      <c r="J335" s="118">
        <v>4</v>
      </c>
      <c r="K335" s="119" t="s">
        <v>26</v>
      </c>
      <c r="L335" s="119" t="s">
        <v>26</v>
      </c>
      <c r="M335" s="119" t="s">
        <v>26</v>
      </c>
      <c r="N335" s="119" t="s">
        <v>26</v>
      </c>
      <c r="O335" s="125" t="s">
        <v>26</v>
      </c>
      <c r="P335" s="119" t="s">
        <v>26</v>
      </c>
      <c r="Q335" s="119" t="s">
        <v>26</v>
      </c>
      <c r="R335" s="119" t="s">
        <v>26</v>
      </c>
      <c r="S335" s="120" t="s">
        <v>26</v>
      </c>
      <c r="T335" s="121" t="s">
        <v>26</v>
      </c>
      <c r="U335" s="133">
        <v>162</v>
      </c>
      <c r="V335" s="126" t="s">
        <v>26</v>
      </c>
      <c r="AC335" s="33"/>
      <c r="AD335" s="33"/>
      <c r="AE335" s="33"/>
    </row>
    <row r="336" spans="1:31">
      <c r="A336" s="18" t="s">
        <v>392</v>
      </c>
      <c r="B336" s="8" t="s">
        <v>119</v>
      </c>
      <c r="C336" s="8" t="s">
        <v>22</v>
      </c>
      <c r="D336" s="3" t="s">
        <v>33</v>
      </c>
      <c r="E336" s="24" t="s">
        <v>71</v>
      </c>
      <c r="F336" s="16" t="s">
        <v>396</v>
      </c>
      <c r="G336" s="118">
        <v>101</v>
      </c>
      <c r="H336" s="118">
        <v>19.2</v>
      </c>
      <c r="I336" s="118">
        <v>24.8</v>
      </c>
      <c r="J336" s="119" t="s">
        <v>26</v>
      </c>
      <c r="K336" s="119" t="s">
        <v>26</v>
      </c>
      <c r="L336" s="119" t="s">
        <v>26</v>
      </c>
      <c r="M336" s="119" t="s">
        <v>26</v>
      </c>
      <c r="N336" s="119" t="s">
        <v>26</v>
      </c>
      <c r="O336" s="118">
        <v>6.2</v>
      </c>
      <c r="P336" s="119" t="s">
        <v>26</v>
      </c>
      <c r="Q336" s="118">
        <v>9.1999999999999993</v>
      </c>
      <c r="R336" s="119" t="s">
        <v>26</v>
      </c>
      <c r="S336" s="120" t="s">
        <v>26</v>
      </c>
      <c r="T336" s="121" t="s">
        <v>26</v>
      </c>
      <c r="U336" s="130">
        <v>790</v>
      </c>
      <c r="V336" s="89">
        <v>174</v>
      </c>
      <c r="AC336" s="33"/>
      <c r="AD336" s="33"/>
      <c r="AE336" s="33"/>
    </row>
    <row r="337" spans="1:31">
      <c r="A337" s="18" t="s">
        <v>392</v>
      </c>
      <c r="B337" s="8" t="s">
        <v>119</v>
      </c>
      <c r="C337" s="8" t="s">
        <v>22</v>
      </c>
      <c r="D337" s="3" t="s">
        <v>33</v>
      </c>
      <c r="E337" s="23" t="s">
        <v>29</v>
      </c>
      <c r="F337" s="16" t="s">
        <v>397</v>
      </c>
      <c r="G337" s="118">
        <v>51</v>
      </c>
      <c r="H337" s="119" t="s">
        <v>26</v>
      </c>
      <c r="I337" s="118">
        <v>20.399999999999999</v>
      </c>
      <c r="J337" s="118">
        <v>1</v>
      </c>
      <c r="K337" s="119" t="s">
        <v>26</v>
      </c>
      <c r="L337" s="119" t="s">
        <v>26</v>
      </c>
      <c r="M337" s="119" t="s">
        <v>26</v>
      </c>
      <c r="N337" s="119" t="s">
        <v>26</v>
      </c>
      <c r="O337" s="125" t="s">
        <v>26</v>
      </c>
      <c r="P337" s="119" t="s">
        <v>26</v>
      </c>
      <c r="Q337" s="118">
        <v>2</v>
      </c>
      <c r="R337" s="119" t="s">
        <v>26</v>
      </c>
      <c r="S337" s="120" t="s">
        <v>26</v>
      </c>
      <c r="T337" s="121" t="s">
        <v>26</v>
      </c>
      <c r="U337" s="130">
        <v>496</v>
      </c>
      <c r="V337" s="89">
        <v>202</v>
      </c>
      <c r="AC337" s="33"/>
      <c r="AD337" s="33"/>
      <c r="AE337" s="33"/>
    </row>
    <row r="338" spans="1:31">
      <c r="A338" s="18" t="s">
        <v>392</v>
      </c>
      <c r="B338" s="8" t="s">
        <v>119</v>
      </c>
      <c r="C338" s="8" t="s">
        <v>22</v>
      </c>
      <c r="D338" s="3" t="s">
        <v>33</v>
      </c>
      <c r="E338" s="23" t="s">
        <v>31</v>
      </c>
      <c r="F338" s="16" t="s">
        <v>280</v>
      </c>
      <c r="G338" s="118">
        <v>23</v>
      </c>
      <c r="H338" s="119" t="s">
        <v>26</v>
      </c>
      <c r="I338" s="118">
        <v>19</v>
      </c>
      <c r="J338" s="118">
        <v>1.2</v>
      </c>
      <c r="K338" s="119" t="s">
        <v>26</v>
      </c>
      <c r="L338" s="119" t="s">
        <v>26</v>
      </c>
      <c r="M338" s="119" t="s">
        <v>26</v>
      </c>
      <c r="N338" s="119" t="s">
        <v>26</v>
      </c>
      <c r="O338" s="125" t="s">
        <v>26</v>
      </c>
      <c r="P338" s="119" t="s">
        <v>26</v>
      </c>
      <c r="Q338" s="119" t="s">
        <v>26</v>
      </c>
      <c r="R338" s="119" t="s">
        <v>26</v>
      </c>
      <c r="S338" s="120" t="s">
        <v>26</v>
      </c>
      <c r="T338" s="121" t="s">
        <v>26</v>
      </c>
      <c r="U338" s="123" t="s">
        <v>26</v>
      </c>
      <c r="V338" s="89">
        <v>43</v>
      </c>
      <c r="AC338" s="33"/>
      <c r="AD338" s="33"/>
      <c r="AE338" s="33"/>
    </row>
    <row r="339" spans="1:31">
      <c r="A339" s="18" t="s">
        <v>392</v>
      </c>
      <c r="B339" s="8" t="s">
        <v>141</v>
      </c>
      <c r="C339" s="8" t="s">
        <v>22</v>
      </c>
      <c r="D339" s="8" t="s">
        <v>109</v>
      </c>
      <c r="E339" s="23" t="s">
        <v>24</v>
      </c>
      <c r="F339" s="16" t="s">
        <v>398</v>
      </c>
      <c r="G339" s="118">
        <v>295</v>
      </c>
      <c r="H339" s="118">
        <v>9.6</v>
      </c>
      <c r="I339" s="119" t="s">
        <v>26</v>
      </c>
      <c r="J339" s="119" t="s">
        <v>26</v>
      </c>
      <c r="K339" s="119" t="s">
        <v>26</v>
      </c>
      <c r="L339" s="119" t="s">
        <v>26</v>
      </c>
      <c r="M339" s="118">
        <v>0.6</v>
      </c>
      <c r="N339" s="119" t="s">
        <v>26</v>
      </c>
      <c r="O339" s="118">
        <v>4.2</v>
      </c>
      <c r="P339" s="118">
        <v>0.7</v>
      </c>
      <c r="Q339" s="118">
        <v>4.2</v>
      </c>
      <c r="R339" s="118">
        <v>1.4</v>
      </c>
      <c r="S339" s="120" t="s">
        <v>26</v>
      </c>
      <c r="T339" s="121" t="s">
        <v>26</v>
      </c>
      <c r="U339" s="130">
        <v>676</v>
      </c>
      <c r="V339" s="89">
        <v>482</v>
      </c>
      <c r="AC339" s="33"/>
      <c r="AD339" s="33"/>
      <c r="AE339" s="33"/>
    </row>
    <row r="340" spans="1:31">
      <c r="A340" s="18" t="s">
        <v>392</v>
      </c>
      <c r="B340" s="8" t="s">
        <v>141</v>
      </c>
      <c r="C340" s="8" t="s">
        <v>22</v>
      </c>
      <c r="D340" s="8" t="s">
        <v>109</v>
      </c>
      <c r="E340" s="23" t="s">
        <v>27</v>
      </c>
      <c r="F340" s="16" t="s">
        <v>399</v>
      </c>
      <c r="G340" s="118">
        <v>108</v>
      </c>
      <c r="H340" s="118">
        <v>21.4</v>
      </c>
      <c r="I340" s="118">
        <v>6.4</v>
      </c>
      <c r="J340" s="119" t="s">
        <v>26</v>
      </c>
      <c r="K340" s="119" t="s">
        <v>26</v>
      </c>
      <c r="L340" s="119" t="s">
        <v>26</v>
      </c>
      <c r="M340" s="118">
        <v>0.7</v>
      </c>
      <c r="N340" s="119" t="s">
        <v>26</v>
      </c>
      <c r="O340" s="118">
        <v>4.9000000000000004</v>
      </c>
      <c r="P340" s="118">
        <v>1</v>
      </c>
      <c r="Q340" s="118">
        <v>3.8</v>
      </c>
      <c r="R340" s="118">
        <v>1.7</v>
      </c>
      <c r="S340" s="127">
        <v>3.1</v>
      </c>
      <c r="T340" s="121" t="s">
        <v>26</v>
      </c>
      <c r="U340" s="123" t="s">
        <v>26</v>
      </c>
      <c r="V340" s="126" t="s">
        <v>26</v>
      </c>
      <c r="AC340" s="33"/>
      <c r="AD340" s="33"/>
      <c r="AE340" s="33"/>
    </row>
    <row r="341" spans="1:31">
      <c r="A341" s="18" t="s">
        <v>392</v>
      </c>
      <c r="B341" s="8" t="s">
        <v>141</v>
      </c>
      <c r="C341" s="8" t="s">
        <v>22</v>
      </c>
      <c r="D341" s="8" t="s">
        <v>109</v>
      </c>
      <c r="E341" s="23" t="s">
        <v>29</v>
      </c>
      <c r="F341" s="16" t="s">
        <v>400</v>
      </c>
      <c r="G341" s="118">
        <v>46</v>
      </c>
      <c r="H341" s="118">
        <v>14.6</v>
      </c>
      <c r="I341" s="118">
        <v>16.7</v>
      </c>
      <c r="J341" s="119" t="s">
        <v>26</v>
      </c>
      <c r="K341" s="119" t="s">
        <v>26</v>
      </c>
      <c r="L341" s="119" t="s">
        <v>26</v>
      </c>
      <c r="M341" s="118">
        <v>1.4</v>
      </c>
      <c r="N341" s="119" t="s">
        <v>26</v>
      </c>
      <c r="O341" s="118">
        <v>6.1</v>
      </c>
      <c r="P341" s="118">
        <v>1.7</v>
      </c>
      <c r="Q341" s="119" t="s">
        <v>26</v>
      </c>
      <c r="R341" s="118">
        <v>2.1</v>
      </c>
      <c r="S341" s="127">
        <v>5.7</v>
      </c>
      <c r="T341" s="121" t="s">
        <v>26</v>
      </c>
      <c r="U341" s="130">
        <v>54</v>
      </c>
      <c r="V341" s="126" t="s">
        <v>26</v>
      </c>
      <c r="AC341" s="33"/>
      <c r="AD341" s="33"/>
      <c r="AE341" s="33"/>
    </row>
    <row r="342" spans="1:31">
      <c r="A342" s="18" t="s">
        <v>392</v>
      </c>
      <c r="B342" s="8" t="s">
        <v>141</v>
      </c>
      <c r="C342" s="8" t="s">
        <v>22</v>
      </c>
      <c r="D342" s="8" t="s">
        <v>109</v>
      </c>
      <c r="E342" s="23" t="s">
        <v>31</v>
      </c>
      <c r="F342" s="16" t="s">
        <v>312</v>
      </c>
      <c r="G342" s="118">
        <v>14</v>
      </c>
      <c r="H342" s="118">
        <v>21.4</v>
      </c>
      <c r="I342" s="118">
        <v>4.7</v>
      </c>
      <c r="J342" s="118">
        <v>3</v>
      </c>
      <c r="K342" s="119" t="s">
        <v>26</v>
      </c>
      <c r="L342" s="119" t="s">
        <v>26</v>
      </c>
      <c r="M342" s="119" t="s">
        <v>26</v>
      </c>
      <c r="N342" s="119" t="s">
        <v>26</v>
      </c>
      <c r="O342" s="118">
        <v>4.8</v>
      </c>
      <c r="P342" s="118">
        <v>2.7</v>
      </c>
      <c r="Q342" s="119" t="s">
        <v>26</v>
      </c>
      <c r="R342" s="118">
        <v>1.7</v>
      </c>
      <c r="S342" s="127">
        <v>8.6999999999999993</v>
      </c>
      <c r="T342" s="121" t="s">
        <v>26</v>
      </c>
      <c r="U342" s="130">
        <v>571</v>
      </c>
      <c r="V342" s="126" t="s">
        <v>26</v>
      </c>
      <c r="AC342" s="33"/>
      <c r="AD342" s="33"/>
      <c r="AE342" s="33"/>
    </row>
    <row r="343" spans="1:31">
      <c r="A343" s="18" t="s">
        <v>392</v>
      </c>
      <c r="B343" s="8" t="s">
        <v>186</v>
      </c>
      <c r="C343" s="8" t="s">
        <v>22</v>
      </c>
      <c r="D343" s="3" t="s">
        <v>23</v>
      </c>
      <c r="E343" s="23" t="s">
        <v>24</v>
      </c>
      <c r="F343" s="16" t="s">
        <v>401</v>
      </c>
      <c r="G343" s="118">
        <v>265</v>
      </c>
      <c r="H343" s="118">
        <v>20.7</v>
      </c>
      <c r="I343" s="119" t="s">
        <v>26</v>
      </c>
      <c r="J343" s="119" t="s">
        <v>26</v>
      </c>
      <c r="K343" s="119" t="s">
        <v>26</v>
      </c>
      <c r="L343" s="119" t="s">
        <v>26</v>
      </c>
      <c r="M343" s="119" t="s">
        <v>26</v>
      </c>
      <c r="N343" s="119" t="s">
        <v>26</v>
      </c>
      <c r="O343" s="118">
        <v>3.1</v>
      </c>
      <c r="P343" s="119" t="s">
        <v>26</v>
      </c>
      <c r="Q343" s="118">
        <v>4</v>
      </c>
      <c r="R343" s="118">
        <v>2.8</v>
      </c>
      <c r="S343" s="127">
        <v>2.5</v>
      </c>
      <c r="T343" s="121" t="s">
        <v>26</v>
      </c>
      <c r="U343" s="123" t="s">
        <v>26</v>
      </c>
      <c r="V343" s="126" t="s">
        <v>26</v>
      </c>
      <c r="AC343" s="33"/>
      <c r="AD343" s="33"/>
      <c r="AE343" s="33"/>
    </row>
    <row r="344" spans="1:31">
      <c r="A344" s="18" t="s">
        <v>392</v>
      </c>
      <c r="B344" s="8" t="s">
        <v>186</v>
      </c>
      <c r="C344" s="8" t="s">
        <v>22</v>
      </c>
      <c r="D344" s="3" t="s">
        <v>23</v>
      </c>
      <c r="E344" s="23" t="s">
        <v>27</v>
      </c>
      <c r="F344" s="16" t="s">
        <v>402</v>
      </c>
      <c r="G344" s="118">
        <v>104</v>
      </c>
      <c r="H344" s="118">
        <v>43.9</v>
      </c>
      <c r="I344" s="119" t="s">
        <v>26</v>
      </c>
      <c r="J344" s="119" t="s">
        <v>26</v>
      </c>
      <c r="K344" s="119" t="s">
        <v>26</v>
      </c>
      <c r="L344" s="119" t="s">
        <v>26</v>
      </c>
      <c r="M344" s="119" t="s">
        <v>26</v>
      </c>
      <c r="N344" s="119" t="s">
        <v>26</v>
      </c>
      <c r="O344" s="118">
        <v>4.2</v>
      </c>
      <c r="P344" s="119" t="s">
        <v>26</v>
      </c>
      <c r="Q344" s="119" t="s">
        <v>26</v>
      </c>
      <c r="R344" s="119" t="s">
        <v>26</v>
      </c>
      <c r="S344" s="127">
        <v>3.1</v>
      </c>
      <c r="T344" s="121" t="s">
        <v>26</v>
      </c>
      <c r="U344" s="89">
        <v>97</v>
      </c>
      <c r="V344" s="126" t="s">
        <v>26</v>
      </c>
      <c r="AC344" s="33"/>
      <c r="AD344" s="33"/>
      <c r="AE344" s="33"/>
    </row>
    <row r="345" spans="1:31">
      <c r="A345" s="18" t="s">
        <v>392</v>
      </c>
      <c r="B345" s="8" t="s">
        <v>186</v>
      </c>
      <c r="C345" s="8" t="s">
        <v>22</v>
      </c>
      <c r="D345" s="3" t="s">
        <v>23</v>
      </c>
      <c r="E345" s="23" t="s">
        <v>29</v>
      </c>
      <c r="F345" s="16" t="s">
        <v>232</v>
      </c>
      <c r="G345" s="118">
        <v>47</v>
      </c>
      <c r="H345" s="118">
        <v>22.6</v>
      </c>
      <c r="I345" s="118">
        <v>12.1</v>
      </c>
      <c r="J345" s="119" t="s">
        <v>26</v>
      </c>
      <c r="K345" s="119" t="s">
        <v>26</v>
      </c>
      <c r="L345" s="119" t="s">
        <v>26</v>
      </c>
      <c r="M345" s="119" t="s">
        <v>26</v>
      </c>
      <c r="N345" s="119" t="s">
        <v>26</v>
      </c>
      <c r="O345" s="118">
        <v>6.1</v>
      </c>
      <c r="P345" s="119" t="s">
        <v>26</v>
      </c>
      <c r="Q345" s="119" t="s">
        <v>26</v>
      </c>
      <c r="R345" s="119" t="s">
        <v>26</v>
      </c>
      <c r="S345" s="120" t="s">
        <v>26</v>
      </c>
      <c r="T345" s="121" t="s">
        <v>26</v>
      </c>
      <c r="U345" s="123" t="s">
        <v>26</v>
      </c>
      <c r="V345" s="126" t="s">
        <v>26</v>
      </c>
      <c r="AC345" s="33"/>
      <c r="AD345" s="33"/>
      <c r="AE345" s="33"/>
    </row>
    <row r="346" spans="1:31">
      <c r="A346" s="18" t="s">
        <v>392</v>
      </c>
      <c r="B346" s="8" t="s">
        <v>186</v>
      </c>
      <c r="C346" s="8" t="s">
        <v>22</v>
      </c>
      <c r="D346" s="3" t="s">
        <v>23</v>
      </c>
      <c r="E346" s="23" t="s">
        <v>31</v>
      </c>
      <c r="F346" s="16" t="s">
        <v>403</v>
      </c>
      <c r="G346" s="118">
        <v>17</v>
      </c>
      <c r="H346" s="118">
        <v>5</v>
      </c>
      <c r="I346" s="118">
        <v>23</v>
      </c>
      <c r="J346" s="118">
        <v>15.9</v>
      </c>
      <c r="K346" s="119" t="s">
        <v>26</v>
      </c>
      <c r="L346" s="119" t="s">
        <v>26</v>
      </c>
      <c r="M346" s="119" t="s">
        <v>26</v>
      </c>
      <c r="N346" s="119" t="s">
        <v>26</v>
      </c>
      <c r="O346" s="125" t="s">
        <v>26</v>
      </c>
      <c r="P346" s="119" t="s">
        <v>26</v>
      </c>
      <c r="Q346" s="119" t="s">
        <v>26</v>
      </c>
      <c r="R346" s="119" t="s">
        <v>26</v>
      </c>
      <c r="S346" s="120" t="s">
        <v>26</v>
      </c>
      <c r="T346" s="121" t="s">
        <v>26</v>
      </c>
      <c r="U346" s="123" t="s">
        <v>26</v>
      </c>
      <c r="V346" s="126" t="s">
        <v>26</v>
      </c>
      <c r="AC346" s="33"/>
      <c r="AD346" s="33"/>
      <c r="AE346" s="33"/>
    </row>
    <row r="347" spans="1:31">
      <c r="A347" s="18" t="s">
        <v>392</v>
      </c>
      <c r="B347" s="8" t="s">
        <v>186</v>
      </c>
      <c r="C347" s="8" t="s">
        <v>22</v>
      </c>
      <c r="D347" s="3" t="s">
        <v>23</v>
      </c>
      <c r="E347" s="25" t="s">
        <v>131</v>
      </c>
      <c r="F347" s="16" t="s">
        <v>1477</v>
      </c>
      <c r="G347" s="118">
        <v>16</v>
      </c>
      <c r="H347" s="119" t="s">
        <v>26</v>
      </c>
      <c r="I347" s="119" t="s">
        <v>26</v>
      </c>
      <c r="J347" s="119" t="s">
        <v>26</v>
      </c>
      <c r="K347" s="119" t="s">
        <v>26</v>
      </c>
      <c r="L347" s="119" t="s">
        <v>26</v>
      </c>
      <c r="M347" s="119" t="s">
        <v>26</v>
      </c>
      <c r="N347" s="119" t="s">
        <v>26</v>
      </c>
      <c r="O347" s="125" t="s">
        <v>26</v>
      </c>
      <c r="P347" s="119" t="s">
        <v>26</v>
      </c>
      <c r="Q347" s="119" t="s">
        <v>26</v>
      </c>
      <c r="R347" s="119" t="s">
        <v>26</v>
      </c>
      <c r="S347" s="120" t="s">
        <v>26</v>
      </c>
      <c r="T347" s="121" t="s">
        <v>26</v>
      </c>
      <c r="U347" s="123" t="s">
        <v>26</v>
      </c>
      <c r="V347" s="126" t="s">
        <v>26</v>
      </c>
      <c r="AC347" s="33"/>
      <c r="AD347" s="33"/>
      <c r="AE347" s="33"/>
    </row>
    <row r="348" spans="1:31">
      <c r="A348" s="18" t="s">
        <v>392</v>
      </c>
      <c r="B348" s="8" t="s">
        <v>405</v>
      </c>
      <c r="C348" s="8" t="s">
        <v>22</v>
      </c>
      <c r="D348" s="8" t="s">
        <v>406</v>
      </c>
      <c r="E348" s="25" t="s">
        <v>71</v>
      </c>
      <c r="F348" s="16" t="s">
        <v>407</v>
      </c>
      <c r="G348" s="118">
        <v>90</v>
      </c>
      <c r="H348" s="118">
        <v>12</v>
      </c>
      <c r="I348" s="118">
        <v>18.7</v>
      </c>
      <c r="J348" s="119" t="s">
        <v>26</v>
      </c>
      <c r="K348" s="119" t="s">
        <v>26</v>
      </c>
      <c r="L348" s="119" t="s">
        <v>26</v>
      </c>
      <c r="M348" s="119" t="s">
        <v>26</v>
      </c>
      <c r="N348" s="119" t="s">
        <v>26</v>
      </c>
      <c r="O348" s="118">
        <v>6.2</v>
      </c>
      <c r="P348" s="119" t="s">
        <v>26</v>
      </c>
      <c r="Q348" s="119" t="s">
        <v>26</v>
      </c>
      <c r="R348" s="119" t="s">
        <v>26</v>
      </c>
      <c r="S348" s="127">
        <v>6.9</v>
      </c>
      <c r="T348" s="121" t="s">
        <v>26</v>
      </c>
      <c r="U348" s="123" t="s">
        <v>26</v>
      </c>
      <c r="V348" s="126" t="s">
        <v>26</v>
      </c>
      <c r="AC348" s="33"/>
      <c r="AD348" s="33"/>
      <c r="AE348" s="33"/>
    </row>
    <row r="349" spans="1:31">
      <c r="A349" s="18" t="s">
        <v>392</v>
      </c>
      <c r="B349" s="8" t="s">
        <v>405</v>
      </c>
      <c r="C349" s="8" t="s">
        <v>22</v>
      </c>
      <c r="D349" s="8" t="s">
        <v>406</v>
      </c>
      <c r="E349" s="23" t="s">
        <v>29</v>
      </c>
      <c r="F349" s="16" t="s">
        <v>408</v>
      </c>
      <c r="G349" s="118">
        <v>45</v>
      </c>
      <c r="H349" s="118">
        <v>25.4</v>
      </c>
      <c r="I349" s="118">
        <v>15.5</v>
      </c>
      <c r="J349" s="119" t="s">
        <v>26</v>
      </c>
      <c r="K349" s="119" t="s">
        <v>26</v>
      </c>
      <c r="L349" s="119" t="s">
        <v>26</v>
      </c>
      <c r="M349" s="119" t="s">
        <v>26</v>
      </c>
      <c r="N349" s="119" t="s">
        <v>26</v>
      </c>
      <c r="O349" s="118">
        <v>6.7</v>
      </c>
      <c r="P349" s="119" t="s">
        <v>26</v>
      </c>
      <c r="Q349" s="119" t="s">
        <v>26</v>
      </c>
      <c r="R349" s="119" t="s">
        <v>26</v>
      </c>
      <c r="S349" s="120" t="s">
        <v>26</v>
      </c>
      <c r="T349" s="121" t="s">
        <v>26</v>
      </c>
      <c r="U349" s="123" t="s">
        <v>26</v>
      </c>
      <c r="V349" s="126" t="s">
        <v>26</v>
      </c>
      <c r="AC349" s="33"/>
      <c r="AD349" s="33"/>
      <c r="AE349" s="33"/>
    </row>
    <row r="350" spans="1:31">
      <c r="A350" s="18" t="s">
        <v>392</v>
      </c>
      <c r="B350" s="8" t="s">
        <v>405</v>
      </c>
      <c r="C350" s="8" t="s">
        <v>22</v>
      </c>
      <c r="D350" s="8" t="s">
        <v>406</v>
      </c>
      <c r="E350" s="23" t="s">
        <v>31</v>
      </c>
      <c r="F350" s="16" t="s">
        <v>409</v>
      </c>
      <c r="G350" s="118">
        <v>14</v>
      </c>
      <c r="H350" s="118">
        <v>9.5</v>
      </c>
      <c r="I350" s="119" t="s">
        <v>26</v>
      </c>
      <c r="J350" s="119" t="s">
        <v>26</v>
      </c>
      <c r="K350" s="119" t="s">
        <v>26</v>
      </c>
      <c r="L350" s="119" t="s">
        <v>26</v>
      </c>
      <c r="M350" s="119" t="s">
        <v>26</v>
      </c>
      <c r="N350" s="119" t="s">
        <v>26</v>
      </c>
      <c r="O350" s="125" t="s">
        <v>26</v>
      </c>
      <c r="P350" s="119" t="s">
        <v>26</v>
      </c>
      <c r="Q350" s="119" t="s">
        <v>26</v>
      </c>
      <c r="R350" s="119" t="s">
        <v>26</v>
      </c>
      <c r="S350" s="120" t="s">
        <v>26</v>
      </c>
      <c r="T350" s="121" t="s">
        <v>26</v>
      </c>
      <c r="U350" s="123" t="s">
        <v>26</v>
      </c>
      <c r="V350" s="126" t="s">
        <v>26</v>
      </c>
      <c r="AC350" s="33"/>
      <c r="AD350" s="33"/>
      <c r="AE350" s="33"/>
    </row>
    <row r="351" spans="1:31">
      <c r="A351" s="18" t="s">
        <v>392</v>
      </c>
      <c r="B351" s="8" t="s">
        <v>39</v>
      </c>
      <c r="C351" s="8" t="s">
        <v>22</v>
      </c>
      <c r="D351" s="3" t="s">
        <v>33</v>
      </c>
      <c r="E351" s="23" t="s">
        <v>24</v>
      </c>
      <c r="F351" s="16" t="s">
        <v>410</v>
      </c>
      <c r="G351" s="118">
        <v>241</v>
      </c>
      <c r="H351" s="118">
        <v>24.7</v>
      </c>
      <c r="I351" s="119" t="s">
        <v>26</v>
      </c>
      <c r="J351" s="119" t="s">
        <v>26</v>
      </c>
      <c r="K351" s="119" t="s">
        <v>26</v>
      </c>
      <c r="L351" s="119" t="s">
        <v>26</v>
      </c>
      <c r="M351" s="119" t="s">
        <v>26</v>
      </c>
      <c r="N351" s="119" t="s">
        <v>26</v>
      </c>
      <c r="O351" s="125" t="s">
        <v>26</v>
      </c>
      <c r="P351" s="119" t="s">
        <v>26</v>
      </c>
      <c r="Q351" s="118">
        <v>9.1999999999999993</v>
      </c>
      <c r="R351" s="119" t="s">
        <v>26</v>
      </c>
      <c r="S351" s="120" t="s">
        <v>26</v>
      </c>
      <c r="T351" s="121" t="s">
        <v>26</v>
      </c>
      <c r="U351" s="130">
        <v>117</v>
      </c>
      <c r="V351" s="126" t="s">
        <v>26</v>
      </c>
      <c r="AC351" s="33"/>
      <c r="AD351" s="33"/>
      <c r="AE351" s="33"/>
    </row>
    <row r="352" spans="1:31">
      <c r="A352" s="18" t="s">
        <v>392</v>
      </c>
      <c r="B352" s="8" t="s">
        <v>39</v>
      </c>
      <c r="C352" s="8" t="s">
        <v>22</v>
      </c>
      <c r="D352" s="3" t="s">
        <v>33</v>
      </c>
      <c r="E352" s="23" t="s">
        <v>27</v>
      </c>
      <c r="F352" s="16" t="s">
        <v>411</v>
      </c>
      <c r="G352" s="118">
        <v>117</v>
      </c>
      <c r="H352" s="118">
        <v>29.7</v>
      </c>
      <c r="I352" s="118">
        <v>8</v>
      </c>
      <c r="J352" s="119" t="s">
        <v>26</v>
      </c>
      <c r="K352" s="119" t="s">
        <v>26</v>
      </c>
      <c r="L352" s="119" t="s">
        <v>26</v>
      </c>
      <c r="M352" s="119" t="s">
        <v>26</v>
      </c>
      <c r="N352" s="119" t="s">
        <v>26</v>
      </c>
      <c r="O352" s="118">
        <v>4.5999999999999996</v>
      </c>
      <c r="P352" s="119" t="s">
        <v>26</v>
      </c>
      <c r="Q352" s="119" t="s">
        <v>26</v>
      </c>
      <c r="R352" s="119" t="s">
        <v>26</v>
      </c>
      <c r="S352" s="120" t="s">
        <v>26</v>
      </c>
      <c r="T352" s="121" t="s">
        <v>26</v>
      </c>
      <c r="U352" s="123" t="s">
        <v>26</v>
      </c>
      <c r="V352" s="126" t="s">
        <v>26</v>
      </c>
      <c r="AC352" s="33"/>
      <c r="AD352" s="33"/>
      <c r="AE352" s="33"/>
    </row>
    <row r="353" spans="1:31">
      <c r="A353" s="18" t="s">
        <v>392</v>
      </c>
      <c r="B353" s="8" t="s">
        <v>39</v>
      </c>
      <c r="C353" s="8" t="s">
        <v>22</v>
      </c>
      <c r="D353" s="3" t="s">
        <v>33</v>
      </c>
      <c r="E353" s="23" t="s">
        <v>29</v>
      </c>
      <c r="F353" s="16" t="s">
        <v>412</v>
      </c>
      <c r="G353" s="118">
        <v>51</v>
      </c>
      <c r="H353" s="118">
        <v>18.600000000000001</v>
      </c>
      <c r="I353" s="118">
        <v>29.2</v>
      </c>
      <c r="J353" s="119" t="s">
        <v>26</v>
      </c>
      <c r="K353" s="119" t="s">
        <v>26</v>
      </c>
      <c r="L353" s="119" t="s">
        <v>26</v>
      </c>
      <c r="M353" s="119" t="s">
        <v>26</v>
      </c>
      <c r="N353" s="119" t="s">
        <v>26</v>
      </c>
      <c r="O353" s="118">
        <v>4.5</v>
      </c>
      <c r="P353" s="119" t="s">
        <v>26</v>
      </c>
      <c r="Q353" s="119" t="s">
        <v>26</v>
      </c>
      <c r="R353" s="119" t="s">
        <v>26</v>
      </c>
      <c r="S353" s="120" t="s">
        <v>26</v>
      </c>
      <c r="T353" s="121" t="s">
        <v>26</v>
      </c>
      <c r="U353" s="123" t="s">
        <v>26</v>
      </c>
      <c r="V353" s="126" t="s">
        <v>26</v>
      </c>
      <c r="AC353" s="33"/>
      <c r="AD353" s="33"/>
      <c r="AE353" s="33"/>
    </row>
    <row r="354" spans="1:31">
      <c r="A354" s="18" t="s">
        <v>392</v>
      </c>
      <c r="B354" s="8" t="s">
        <v>39</v>
      </c>
      <c r="C354" s="8" t="s">
        <v>22</v>
      </c>
      <c r="D354" s="3" t="s">
        <v>33</v>
      </c>
      <c r="E354" s="23" t="s">
        <v>31</v>
      </c>
      <c r="F354" s="16" t="s">
        <v>413</v>
      </c>
      <c r="G354" s="118">
        <v>14</v>
      </c>
      <c r="H354" s="118">
        <v>5</v>
      </c>
      <c r="I354" s="119" t="s">
        <v>26</v>
      </c>
      <c r="J354" s="118">
        <v>5.7</v>
      </c>
      <c r="K354" s="119" t="s">
        <v>26</v>
      </c>
      <c r="L354" s="119" t="s">
        <v>26</v>
      </c>
      <c r="M354" s="119" t="s">
        <v>26</v>
      </c>
      <c r="N354" s="119" t="s">
        <v>26</v>
      </c>
      <c r="O354" s="125" t="s">
        <v>26</v>
      </c>
      <c r="P354" s="118">
        <v>2.5</v>
      </c>
      <c r="Q354" s="119" t="s">
        <v>26</v>
      </c>
      <c r="R354" s="119" t="s">
        <v>26</v>
      </c>
      <c r="S354" s="120" t="s">
        <v>26</v>
      </c>
      <c r="T354" s="121" t="s">
        <v>26</v>
      </c>
      <c r="U354" s="133">
        <v>799</v>
      </c>
      <c r="V354" s="126" t="s">
        <v>26</v>
      </c>
      <c r="AC354" s="33"/>
      <c r="AD354" s="33"/>
      <c r="AE354" s="33"/>
    </row>
    <row r="355" spans="1:31">
      <c r="A355" s="18" t="s">
        <v>392</v>
      </c>
      <c r="B355" s="8" t="s">
        <v>340</v>
      </c>
      <c r="C355" s="8" t="s">
        <v>22</v>
      </c>
      <c r="D355" s="3" t="s">
        <v>33</v>
      </c>
      <c r="E355" s="23" t="s">
        <v>27</v>
      </c>
      <c r="F355" s="16" t="s">
        <v>414</v>
      </c>
      <c r="G355" s="118">
        <v>118</v>
      </c>
      <c r="H355" s="118">
        <v>27.4</v>
      </c>
      <c r="I355" s="118">
        <v>12.2</v>
      </c>
      <c r="J355" s="119" t="s">
        <v>26</v>
      </c>
      <c r="K355" s="119" t="s">
        <v>26</v>
      </c>
      <c r="L355" s="119" t="s">
        <v>26</v>
      </c>
      <c r="M355" s="119" t="s">
        <v>26</v>
      </c>
      <c r="N355" s="119" t="s">
        <v>26</v>
      </c>
      <c r="O355" s="125" t="s">
        <v>26</v>
      </c>
      <c r="P355" s="119" t="s">
        <v>26</v>
      </c>
      <c r="Q355" s="118">
        <v>4.0999999999999996</v>
      </c>
      <c r="R355" s="119" t="s">
        <v>26</v>
      </c>
      <c r="S355" s="120" t="s">
        <v>26</v>
      </c>
      <c r="T355" s="121" t="s">
        <v>26</v>
      </c>
      <c r="U355" s="123" t="s">
        <v>26</v>
      </c>
      <c r="V355" s="126" t="s">
        <v>26</v>
      </c>
      <c r="AC355" s="33"/>
      <c r="AD355" s="33"/>
      <c r="AE355" s="33"/>
    </row>
    <row r="356" spans="1:31">
      <c r="A356" s="18" t="s">
        <v>392</v>
      </c>
      <c r="B356" s="8" t="s">
        <v>340</v>
      </c>
      <c r="C356" s="8" t="s">
        <v>22</v>
      </c>
      <c r="D356" s="3" t="s">
        <v>33</v>
      </c>
      <c r="E356" s="23" t="s">
        <v>29</v>
      </c>
      <c r="F356" s="16" t="s">
        <v>415</v>
      </c>
      <c r="G356" s="118">
        <v>50</v>
      </c>
      <c r="H356" s="118">
        <v>13.1</v>
      </c>
      <c r="I356" s="118">
        <v>15.2</v>
      </c>
      <c r="J356" s="119" t="s">
        <v>26</v>
      </c>
      <c r="K356" s="119" t="s">
        <v>26</v>
      </c>
      <c r="L356" s="119" t="s">
        <v>26</v>
      </c>
      <c r="M356" s="119" t="s">
        <v>26</v>
      </c>
      <c r="N356" s="119" t="s">
        <v>26</v>
      </c>
      <c r="O356" s="118">
        <v>4.8</v>
      </c>
      <c r="P356" s="119" t="s">
        <v>26</v>
      </c>
      <c r="Q356" s="119" t="s">
        <v>26</v>
      </c>
      <c r="R356" s="119" t="s">
        <v>26</v>
      </c>
      <c r="S356" s="120" t="s">
        <v>26</v>
      </c>
      <c r="T356" s="121" t="s">
        <v>26</v>
      </c>
      <c r="U356" s="123" t="s">
        <v>26</v>
      </c>
      <c r="V356" s="126" t="s">
        <v>26</v>
      </c>
      <c r="AC356" s="33"/>
      <c r="AD356" s="33"/>
      <c r="AE356" s="33"/>
    </row>
    <row r="357" spans="1:31">
      <c r="A357" s="18" t="s">
        <v>392</v>
      </c>
      <c r="B357" s="8" t="s">
        <v>340</v>
      </c>
      <c r="C357" s="8" t="s">
        <v>22</v>
      </c>
      <c r="D357" s="3" t="s">
        <v>33</v>
      </c>
      <c r="E357" s="23" t="s">
        <v>31</v>
      </c>
      <c r="F357" s="16" t="s">
        <v>416</v>
      </c>
      <c r="G357" s="118">
        <v>17</v>
      </c>
      <c r="H357" s="118">
        <v>10</v>
      </c>
      <c r="I357" s="118">
        <v>12.5</v>
      </c>
      <c r="J357" s="118">
        <v>2.5</v>
      </c>
      <c r="K357" s="119" t="s">
        <v>26</v>
      </c>
      <c r="L357" s="119" t="s">
        <v>26</v>
      </c>
      <c r="M357" s="119" t="s">
        <v>26</v>
      </c>
      <c r="N357" s="119" t="s">
        <v>26</v>
      </c>
      <c r="O357" s="125" t="s">
        <v>26</v>
      </c>
      <c r="P357" s="119" t="s">
        <v>26</v>
      </c>
      <c r="Q357" s="119" t="s">
        <v>26</v>
      </c>
      <c r="R357" s="119" t="s">
        <v>26</v>
      </c>
      <c r="S357" s="120" t="s">
        <v>26</v>
      </c>
      <c r="T357" s="121" t="s">
        <v>26</v>
      </c>
      <c r="U357" s="123" t="s">
        <v>26</v>
      </c>
      <c r="V357" s="126" t="s">
        <v>26</v>
      </c>
      <c r="AC357" s="33"/>
      <c r="AD357" s="33"/>
      <c r="AE357" s="33"/>
    </row>
    <row r="358" spans="1:31">
      <c r="A358" s="18" t="s">
        <v>392</v>
      </c>
      <c r="B358" s="8" t="s">
        <v>325</v>
      </c>
      <c r="C358" s="8" t="s">
        <v>22</v>
      </c>
      <c r="D358" s="3" t="s">
        <v>142</v>
      </c>
      <c r="E358" s="23" t="s">
        <v>24</v>
      </c>
      <c r="F358" s="16" t="s">
        <v>1478</v>
      </c>
      <c r="G358" s="118">
        <v>242</v>
      </c>
      <c r="H358" s="118">
        <v>23.7</v>
      </c>
      <c r="I358" s="119" t="s">
        <v>26</v>
      </c>
      <c r="J358" s="119" t="s">
        <v>26</v>
      </c>
      <c r="K358" s="119" t="s">
        <v>26</v>
      </c>
      <c r="L358" s="118">
        <v>1.6</v>
      </c>
      <c r="M358" s="118">
        <v>2.9</v>
      </c>
      <c r="N358" s="119" t="s">
        <v>26</v>
      </c>
      <c r="O358" s="118">
        <v>3.6</v>
      </c>
      <c r="P358" s="119" t="s">
        <v>26</v>
      </c>
      <c r="Q358" s="118">
        <v>15.8</v>
      </c>
      <c r="R358" s="118">
        <v>3.6</v>
      </c>
      <c r="S358" s="120" t="s">
        <v>26</v>
      </c>
      <c r="T358" s="121" t="s">
        <v>26</v>
      </c>
      <c r="U358" s="89">
        <v>2610</v>
      </c>
      <c r="V358" s="126" t="s">
        <v>26</v>
      </c>
      <c r="AC358" s="33"/>
      <c r="AD358" s="33"/>
      <c r="AE358" s="33"/>
    </row>
    <row r="359" spans="1:31">
      <c r="A359" s="18" t="s">
        <v>392</v>
      </c>
      <c r="B359" s="8" t="s">
        <v>325</v>
      </c>
      <c r="C359" s="8" t="s">
        <v>22</v>
      </c>
      <c r="D359" s="3" t="s">
        <v>142</v>
      </c>
      <c r="E359" s="23" t="s">
        <v>27</v>
      </c>
      <c r="F359" s="16" t="s">
        <v>401</v>
      </c>
      <c r="G359" s="118">
        <v>114</v>
      </c>
      <c r="H359" s="118">
        <v>33.6</v>
      </c>
      <c r="I359" s="118">
        <v>6.7</v>
      </c>
      <c r="J359" s="118">
        <v>10</v>
      </c>
      <c r="K359" s="119" t="s">
        <v>26</v>
      </c>
      <c r="L359" s="119" t="s">
        <v>26</v>
      </c>
      <c r="M359" s="119" t="s">
        <v>26</v>
      </c>
      <c r="N359" s="119" t="s">
        <v>26</v>
      </c>
      <c r="O359" s="118">
        <v>4.7</v>
      </c>
      <c r="P359" s="119" t="s">
        <v>26</v>
      </c>
      <c r="Q359" s="119" t="s">
        <v>26</v>
      </c>
      <c r="R359" s="119" t="s">
        <v>26</v>
      </c>
      <c r="S359" s="120" t="s">
        <v>26</v>
      </c>
      <c r="T359" s="121" t="s">
        <v>26</v>
      </c>
      <c r="U359" s="89">
        <v>2090</v>
      </c>
      <c r="V359" s="126" t="s">
        <v>26</v>
      </c>
      <c r="AC359" s="33"/>
      <c r="AD359" s="33"/>
      <c r="AE359" s="33"/>
    </row>
    <row r="360" spans="1:31">
      <c r="A360" s="18" t="s">
        <v>392</v>
      </c>
      <c r="B360" s="8" t="s">
        <v>325</v>
      </c>
      <c r="C360" s="8" t="s">
        <v>22</v>
      </c>
      <c r="D360" s="3" t="s">
        <v>142</v>
      </c>
      <c r="E360" s="23" t="s">
        <v>29</v>
      </c>
      <c r="F360" s="16" t="s">
        <v>1479</v>
      </c>
      <c r="G360" s="118">
        <v>5</v>
      </c>
      <c r="H360" s="118">
        <v>18.399999999999999</v>
      </c>
      <c r="I360" s="118">
        <v>22.1</v>
      </c>
      <c r="J360" s="118">
        <v>5.4</v>
      </c>
      <c r="K360" s="119" t="s">
        <v>26</v>
      </c>
      <c r="L360" s="119" t="s">
        <v>26</v>
      </c>
      <c r="M360" s="119" t="s">
        <v>26</v>
      </c>
      <c r="N360" s="119" t="s">
        <v>26</v>
      </c>
      <c r="O360" s="118">
        <v>6.9</v>
      </c>
      <c r="P360" s="119" t="s">
        <v>26</v>
      </c>
      <c r="Q360" s="119" t="s">
        <v>26</v>
      </c>
      <c r="R360" s="119" t="s">
        <v>26</v>
      </c>
      <c r="S360" s="120" t="s">
        <v>26</v>
      </c>
      <c r="T360" s="121" t="s">
        <v>26</v>
      </c>
      <c r="U360" s="133">
        <v>2302</v>
      </c>
      <c r="V360" s="126" t="s">
        <v>26</v>
      </c>
      <c r="AC360" s="33"/>
      <c r="AD360" s="33"/>
      <c r="AE360" s="33"/>
    </row>
    <row r="361" spans="1:31">
      <c r="A361" s="18" t="s">
        <v>392</v>
      </c>
      <c r="B361" s="8" t="s">
        <v>325</v>
      </c>
      <c r="C361" s="8" t="s">
        <v>22</v>
      </c>
      <c r="D361" s="3" t="s">
        <v>142</v>
      </c>
      <c r="E361" s="23" t="s">
        <v>31</v>
      </c>
      <c r="F361" s="16" t="s">
        <v>697</v>
      </c>
      <c r="G361" s="118">
        <v>16</v>
      </c>
      <c r="H361" s="118">
        <v>12.5</v>
      </c>
      <c r="I361" s="119" t="s">
        <v>26</v>
      </c>
      <c r="J361" s="118">
        <v>1.9</v>
      </c>
      <c r="K361" s="119" t="s">
        <v>26</v>
      </c>
      <c r="L361" s="119" t="s">
        <v>26</v>
      </c>
      <c r="M361" s="119" t="s">
        <v>26</v>
      </c>
      <c r="N361" s="119" t="s">
        <v>26</v>
      </c>
      <c r="O361" s="118">
        <v>7.2</v>
      </c>
      <c r="P361" s="119" t="s">
        <v>26</v>
      </c>
      <c r="Q361" s="119" t="s">
        <v>26</v>
      </c>
      <c r="R361" s="119" t="s">
        <v>26</v>
      </c>
      <c r="S361" s="120" t="s">
        <v>26</v>
      </c>
      <c r="T361" s="121" t="s">
        <v>26</v>
      </c>
      <c r="U361" s="133">
        <v>537</v>
      </c>
      <c r="V361" s="126" t="s">
        <v>26</v>
      </c>
      <c r="AC361" s="33"/>
      <c r="AD361" s="33"/>
      <c r="AE361" s="33"/>
    </row>
    <row r="362" spans="1:31">
      <c r="A362" s="18" t="s">
        <v>392</v>
      </c>
      <c r="B362" s="8" t="s">
        <v>418</v>
      </c>
      <c r="C362" s="8" t="s">
        <v>22</v>
      </c>
      <c r="D362" s="8" t="s">
        <v>109</v>
      </c>
      <c r="E362" s="23" t="s">
        <v>24</v>
      </c>
      <c r="F362" s="16" t="s">
        <v>419</v>
      </c>
      <c r="G362" s="118">
        <v>251</v>
      </c>
      <c r="H362" s="118">
        <v>11.6</v>
      </c>
      <c r="I362" s="119" t="s">
        <v>26</v>
      </c>
      <c r="J362" s="119" t="s">
        <v>26</v>
      </c>
      <c r="K362" s="119" t="s">
        <v>26</v>
      </c>
      <c r="L362" s="119" t="s">
        <v>26</v>
      </c>
      <c r="M362" s="118">
        <v>1.5</v>
      </c>
      <c r="N362" s="119" t="s">
        <v>26</v>
      </c>
      <c r="O362" s="118">
        <v>2.5</v>
      </c>
      <c r="P362" s="119" t="s">
        <v>26</v>
      </c>
      <c r="Q362" s="118">
        <v>5</v>
      </c>
      <c r="R362" s="119" t="s">
        <v>26</v>
      </c>
      <c r="S362" s="120" t="s">
        <v>26</v>
      </c>
      <c r="T362" s="121" t="s">
        <v>26</v>
      </c>
      <c r="U362" s="123" t="s">
        <v>26</v>
      </c>
      <c r="V362" s="126" t="s">
        <v>26</v>
      </c>
      <c r="AC362" s="33"/>
      <c r="AD362" s="33"/>
      <c r="AE362" s="33"/>
    </row>
    <row r="363" spans="1:31">
      <c r="A363" s="18" t="s">
        <v>392</v>
      </c>
      <c r="B363" s="8" t="s">
        <v>418</v>
      </c>
      <c r="C363" s="8" t="s">
        <v>22</v>
      </c>
      <c r="D363" s="8" t="s">
        <v>109</v>
      </c>
      <c r="E363" s="23" t="s">
        <v>27</v>
      </c>
      <c r="F363" s="16" t="s">
        <v>420</v>
      </c>
      <c r="G363" s="118">
        <v>105</v>
      </c>
      <c r="H363" s="118">
        <v>25.6</v>
      </c>
      <c r="I363" s="118">
        <v>4.5</v>
      </c>
      <c r="J363" s="119" t="s">
        <v>26</v>
      </c>
      <c r="K363" s="119" t="s">
        <v>26</v>
      </c>
      <c r="L363" s="119" t="s">
        <v>26</v>
      </c>
      <c r="M363" s="118">
        <v>2.2000000000000002</v>
      </c>
      <c r="N363" s="119" t="s">
        <v>26</v>
      </c>
      <c r="O363" s="118">
        <v>3.1</v>
      </c>
      <c r="P363" s="119" t="s">
        <v>26</v>
      </c>
      <c r="Q363" s="118">
        <v>4.5</v>
      </c>
      <c r="R363" s="119" t="s">
        <v>26</v>
      </c>
      <c r="S363" s="120" t="s">
        <v>26</v>
      </c>
      <c r="T363" s="121" t="s">
        <v>26</v>
      </c>
      <c r="U363" s="123" t="s">
        <v>26</v>
      </c>
      <c r="V363" s="126" t="s">
        <v>26</v>
      </c>
      <c r="AC363" s="33"/>
      <c r="AD363" s="33"/>
      <c r="AE363" s="33"/>
    </row>
    <row r="364" spans="1:31">
      <c r="A364" s="18" t="s">
        <v>392</v>
      </c>
      <c r="B364" s="8" t="s">
        <v>418</v>
      </c>
      <c r="C364" s="8" t="s">
        <v>22</v>
      </c>
      <c r="D364" s="8" t="s">
        <v>109</v>
      </c>
      <c r="E364" s="23" t="s">
        <v>29</v>
      </c>
      <c r="F364" s="16" t="s">
        <v>421</v>
      </c>
      <c r="G364" s="118">
        <v>46</v>
      </c>
      <c r="H364" s="118">
        <v>18.8</v>
      </c>
      <c r="I364" s="118">
        <v>16.5</v>
      </c>
      <c r="J364" s="118">
        <v>0.8</v>
      </c>
      <c r="K364" s="119" t="s">
        <v>26</v>
      </c>
      <c r="L364" s="119" t="s">
        <v>26</v>
      </c>
      <c r="M364" s="118">
        <v>2.5</v>
      </c>
      <c r="N364" s="119" t="s">
        <v>26</v>
      </c>
      <c r="O364" s="118">
        <v>6.2</v>
      </c>
      <c r="P364" s="119" t="s">
        <v>26</v>
      </c>
      <c r="Q364" s="119" t="s">
        <v>26</v>
      </c>
      <c r="R364" s="119" t="s">
        <v>26</v>
      </c>
      <c r="S364" s="120" t="s">
        <v>26</v>
      </c>
      <c r="T364" s="121" t="s">
        <v>26</v>
      </c>
      <c r="U364" s="123" t="s">
        <v>26</v>
      </c>
      <c r="V364" s="126" t="s">
        <v>26</v>
      </c>
      <c r="AC364" s="33"/>
      <c r="AD364" s="33"/>
      <c r="AE364" s="33"/>
    </row>
    <row r="365" spans="1:31">
      <c r="A365" s="18" t="s">
        <v>392</v>
      </c>
      <c r="B365" s="8" t="s">
        <v>418</v>
      </c>
      <c r="C365" s="8" t="s">
        <v>22</v>
      </c>
      <c r="D365" s="8" t="s">
        <v>109</v>
      </c>
      <c r="E365" s="23" t="s">
        <v>31</v>
      </c>
      <c r="F365" s="16" t="s">
        <v>422</v>
      </c>
      <c r="G365" s="118">
        <v>15</v>
      </c>
      <c r="H365" s="118">
        <v>22.8</v>
      </c>
      <c r="I365" s="118">
        <v>5.5</v>
      </c>
      <c r="J365" s="118">
        <v>3.5</v>
      </c>
      <c r="K365" s="119" t="s">
        <v>26</v>
      </c>
      <c r="L365" s="119" t="s">
        <v>26</v>
      </c>
      <c r="M365" s="119" t="s">
        <v>26</v>
      </c>
      <c r="N365" s="119" t="s">
        <v>26</v>
      </c>
      <c r="O365" s="118">
        <v>5.0999999999999996</v>
      </c>
      <c r="P365" s="119" t="s">
        <v>26</v>
      </c>
      <c r="Q365" s="119" t="s">
        <v>26</v>
      </c>
      <c r="R365" s="119" t="s">
        <v>26</v>
      </c>
      <c r="S365" s="120" t="s">
        <v>26</v>
      </c>
      <c r="T365" s="121" t="s">
        <v>26</v>
      </c>
      <c r="U365" s="130">
        <v>885</v>
      </c>
      <c r="V365" s="126" t="s">
        <v>26</v>
      </c>
      <c r="AC365" s="33"/>
      <c r="AD365" s="33"/>
      <c r="AE365" s="33"/>
    </row>
    <row r="366" spans="1:31">
      <c r="A366" s="18" t="s">
        <v>423</v>
      </c>
      <c r="B366" s="8" t="s">
        <v>98</v>
      </c>
      <c r="C366" s="8" t="s">
        <v>22</v>
      </c>
      <c r="D366" s="8" t="s">
        <v>109</v>
      </c>
      <c r="E366" s="23" t="s">
        <v>24</v>
      </c>
      <c r="F366" s="16" t="s">
        <v>424</v>
      </c>
      <c r="G366" s="118">
        <v>200</v>
      </c>
      <c r="H366" s="118">
        <v>14.6</v>
      </c>
      <c r="I366" s="119" t="s">
        <v>26</v>
      </c>
      <c r="J366" s="119" t="s">
        <v>26</v>
      </c>
      <c r="K366" s="119" t="s">
        <v>26</v>
      </c>
      <c r="L366" s="119" t="s">
        <v>26</v>
      </c>
      <c r="M366" s="119" t="s">
        <v>26</v>
      </c>
      <c r="N366" s="119" t="s">
        <v>26</v>
      </c>
      <c r="O366" s="118">
        <v>3.4</v>
      </c>
      <c r="P366" s="119" t="s">
        <v>26</v>
      </c>
      <c r="Q366" s="118">
        <v>6.1</v>
      </c>
      <c r="R366" s="118">
        <v>1.4</v>
      </c>
      <c r="S366" s="120" t="s">
        <v>26</v>
      </c>
      <c r="T366" s="121" t="s">
        <v>26</v>
      </c>
      <c r="U366" s="130">
        <v>385</v>
      </c>
      <c r="V366" s="89">
        <v>321</v>
      </c>
      <c r="AC366" s="33"/>
      <c r="AD366" s="33"/>
      <c r="AE366" s="33"/>
    </row>
    <row r="367" spans="1:31">
      <c r="A367" s="18" t="s">
        <v>423</v>
      </c>
      <c r="B367" s="8" t="s">
        <v>98</v>
      </c>
      <c r="C367" s="8" t="s">
        <v>22</v>
      </c>
      <c r="D367" s="8" t="s">
        <v>109</v>
      </c>
      <c r="E367" s="23" t="s">
        <v>27</v>
      </c>
      <c r="F367" s="16" t="s">
        <v>425</v>
      </c>
      <c r="G367" s="118">
        <v>130</v>
      </c>
      <c r="H367" s="118">
        <v>13.6</v>
      </c>
      <c r="I367" s="118">
        <v>5.6</v>
      </c>
      <c r="J367" s="119" t="s">
        <v>26</v>
      </c>
      <c r="K367" s="119" t="s">
        <v>26</v>
      </c>
      <c r="L367" s="119" t="s">
        <v>26</v>
      </c>
      <c r="M367" s="119" t="s">
        <v>26</v>
      </c>
      <c r="N367" s="119" t="s">
        <v>26</v>
      </c>
      <c r="O367" s="118">
        <v>6.7</v>
      </c>
      <c r="P367" s="118">
        <v>1.4</v>
      </c>
      <c r="Q367" s="118">
        <v>7.2</v>
      </c>
      <c r="R367" s="118">
        <v>1.9</v>
      </c>
      <c r="S367" s="127">
        <v>3.4</v>
      </c>
      <c r="T367" s="121" t="s">
        <v>26</v>
      </c>
      <c r="U367" s="130">
        <v>21</v>
      </c>
      <c r="V367" s="89">
        <v>195</v>
      </c>
      <c r="AC367" s="33"/>
      <c r="AD367" s="33"/>
      <c r="AE367" s="33"/>
    </row>
    <row r="368" spans="1:31">
      <c r="A368" s="18" t="s">
        <v>423</v>
      </c>
      <c r="B368" s="8" t="s">
        <v>98</v>
      </c>
      <c r="C368" s="8" t="s">
        <v>22</v>
      </c>
      <c r="D368" s="8" t="s">
        <v>109</v>
      </c>
      <c r="E368" s="23" t="s">
        <v>29</v>
      </c>
      <c r="F368" s="16" t="s">
        <v>426</v>
      </c>
      <c r="G368" s="118">
        <v>45</v>
      </c>
      <c r="H368" s="118">
        <v>25.8</v>
      </c>
      <c r="I368" s="118">
        <v>6.4</v>
      </c>
      <c r="J368" s="118">
        <v>8</v>
      </c>
      <c r="K368" s="119" t="s">
        <v>26</v>
      </c>
      <c r="L368" s="119" t="s">
        <v>26</v>
      </c>
      <c r="M368" s="119" t="s">
        <v>26</v>
      </c>
      <c r="N368" s="119" t="s">
        <v>26</v>
      </c>
      <c r="O368" s="118">
        <v>5.2</v>
      </c>
      <c r="P368" s="118">
        <v>3.5</v>
      </c>
      <c r="Q368" s="119" t="s">
        <v>26</v>
      </c>
      <c r="R368" s="118">
        <v>1.8</v>
      </c>
      <c r="S368" s="127">
        <v>2.9</v>
      </c>
      <c r="T368" s="121" t="s">
        <v>26</v>
      </c>
      <c r="U368" s="130">
        <v>2670</v>
      </c>
      <c r="V368" s="126" t="s">
        <v>26</v>
      </c>
      <c r="X368" s="11"/>
      <c r="AC368" s="33"/>
      <c r="AD368" s="33"/>
      <c r="AE368" s="33"/>
    </row>
    <row r="369" spans="1:31">
      <c r="A369" s="18" t="s">
        <v>423</v>
      </c>
      <c r="B369" s="8" t="s">
        <v>98</v>
      </c>
      <c r="C369" s="8" t="s">
        <v>22</v>
      </c>
      <c r="D369" s="8" t="s">
        <v>109</v>
      </c>
      <c r="E369" s="23" t="s">
        <v>31</v>
      </c>
      <c r="F369" s="16" t="s">
        <v>427</v>
      </c>
      <c r="G369" s="118">
        <v>16</v>
      </c>
      <c r="H369" s="118">
        <v>17.600000000000001</v>
      </c>
      <c r="I369" s="118">
        <v>4.5</v>
      </c>
      <c r="J369" s="118">
        <v>21.5</v>
      </c>
      <c r="K369" s="119" t="s">
        <v>26</v>
      </c>
      <c r="L369" s="119" t="s">
        <v>26</v>
      </c>
      <c r="M369" s="119" t="s">
        <v>26</v>
      </c>
      <c r="N369" s="119" t="s">
        <v>26</v>
      </c>
      <c r="O369" s="125" t="s">
        <v>26</v>
      </c>
      <c r="P369" s="119" t="s">
        <v>26</v>
      </c>
      <c r="Q369" s="119" t="s">
        <v>26</v>
      </c>
      <c r="R369" s="119" t="s">
        <v>26</v>
      </c>
      <c r="S369" s="120" t="s">
        <v>26</v>
      </c>
      <c r="T369" s="121" t="s">
        <v>26</v>
      </c>
      <c r="U369" s="130">
        <v>692</v>
      </c>
      <c r="V369" s="126" t="s">
        <v>26</v>
      </c>
      <c r="AC369" s="33"/>
      <c r="AD369" s="33"/>
      <c r="AE369" s="33"/>
    </row>
    <row r="370" spans="1:31">
      <c r="A370" s="18" t="s">
        <v>423</v>
      </c>
      <c r="B370" s="8" t="s">
        <v>211</v>
      </c>
      <c r="C370" s="8" t="s">
        <v>22</v>
      </c>
      <c r="D370" s="3" t="s">
        <v>23</v>
      </c>
      <c r="E370" s="23" t="s">
        <v>24</v>
      </c>
      <c r="F370" s="16" t="s">
        <v>428</v>
      </c>
      <c r="G370" s="118">
        <v>255</v>
      </c>
      <c r="H370" s="118">
        <v>7.7</v>
      </c>
      <c r="I370" s="119" t="s">
        <v>26</v>
      </c>
      <c r="J370" s="119" t="s">
        <v>26</v>
      </c>
      <c r="K370" s="119" t="s">
        <v>26</v>
      </c>
      <c r="L370" s="119" t="s">
        <v>26</v>
      </c>
      <c r="M370" s="119" t="s">
        <v>26</v>
      </c>
      <c r="N370" s="119" t="s">
        <v>26</v>
      </c>
      <c r="O370" s="118">
        <v>1.8</v>
      </c>
      <c r="P370" s="119" t="s">
        <v>26</v>
      </c>
      <c r="Q370" s="118">
        <v>7.8</v>
      </c>
      <c r="R370" s="119" t="s">
        <v>26</v>
      </c>
      <c r="S370" s="120" t="s">
        <v>26</v>
      </c>
      <c r="T370" s="121" t="s">
        <v>26</v>
      </c>
      <c r="U370" s="89">
        <v>228</v>
      </c>
      <c r="V370" s="126" t="s">
        <v>26</v>
      </c>
      <c r="AC370" s="33"/>
      <c r="AD370" s="33"/>
      <c r="AE370" s="33"/>
    </row>
    <row r="371" spans="1:31">
      <c r="A371" s="18" t="s">
        <v>423</v>
      </c>
      <c r="B371" s="8" t="s">
        <v>211</v>
      </c>
      <c r="C371" s="8" t="s">
        <v>22</v>
      </c>
      <c r="D371" s="3" t="s">
        <v>23</v>
      </c>
      <c r="E371" s="23" t="s">
        <v>27</v>
      </c>
      <c r="F371" s="16" t="s">
        <v>429</v>
      </c>
      <c r="G371" s="118">
        <v>112</v>
      </c>
      <c r="H371" s="118">
        <v>12.5</v>
      </c>
      <c r="I371" s="118">
        <v>10.6</v>
      </c>
      <c r="J371" s="119" t="s">
        <v>26</v>
      </c>
      <c r="K371" s="119" t="s">
        <v>26</v>
      </c>
      <c r="L371" s="119" t="s">
        <v>26</v>
      </c>
      <c r="M371" s="119" t="s">
        <v>26</v>
      </c>
      <c r="N371" s="119" t="s">
        <v>26</v>
      </c>
      <c r="O371" s="118">
        <v>2.5</v>
      </c>
      <c r="P371" s="119" t="s">
        <v>26</v>
      </c>
      <c r="Q371" s="118">
        <v>5.0999999999999996</v>
      </c>
      <c r="R371" s="119" t="s">
        <v>26</v>
      </c>
      <c r="S371" s="120" t="s">
        <v>26</v>
      </c>
      <c r="T371" s="121" t="s">
        <v>26</v>
      </c>
      <c r="U371" s="89">
        <v>57</v>
      </c>
      <c r="V371" s="126" t="s">
        <v>26</v>
      </c>
      <c r="AC371" s="33"/>
      <c r="AD371" s="33"/>
      <c r="AE371" s="33"/>
    </row>
    <row r="372" spans="1:31">
      <c r="A372" s="18" t="s">
        <v>423</v>
      </c>
      <c r="B372" s="8" t="s">
        <v>211</v>
      </c>
      <c r="C372" s="8" t="s">
        <v>22</v>
      </c>
      <c r="D372" s="3" t="s">
        <v>23</v>
      </c>
      <c r="E372" s="23" t="s">
        <v>29</v>
      </c>
      <c r="F372" s="16" t="s">
        <v>430</v>
      </c>
      <c r="G372" s="118">
        <v>47</v>
      </c>
      <c r="H372" s="118">
        <v>21.5</v>
      </c>
      <c r="I372" s="118">
        <v>14.5</v>
      </c>
      <c r="J372" s="118">
        <v>1.44</v>
      </c>
      <c r="K372" s="119" t="s">
        <v>26</v>
      </c>
      <c r="L372" s="119" t="s">
        <v>26</v>
      </c>
      <c r="M372" s="119" t="s">
        <v>26</v>
      </c>
      <c r="N372" s="119" t="s">
        <v>26</v>
      </c>
      <c r="O372" s="118">
        <v>6.5</v>
      </c>
      <c r="P372" s="119" t="s">
        <v>26</v>
      </c>
      <c r="Q372" s="119" t="s">
        <v>26</v>
      </c>
      <c r="R372" s="119" t="s">
        <v>26</v>
      </c>
      <c r="S372" s="120" t="s">
        <v>26</v>
      </c>
      <c r="T372" s="128">
        <v>2</v>
      </c>
      <c r="U372" s="123" t="s">
        <v>26</v>
      </c>
      <c r="V372" s="89">
        <v>275</v>
      </c>
      <c r="AC372" s="33"/>
      <c r="AD372" s="33"/>
      <c r="AE372" s="33"/>
    </row>
    <row r="373" spans="1:31">
      <c r="A373" s="18" t="s">
        <v>423</v>
      </c>
      <c r="B373" s="8" t="s">
        <v>211</v>
      </c>
      <c r="C373" s="8" t="s">
        <v>22</v>
      </c>
      <c r="D373" s="3" t="s">
        <v>23</v>
      </c>
      <c r="E373" s="23" t="s">
        <v>31</v>
      </c>
      <c r="F373" s="16" t="s">
        <v>129</v>
      </c>
      <c r="G373" s="118">
        <v>18</v>
      </c>
      <c r="H373" s="119" t="s">
        <v>26</v>
      </c>
      <c r="I373" s="118">
        <v>6.2</v>
      </c>
      <c r="J373" s="118">
        <v>7.8</v>
      </c>
      <c r="K373" s="119" t="s">
        <v>26</v>
      </c>
      <c r="L373" s="119" t="s">
        <v>26</v>
      </c>
      <c r="M373" s="119" t="s">
        <v>26</v>
      </c>
      <c r="N373" s="119" t="s">
        <v>26</v>
      </c>
      <c r="O373" s="118">
        <v>5.0999999999999996</v>
      </c>
      <c r="P373" s="119" t="s">
        <v>26</v>
      </c>
      <c r="Q373" s="119" t="s">
        <v>26</v>
      </c>
      <c r="R373" s="119" t="s">
        <v>26</v>
      </c>
      <c r="S373" s="120" t="s">
        <v>26</v>
      </c>
      <c r="T373" s="121" t="s">
        <v>26</v>
      </c>
      <c r="U373" s="89">
        <v>1087</v>
      </c>
      <c r="V373" s="89">
        <v>62</v>
      </c>
      <c r="AC373" s="33"/>
      <c r="AD373" s="33"/>
      <c r="AE373" s="33"/>
    </row>
    <row r="374" spans="1:31">
      <c r="A374" s="18" t="s">
        <v>423</v>
      </c>
      <c r="B374" s="8" t="s">
        <v>155</v>
      </c>
      <c r="C374" s="8" t="s">
        <v>22</v>
      </c>
      <c r="D374" s="3" t="s">
        <v>33</v>
      </c>
      <c r="E374" s="23" t="s">
        <v>24</v>
      </c>
      <c r="F374" s="16" t="s">
        <v>431</v>
      </c>
      <c r="G374" s="118">
        <v>201</v>
      </c>
      <c r="H374" s="118">
        <v>25.4</v>
      </c>
      <c r="I374" s="119" t="s">
        <v>26</v>
      </c>
      <c r="J374" s="119" t="s">
        <v>26</v>
      </c>
      <c r="K374" s="119" t="s">
        <v>26</v>
      </c>
      <c r="L374" s="119" t="s">
        <v>26</v>
      </c>
      <c r="M374" s="119" t="s">
        <v>26</v>
      </c>
      <c r="N374" s="119" t="s">
        <v>26</v>
      </c>
      <c r="O374" s="118">
        <v>2.5</v>
      </c>
      <c r="P374" s="119" t="s">
        <v>26</v>
      </c>
      <c r="Q374" s="119" t="s">
        <v>26</v>
      </c>
      <c r="R374" s="119" t="s">
        <v>26</v>
      </c>
      <c r="S374" s="127">
        <v>3.5</v>
      </c>
      <c r="T374" s="121" t="s">
        <v>26</v>
      </c>
      <c r="U374" s="130">
        <v>120</v>
      </c>
      <c r="V374" s="126" t="s">
        <v>26</v>
      </c>
      <c r="AC374" s="33"/>
      <c r="AD374" s="33"/>
      <c r="AE374" s="33"/>
    </row>
    <row r="375" spans="1:31">
      <c r="A375" s="18" t="s">
        <v>423</v>
      </c>
      <c r="B375" s="8" t="s">
        <v>155</v>
      </c>
      <c r="C375" s="8" t="s">
        <v>22</v>
      </c>
      <c r="D375" s="3" t="s">
        <v>33</v>
      </c>
      <c r="E375" s="23" t="s">
        <v>27</v>
      </c>
      <c r="F375" s="16" t="s">
        <v>432</v>
      </c>
      <c r="G375" s="118">
        <v>105</v>
      </c>
      <c r="H375" s="118">
        <v>41.5</v>
      </c>
      <c r="I375" s="118">
        <v>8.4</v>
      </c>
      <c r="J375" s="119" t="s">
        <v>26</v>
      </c>
      <c r="K375" s="119" t="s">
        <v>26</v>
      </c>
      <c r="L375" s="119" t="s">
        <v>26</v>
      </c>
      <c r="M375" s="119" t="s">
        <v>26</v>
      </c>
      <c r="N375" s="119" t="s">
        <v>26</v>
      </c>
      <c r="O375" s="118">
        <v>4.2</v>
      </c>
      <c r="P375" s="119" t="s">
        <v>26</v>
      </c>
      <c r="Q375" s="119" t="s">
        <v>26</v>
      </c>
      <c r="R375" s="119" t="s">
        <v>26</v>
      </c>
      <c r="S375" s="127">
        <v>4.5</v>
      </c>
      <c r="T375" s="121" t="s">
        <v>26</v>
      </c>
      <c r="U375" s="123" t="s">
        <v>26</v>
      </c>
      <c r="V375" s="126" t="s">
        <v>26</v>
      </c>
      <c r="AC375" s="33"/>
      <c r="AD375" s="33"/>
      <c r="AE375" s="33"/>
    </row>
    <row r="376" spans="1:31">
      <c r="A376" s="18" t="s">
        <v>423</v>
      </c>
      <c r="B376" s="8" t="s">
        <v>155</v>
      </c>
      <c r="C376" s="8" t="s">
        <v>22</v>
      </c>
      <c r="D376" s="3" t="s">
        <v>33</v>
      </c>
      <c r="E376" s="23" t="s">
        <v>29</v>
      </c>
      <c r="F376" s="16" t="s">
        <v>433</v>
      </c>
      <c r="G376" s="118">
        <v>45</v>
      </c>
      <c r="H376" s="118">
        <v>28.5</v>
      </c>
      <c r="I376" s="118">
        <v>14.8</v>
      </c>
      <c r="J376" s="118">
        <v>1.84</v>
      </c>
      <c r="K376" s="119" t="s">
        <v>26</v>
      </c>
      <c r="L376" s="119" t="s">
        <v>26</v>
      </c>
      <c r="M376" s="119" t="s">
        <v>26</v>
      </c>
      <c r="N376" s="119" t="s">
        <v>26</v>
      </c>
      <c r="O376" s="118">
        <v>8.4</v>
      </c>
      <c r="P376" s="119" t="s">
        <v>26</v>
      </c>
      <c r="Q376" s="119" t="s">
        <v>26</v>
      </c>
      <c r="R376" s="119" t="s">
        <v>26</v>
      </c>
      <c r="S376" s="127">
        <v>17.2</v>
      </c>
      <c r="T376" s="121" t="s">
        <v>26</v>
      </c>
      <c r="U376" s="130">
        <v>1556</v>
      </c>
      <c r="V376" s="126" t="s">
        <v>26</v>
      </c>
      <c r="AC376" s="33"/>
      <c r="AD376" s="33"/>
      <c r="AE376" s="33"/>
    </row>
    <row r="377" spans="1:31">
      <c r="A377" s="18" t="s">
        <v>423</v>
      </c>
      <c r="B377" s="8" t="s">
        <v>155</v>
      </c>
      <c r="C377" s="8" t="s">
        <v>22</v>
      </c>
      <c r="D377" s="3" t="s">
        <v>33</v>
      </c>
      <c r="E377" s="23" t="s">
        <v>31</v>
      </c>
      <c r="F377" s="16" t="s">
        <v>434</v>
      </c>
      <c r="G377" s="118">
        <v>15</v>
      </c>
      <c r="H377" s="118">
        <v>22.4</v>
      </c>
      <c r="I377" s="118">
        <v>8.9</v>
      </c>
      <c r="J377" s="118">
        <v>5.41</v>
      </c>
      <c r="K377" s="119" t="s">
        <v>26</v>
      </c>
      <c r="L377" s="119" t="s">
        <v>26</v>
      </c>
      <c r="M377" s="119" t="s">
        <v>26</v>
      </c>
      <c r="N377" s="119" t="s">
        <v>26</v>
      </c>
      <c r="O377" s="118">
        <v>5.6</v>
      </c>
      <c r="P377" s="119" t="s">
        <v>26</v>
      </c>
      <c r="Q377" s="119" t="s">
        <v>26</v>
      </c>
      <c r="R377" s="119" t="s">
        <v>26</v>
      </c>
      <c r="S377" s="127">
        <v>15.5</v>
      </c>
      <c r="T377" s="121" t="s">
        <v>26</v>
      </c>
      <c r="U377" s="123" t="s">
        <v>26</v>
      </c>
      <c r="V377" s="126" t="s">
        <v>26</v>
      </c>
      <c r="AC377" s="33"/>
      <c r="AD377" s="33"/>
      <c r="AE377" s="33"/>
    </row>
    <row r="378" spans="1:31">
      <c r="A378" s="18" t="s">
        <v>423</v>
      </c>
      <c r="B378" s="8" t="s">
        <v>47</v>
      </c>
      <c r="C378" s="8" t="s">
        <v>22</v>
      </c>
      <c r="D378" s="3" t="s">
        <v>142</v>
      </c>
      <c r="E378" s="23" t="s">
        <v>24</v>
      </c>
      <c r="F378" s="16" t="s">
        <v>435</v>
      </c>
      <c r="G378" s="118">
        <v>218</v>
      </c>
      <c r="H378" s="118">
        <v>16.600000000000001</v>
      </c>
      <c r="I378" s="119" t="s">
        <v>26</v>
      </c>
      <c r="J378" s="119" t="s">
        <v>26</v>
      </c>
      <c r="K378" s="119" t="s">
        <v>26</v>
      </c>
      <c r="L378" s="119" t="s">
        <v>26</v>
      </c>
      <c r="M378" s="118">
        <v>1.1000000000000001</v>
      </c>
      <c r="N378" s="119" t="s">
        <v>26</v>
      </c>
      <c r="O378" s="118">
        <v>2.8</v>
      </c>
      <c r="P378" s="119" t="s">
        <v>26</v>
      </c>
      <c r="Q378" s="119" t="s">
        <v>26</v>
      </c>
      <c r="R378" s="119" t="s">
        <v>26</v>
      </c>
      <c r="S378" s="120" t="s">
        <v>26</v>
      </c>
      <c r="T378" s="121" t="s">
        <v>26</v>
      </c>
      <c r="U378" s="89">
        <v>100</v>
      </c>
      <c r="V378" s="126" t="s">
        <v>26</v>
      </c>
      <c r="AC378" s="33"/>
      <c r="AD378" s="33"/>
      <c r="AE378" s="33"/>
    </row>
    <row r="379" spans="1:31">
      <c r="A379" s="18" t="s">
        <v>423</v>
      </c>
      <c r="B379" s="8" t="s">
        <v>47</v>
      </c>
      <c r="C379" s="8" t="s">
        <v>22</v>
      </c>
      <c r="D379" s="3" t="s">
        <v>142</v>
      </c>
      <c r="E379" s="23" t="s">
        <v>27</v>
      </c>
      <c r="F379" s="16" t="s">
        <v>436</v>
      </c>
      <c r="G379" s="118">
        <v>108</v>
      </c>
      <c r="H379" s="118">
        <v>38.5</v>
      </c>
      <c r="I379" s="118">
        <v>10.6</v>
      </c>
      <c r="J379" s="119" t="s">
        <v>26</v>
      </c>
      <c r="K379" s="119" t="s">
        <v>26</v>
      </c>
      <c r="L379" s="119" t="s">
        <v>26</v>
      </c>
      <c r="M379" s="118">
        <v>1.9</v>
      </c>
      <c r="N379" s="119" t="s">
        <v>26</v>
      </c>
      <c r="O379" s="118">
        <v>3.6</v>
      </c>
      <c r="P379" s="119" t="s">
        <v>26</v>
      </c>
      <c r="Q379" s="119" t="s">
        <v>26</v>
      </c>
      <c r="R379" s="119" t="s">
        <v>26</v>
      </c>
      <c r="S379" s="120" t="s">
        <v>26</v>
      </c>
      <c r="T379" s="121" t="s">
        <v>26</v>
      </c>
      <c r="U379" s="123" t="s">
        <v>26</v>
      </c>
      <c r="V379" s="126" t="s">
        <v>26</v>
      </c>
      <c r="AC379" s="33"/>
      <c r="AD379" s="33"/>
      <c r="AE379" s="33"/>
    </row>
    <row r="380" spans="1:31">
      <c r="A380" s="18" t="s">
        <v>423</v>
      </c>
      <c r="B380" s="8" t="s">
        <v>47</v>
      </c>
      <c r="C380" s="8" t="s">
        <v>22</v>
      </c>
      <c r="D380" s="3" t="s">
        <v>142</v>
      </c>
      <c r="E380" s="23" t="s">
        <v>29</v>
      </c>
      <c r="F380" s="16" t="s">
        <v>437</v>
      </c>
      <c r="G380" s="118">
        <v>47</v>
      </c>
      <c r="H380" s="118">
        <v>17.600000000000001</v>
      </c>
      <c r="I380" s="118">
        <v>15.5</v>
      </c>
      <c r="J380" s="118">
        <v>2.08</v>
      </c>
      <c r="K380" s="119" t="s">
        <v>26</v>
      </c>
      <c r="L380" s="119" t="s">
        <v>26</v>
      </c>
      <c r="M380" s="118">
        <v>4.0999999999999996</v>
      </c>
      <c r="N380" s="119" t="s">
        <v>26</v>
      </c>
      <c r="O380" s="118">
        <v>11.5</v>
      </c>
      <c r="P380" s="119" t="s">
        <v>26</v>
      </c>
      <c r="Q380" s="119" t="s">
        <v>26</v>
      </c>
      <c r="R380" s="119" t="s">
        <v>26</v>
      </c>
      <c r="S380" s="120" t="s">
        <v>26</v>
      </c>
      <c r="T380" s="121" t="s">
        <v>26</v>
      </c>
      <c r="U380" s="123" t="s">
        <v>26</v>
      </c>
      <c r="V380" s="126" t="s">
        <v>26</v>
      </c>
      <c r="AC380" s="33"/>
      <c r="AD380" s="33"/>
      <c r="AE380" s="33"/>
    </row>
    <row r="381" spans="1:31">
      <c r="A381" s="18" t="s">
        <v>423</v>
      </c>
      <c r="B381" s="8" t="s">
        <v>47</v>
      </c>
      <c r="C381" s="8" t="s">
        <v>22</v>
      </c>
      <c r="D381" s="3" t="s">
        <v>142</v>
      </c>
      <c r="E381" s="23" t="s">
        <v>31</v>
      </c>
      <c r="F381" s="16" t="s">
        <v>438</v>
      </c>
      <c r="G381" s="118">
        <v>17</v>
      </c>
      <c r="H381" s="119" t="s">
        <v>26</v>
      </c>
      <c r="I381" s="118">
        <v>7.8</v>
      </c>
      <c r="J381" s="118">
        <v>12.5</v>
      </c>
      <c r="K381" s="119" t="s">
        <v>26</v>
      </c>
      <c r="L381" s="119" t="s">
        <v>26</v>
      </c>
      <c r="M381" s="119" t="s">
        <v>26</v>
      </c>
      <c r="N381" s="119" t="s">
        <v>26</v>
      </c>
      <c r="O381" s="118">
        <v>7.4</v>
      </c>
      <c r="P381" s="119" t="s">
        <v>26</v>
      </c>
      <c r="Q381" s="119" t="s">
        <v>26</v>
      </c>
      <c r="R381" s="119" t="s">
        <v>26</v>
      </c>
      <c r="S381" s="120" t="s">
        <v>26</v>
      </c>
      <c r="T381" s="121" t="s">
        <v>26</v>
      </c>
      <c r="U381" s="89">
        <v>566</v>
      </c>
      <c r="V381" s="126" t="s">
        <v>26</v>
      </c>
      <c r="AC381" s="33"/>
      <c r="AD381" s="33"/>
      <c r="AE381" s="33"/>
    </row>
    <row r="382" spans="1:31">
      <c r="A382" s="26" t="s">
        <v>439</v>
      </c>
      <c r="B382" s="8" t="s">
        <v>440</v>
      </c>
      <c r="C382" s="8" t="s">
        <v>22</v>
      </c>
      <c r="D382" s="8" t="s">
        <v>109</v>
      </c>
      <c r="E382" s="23" t="s">
        <v>24</v>
      </c>
      <c r="F382" s="16" t="s">
        <v>441</v>
      </c>
      <c r="G382" s="118">
        <v>234</v>
      </c>
      <c r="H382" s="118">
        <v>11.5</v>
      </c>
      <c r="I382" s="119" t="s">
        <v>26</v>
      </c>
      <c r="J382" s="119" t="s">
        <v>26</v>
      </c>
      <c r="K382" s="119" t="s">
        <v>26</v>
      </c>
      <c r="L382" s="119" t="s">
        <v>26</v>
      </c>
      <c r="M382" s="118">
        <v>1</v>
      </c>
      <c r="N382" s="119" t="s">
        <v>26</v>
      </c>
      <c r="O382" s="118">
        <v>2.2000000000000002</v>
      </c>
      <c r="P382" s="118">
        <v>1.1000000000000001</v>
      </c>
      <c r="Q382" s="118">
        <v>11.2</v>
      </c>
      <c r="R382" s="118">
        <v>1</v>
      </c>
      <c r="S382" s="120" t="s">
        <v>26</v>
      </c>
      <c r="T382" s="121" t="s">
        <v>26</v>
      </c>
      <c r="U382" s="130">
        <v>442</v>
      </c>
      <c r="V382" s="89">
        <v>465</v>
      </c>
      <c r="AC382" s="33"/>
      <c r="AD382" s="33"/>
      <c r="AE382" s="33"/>
    </row>
    <row r="383" spans="1:31">
      <c r="A383" s="26" t="s">
        <v>439</v>
      </c>
      <c r="B383" s="8" t="s">
        <v>440</v>
      </c>
      <c r="C383" s="8" t="s">
        <v>22</v>
      </c>
      <c r="D383" s="8" t="s">
        <v>109</v>
      </c>
      <c r="E383" s="23" t="s">
        <v>27</v>
      </c>
      <c r="F383" s="16" t="s">
        <v>442</v>
      </c>
      <c r="G383" s="118">
        <v>111</v>
      </c>
      <c r="H383" s="118">
        <v>38.4</v>
      </c>
      <c r="I383" s="118">
        <v>11.5</v>
      </c>
      <c r="J383" s="119" t="s">
        <v>26</v>
      </c>
      <c r="K383" s="119" t="s">
        <v>26</v>
      </c>
      <c r="L383" s="119" t="s">
        <v>26</v>
      </c>
      <c r="M383" s="118">
        <v>2.1</v>
      </c>
      <c r="N383" s="119" t="s">
        <v>26</v>
      </c>
      <c r="O383" s="118">
        <v>3</v>
      </c>
      <c r="P383" s="118">
        <v>1</v>
      </c>
      <c r="Q383" s="118">
        <v>5.8</v>
      </c>
      <c r="R383" s="118">
        <v>1</v>
      </c>
      <c r="S383" s="120" t="s">
        <v>26</v>
      </c>
      <c r="T383" s="121" t="s">
        <v>26</v>
      </c>
      <c r="U383" s="123" t="s">
        <v>26</v>
      </c>
      <c r="V383" s="89">
        <v>242</v>
      </c>
      <c r="AC383" s="33"/>
      <c r="AD383" s="33"/>
      <c r="AE383" s="33"/>
    </row>
    <row r="384" spans="1:31">
      <c r="A384" s="26" t="s">
        <v>439</v>
      </c>
      <c r="B384" s="8" t="s">
        <v>440</v>
      </c>
      <c r="C384" s="8" t="s">
        <v>22</v>
      </c>
      <c r="D384" s="8" t="s">
        <v>109</v>
      </c>
      <c r="E384" s="23" t="s">
        <v>29</v>
      </c>
      <c r="F384" s="16" t="s">
        <v>443</v>
      </c>
      <c r="G384" s="118">
        <v>44</v>
      </c>
      <c r="H384" s="118">
        <v>31.4</v>
      </c>
      <c r="I384" s="118">
        <v>7.8</v>
      </c>
      <c r="J384" s="118">
        <v>1.5</v>
      </c>
      <c r="K384" s="119" t="s">
        <v>26</v>
      </c>
      <c r="L384" s="119" t="s">
        <v>26</v>
      </c>
      <c r="M384" s="119" t="s">
        <v>26</v>
      </c>
      <c r="N384" s="119" t="s">
        <v>26</v>
      </c>
      <c r="O384" s="118">
        <v>4.0999999999999996</v>
      </c>
      <c r="P384" s="118">
        <v>3.1</v>
      </c>
      <c r="Q384" s="119" t="s">
        <v>26</v>
      </c>
      <c r="R384" s="119" t="s">
        <v>26</v>
      </c>
      <c r="S384" s="120" t="s">
        <v>26</v>
      </c>
      <c r="T384" s="121" t="s">
        <v>26</v>
      </c>
      <c r="U384" s="123" t="s">
        <v>26</v>
      </c>
      <c r="V384" s="126" t="s">
        <v>26</v>
      </c>
      <c r="AC384" s="33"/>
      <c r="AD384" s="33"/>
      <c r="AE384" s="33"/>
    </row>
    <row r="385" spans="1:31">
      <c r="A385" s="26" t="s">
        <v>439</v>
      </c>
      <c r="B385" s="8" t="s">
        <v>440</v>
      </c>
      <c r="C385" s="8" t="s">
        <v>22</v>
      </c>
      <c r="D385" s="8" t="s">
        <v>109</v>
      </c>
      <c r="E385" s="23" t="s">
        <v>31</v>
      </c>
      <c r="F385" s="16" t="s">
        <v>444</v>
      </c>
      <c r="G385" s="118">
        <v>16</v>
      </c>
      <c r="H385" s="118">
        <v>24.6</v>
      </c>
      <c r="I385" s="118">
        <v>8.1999999999999993</v>
      </c>
      <c r="J385" s="118">
        <v>5.8</v>
      </c>
      <c r="K385" s="119" t="s">
        <v>26</v>
      </c>
      <c r="L385" s="119" t="s">
        <v>26</v>
      </c>
      <c r="M385" s="119" t="s">
        <v>26</v>
      </c>
      <c r="N385" s="119" t="s">
        <v>26</v>
      </c>
      <c r="O385" s="118">
        <v>3.5</v>
      </c>
      <c r="P385" s="119" t="s">
        <v>26</v>
      </c>
      <c r="Q385" s="119" t="s">
        <v>26</v>
      </c>
      <c r="R385" s="119" t="s">
        <v>26</v>
      </c>
      <c r="S385" s="120" t="s">
        <v>26</v>
      </c>
      <c r="T385" s="121" t="s">
        <v>26</v>
      </c>
      <c r="U385" s="130">
        <v>1377</v>
      </c>
      <c r="V385" s="126" t="s">
        <v>26</v>
      </c>
      <c r="AC385" s="33"/>
      <c r="AD385" s="33"/>
      <c r="AE385" s="33"/>
    </row>
    <row r="386" spans="1:31">
      <c r="A386" s="26" t="s">
        <v>439</v>
      </c>
      <c r="B386" s="8" t="s">
        <v>310</v>
      </c>
      <c r="C386" s="8" t="s">
        <v>22</v>
      </c>
      <c r="D386" s="3" t="s">
        <v>23</v>
      </c>
      <c r="E386" s="23" t="s">
        <v>24</v>
      </c>
      <c r="F386" s="16" t="s">
        <v>445</v>
      </c>
      <c r="G386" s="118">
        <v>258</v>
      </c>
      <c r="H386" s="118">
        <v>7.2</v>
      </c>
      <c r="I386" s="119" t="s">
        <v>26</v>
      </c>
      <c r="J386" s="119" t="s">
        <v>26</v>
      </c>
      <c r="K386" s="119" t="s">
        <v>26</v>
      </c>
      <c r="L386" s="119" t="s">
        <v>26</v>
      </c>
      <c r="M386" s="119" t="s">
        <v>26</v>
      </c>
      <c r="N386" s="119" t="s">
        <v>26</v>
      </c>
      <c r="O386" s="118">
        <v>2.5</v>
      </c>
      <c r="P386" s="119" t="s">
        <v>26</v>
      </c>
      <c r="Q386" s="118">
        <v>5.2</v>
      </c>
      <c r="R386" s="119" t="s">
        <v>26</v>
      </c>
      <c r="S386" s="120" t="s">
        <v>26</v>
      </c>
      <c r="T386" s="121" t="s">
        <v>26</v>
      </c>
      <c r="U386" s="89">
        <v>125</v>
      </c>
      <c r="V386" s="126" t="s">
        <v>26</v>
      </c>
      <c r="AC386" s="33"/>
      <c r="AD386" s="33"/>
      <c r="AE386" s="33"/>
    </row>
    <row r="387" spans="1:31">
      <c r="A387" s="26" t="s">
        <v>439</v>
      </c>
      <c r="B387" s="8" t="s">
        <v>310</v>
      </c>
      <c r="C387" s="8" t="s">
        <v>22</v>
      </c>
      <c r="D387" s="3" t="s">
        <v>23</v>
      </c>
      <c r="E387" s="23" t="s">
        <v>27</v>
      </c>
      <c r="F387" s="16" t="s">
        <v>446</v>
      </c>
      <c r="G387" s="118">
        <v>108</v>
      </c>
      <c r="H387" s="118">
        <v>35.4</v>
      </c>
      <c r="I387" s="118">
        <v>10.5</v>
      </c>
      <c r="J387" s="119" t="s">
        <v>26</v>
      </c>
      <c r="K387" s="119" t="s">
        <v>26</v>
      </c>
      <c r="L387" s="119" t="s">
        <v>26</v>
      </c>
      <c r="M387" s="119" t="s">
        <v>26</v>
      </c>
      <c r="N387" s="119" t="s">
        <v>26</v>
      </c>
      <c r="O387" s="118">
        <v>3.8</v>
      </c>
      <c r="P387" s="119" t="s">
        <v>26</v>
      </c>
      <c r="Q387" s="118">
        <v>3.2</v>
      </c>
      <c r="R387" s="119" t="s">
        <v>26</v>
      </c>
      <c r="S387" s="120" t="s">
        <v>26</v>
      </c>
      <c r="T387" s="121" t="s">
        <v>26</v>
      </c>
      <c r="U387" s="123" t="s">
        <v>26</v>
      </c>
      <c r="V387" s="126" t="s">
        <v>26</v>
      </c>
      <c r="AC387" s="33"/>
      <c r="AD387" s="33"/>
      <c r="AE387" s="33"/>
    </row>
    <row r="388" spans="1:31">
      <c r="A388" s="26" t="s">
        <v>439</v>
      </c>
      <c r="B388" s="8" t="s">
        <v>310</v>
      </c>
      <c r="C388" s="8" t="s">
        <v>22</v>
      </c>
      <c r="D388" s="3" t="s">
        <v>23</v>
      </c>
      <c r="E388" s="25" t="s">
        <v>131</v>
      </c>
      <c r="F388" s="16" t="s">
        <v>447</v>
      </c>
      <c r="G388" s="119">
        <v>10</v>
      </c>
      <c r="H388" s="134" t="s">
        <v>1450</v>
      </c>
      <c r="I388" s="134" t="s">
        <v>1451</v>
      </c>
      <c r="J388" s="134" t="s">
        <v>1453</v>
      </c>
      <c r="K388" s="119" t="s">
        <v>26</v>
      </c>
      <c r="L388" s="119" t="s">
        <v>26</v>
      </c>
      <c r="M388" s="119" t="s">
        <v>26</v>
      </c>
      <c r="N388" s="119" t="s">
        <v>26</v>
      </c>
      <c r="O388" s="134" t="s">
        <v>1456</v>
      </c>
      <c r="P388" s="119" t="s">
        <v>26</v>
      </c>
      <c r="Q388" s="119" t="s">
        <v>26</v>
      </c>
      <c r="R388" s="119" t="s">
        <v>26</v>
      </c>
      <c r="S388" s="120" t="s">
        <v>26</v>
      </c>
      <c r="T388" s="121" t="s">
        <v>26</v>
      </c>
      <c r="U388" s="123" t="s">
        <v>26</v>
      </c>
      <c r="V388" s="89">
        <v>555</v>
      </c>
      <c r="AC388" s="33"/>
      <c r="AD388" s="33"/>
      <c r="AE388" s="33"/>
    </row>
    <row r="389" spans="1:31">
      <c r="A389" s="26" t="s">
        <v>439</v>
      </c>
      <c r="B389" s="8" t="s">
        <v>310</v>
      </c>
      <c r="C389" s="8" t="s">
        <v>22</v>
      </c>
      <c r="D389" s="3" t="s">
        <v>23</v>
      </c>
      <c r="E389" s="23" t="s">
        <v>29</v>
      </c>
      <c r="F389" s="16" t="s">
        <v>448</v>
      </c>
      <c r="G389" s="118">
        <v>47</v>
      </c>
      <c r="H389" s="118">
        <v>17.5</v>
      </c>
      <c r="I389" s="118">
        <v>15.6</v>
      </c>
      <c r="J389" s="118">
        <v>1.8</v>
      </c>
      <c r="K389" s="119" t="s">
        <v>26</v>
      </c>
      <c r="L389" s="119" t="s">
        <v>26</v>
      </c>
      <c r="M389" s="119" t="s">
        <v>26</v>
      </c>
      <c r="N389" s="119" t="s">
        <v>26</v>
      </c>
      <c r="O389" s="118">
        <v>5.9</v>
      </c>
      <c r="P389" s="119" t="s">
        <v>26</v>
      </c>
      <c r="Q389" s="119" t="s">
        <v>26</v>
      </c>
      <c r="R389" s="119" t="s">
        <v>26</v>
      </c>
      <c r="S389" s="120" t="s">
        <v>26</v>
      </c>
      <c r="T389" s="121" t="s">
        <v>26</v>
      </c>
      <c r="U389" s="123" t="s">
        <v>26</v>
      </c>
      <c r="V389" s="126" t="s">
        <v>26</v>
      </c>
      <c r="AC389" s="33"/>
      <c r="AD389" s="33"/>
      <c r="AE389" s="33"/>
    </row>
    <row r="390" spans="1:31">
      <c r="A390" s="26" t="s">
        <v>439</v>
      </c>
      <c r="B390" s="8" t="s">
        <v>310</v>
      </c>
      <c r="C390" s="8" t="s">
        <v>22</v>
      </c>
      <c r="D390" s="3" t="s">
        <v>23</v>
      </c>
      <c r="E390" s="23" t="s">
        <v>31</v>
      </c>
      <c r="F390" s="16" t="s">
        <v>449</v>
      </c>
      <c r="G390" s="118">
        <v>18</v>
      </c>
      <c r="H390" s="119" t="s">
        <v>26</v>
      </c>
      <c r="I390" s="118">
        <v>5.9</v>
      </c>
      <c r="J390" s="118">
        <v>6.2</v>
      </c>
      <c r="K390" s="119" t="s">
        <v>26</v>
      </c>
      <c r="L390" s="119" t="s">
        <v>26</v>
      </c>
      <c r="M390" s="119" t="s">
        <v>26</v>
      </c>
      <c r="N390" s="119" t="s">
        <v>26</v>
      </c>
      <c r="O390" s="125" t="s">
        <v>26</v>
      </c>
      <c r="P390" s="119" t="s">
        <v>26</v>
      </c>
      <c r="Q390" s="119" t="s">
        <v>26</v>
      </c>
      <c r="R390" s="119" t="s">
        <v>26</v>
      </c>
      <c r="S390" s="120" t="s">
        <v>26</v>
      </c>
      <c r="T390" s="121" t="s">
        <v>26</v>
      </c>
      <c r="U390" s="123" t="s">
        <v>26</v>
      </c>
      <c r="V390" s="126" t="s">
        <v>26</v>
      </c>
      <c r="AC390" s="33"/>
      <c r="AD390" s="33"/>
      <c r="AE390" s="33"/>
    </row>
    <row r="391" spans="1:31">
      <c r="A391" s="26" t="s">
        <v>439</v>
      </c>
      <c r="B391" s="8" t="s">
        <v>108</v>
      </c>
      <c r="C391" s="8" t="s">
        <v>22</v>
      </c>
      <c r="D391" s="3" t="s">
        <v>142</v>
      </c>
      <c r="E391" s="23" t="s">
        <v>24</v>
      </c>
      <c r="F391" s="16" t="s">
        <v>450</v>
      </c>
      <c r="G391" s="118">
        <v>228</v>
      </c>
      <c r="H391" s="118">
        <v>15.4</v>
      </c>
      <c r="I391" s="119" t="s">
        <v>26</v>
      </c>
      <c r="J391" s="119" t="s">
        <v>26</v>
      </c>
      <c r="K391" s="119" t="s">
        <v>26</v>
      </c>
      <c r="L391" s="119" t="s">
        <v>26</v>
      </c>
      <c r="M391" s="118">
        <v>2</v>
      </c>
      <c r="N391" s="119" t="s">
        <v>26</v>
      </c>
      <c r="O391" s="118">
        <v>2.1</v>
      </c>
      <c r="P391" s="119" t="s">
        <v>26</v>
      </c>
      <c r="Q391" s="119" t="s">
        <v>26</v>
      </c>
      <c r="R391" s="119" t="s">
        <v>26</v>
      </c>
      <c r="S391" s="120" t="s">
        <v>26</v>
      </c>
      <c r="T391" s="121" t="s">
        <v>26</v>
      </c>
      <c r="U391" s="89">
        <v>400</v>
      </c>
      <c r="V391" s="126" t="s">
        <v>26</v>
      </c>
      <c r="AC391" s="33"/>
      <c r="AD391" s="33"/>
      <c r="AE391" s="33"/>
    </row>
    <row r="392" spans="1:31">
      <c r="A392" s="26" t="s">
        <v>439</v>
      </c>
      <c r="B392" s="8" t="s">
        <v>108</v>
      </c>
      <c r="C392" s="8" t="s">
        <v>22</v>
      </c>
      <c r="D392" s="3" t="s">
        <v>142</v>
      </c>
      <c r="E392" s="23" t="s">
        <v>27</v>
      </c>
      <c r="F392" s="16" t="s">
        <v>451</v>
      </c>
      <c r="G392" s="118">
        <v>105</v>
      </c>
      <c r="H392" s="118">
        <v>4.5</v>
      </c>
      <c r="I392" s="118">
        <v>12.2</v>
      </c>
      <c r="J392" s="119" t="s">
        <v>26</v>
      </c>
      <c r="K392" s="119" t="s">
        <v>26</v>
      </c>
      <c r="L392" s="119" t="s">
        <v>26</v>
      </c>
      <c r="M392" s="118">
        <v>2.5</v>
      </c>
      <c r="N392" s="119" t="s">
        <v>26</v>
      </c>
      <c r="O392" s="118">
        <v>3.5</v>
      </c>
      <c r="P392" s="119" t="s">
        <v>26</v>
      </c>
      <c r="Q392" s="119" t="s">
        <v>26</v>
      </c>
      <c r="R392" s="119" t="s">
        <v>26</v>
      </c>
      <c r="S392" s="120" t="s">
        <v>26</v>
      </c>
      <c r="T392" s="128">
        <v>1</v>
      </c>
      <c r="U392" s="89">
        <v>140</v>
      </c>
      <c r="V392" s="126" t="s">
        <v>26</v>
      </c>
      <c r="AC392" s="33"/>
      <c r="AD392" s="33"/>
      <c r="AE392" s="33"/>
    </row>
    <row r="393" spans="1:31">
      <c r="A393" s="26" t="s">
        <v>439</v>
      </c>
      <c r="B393" s="8" t="s">
        <v>108</v>
      </c>
      <c r="C393" s="8" t="s">
        <v>22</v>
      </c>
      <c r="D393" s="3" t="s">
        <v>142</v>
      </c>
      <c r="E393" s="23" t="s">
        <v>29</v>
      </c>
      <c r="F393" s="16" t="s">
        <v>452</v>
      </c>
      <c r="G393" s="118">
        <v>49</v>
      </c>
      <c r="H393" s="118">
        <v>5.5</v>
      </c>
      <c r="I393" s="118">
        <v>24.4</v>
      </c>
      <c r="J393" s="118">
        <v>1.9</v>
      </c>
      <c r="K393" s="119" t="s">
        <v>26</v>
      </c>
      <c r="L393" s="119" t="s">
        <v>26</v>
      </c>
      <c r="M393" s="118">
        <v>3.1</v>
      </c>
      <c r="N393" s="119" t="s">
        <v>26</v>
      </c>
      <c r="O393" s="118">
        <v>6.6</v>
      </c>
      <c r="P393" s="119" t="s">
        <v>26</v>
      </c>
      <c r="Q393" s="119" t="s">
        <v>26</v>
      </c>
      <c r="R393" s="119" t="s">
        <v>26</v>
      </c>
      <c r="S393" s="120" t="s">
        <v>26</v>
      </c>
      <c r="T393" s="121" t="s">
        <v>26</v>
      </c>
      <c r="U393" s="89">
        <v>220</v>
      </c>
      <c r="V393" s="89">
        <v>65</v>
      </c>
      <c r="AC393" s="33"/>
      <c r="AD393" s="33"/>
      <c r="AE393" s="33"/>
    </row>
    <row r="394" spans="1:31">
      <c r="A394" s="26" t="s">
        <v>439</v>
      </c>
      <c r="B394" s="8" t="s">
        <v>108</v>
      </c>
      <c r="C394" s="8" t="s">
        <v>22</v>
      </c>
      <c r="D394" s="3" t="s">
        <v>142</v>
      </c>
      <c r="E394" s="23" t="s">
        <v>31</v>
      </c>
      <c r="F394" s="16" t="s">
        <v>453</v>
      </c>
      <c r="G394" s="118">
        <v>19</v>
      </c>
      <c r="H394" s="119" t="s">
        <v>26</v>
      </c>
      <c r="I394" s="118">
        <v>17.2</v>
      </c>
      <c r="J394" s="118">
        <v>7.9</v>
      </c>
      <c r="K394" s="119" t="s">
        <v>26</v>
      </c>
      <c r="L394" s="119" t="s">
        <v>26</v>
      </c>
      <c r="M394" s="119" t="s">
        <v>26</v>
      </c>
      <c r="N394" s="119" t="s">
        <v>26</v>
      </c>
      <c r="O394" s="118">
        <v>5.0999999999999996</v>
      </c>
      <c r="P394" s="119" t="s">
        <v>26</v>
      </c>
      <c r="Q394" s="119" t="s">
        <v>26</v>
      </c>
      <c r="R394" s="119" t="s">
        <v>26</v>
      </c>
      <c r="S394" s="120" t="s">
        <v>26</v>
      </c>
      <c r="T394" s="121" t="s">
        <v>26</v>
      </c>
      <c r="U394" s="89">
        <v>1150</v>
      </c>
      <c r="V394" s="89">
        <v>60</v>
      </c>
      <c r="AC394" s="33"/>
      <c r="AD394" s="33"/>
      <c r="AE394" s="33"/>
    </row>
    <row r="395" spans="1:31">
      <c r="A395" s="26" t="s">
        <v>439</v>
      </c>
      <c r="B395" s="8" t="s">
        <v>89</v>
      </c>
      <c r="C395" s="8" t="s">
        <v>22</v>
      </c>
      <c r="D395" s="3" t="s">
        <v>33</v>
      </c>
      <c r="E395" s="23" t="s">
        <v>24</v>
      </c>
      <c r="F395" s="16" t="s">
        <v>454</v>
      </c>
      <c r="G395" s="118">
        <v>207</v>
      </c>
      <c r="H395" s="118">
        <v>30.5</v>
      </c>
      <c r="I395" s="119" t="s">
        <v>26</v>
      </c>
      <c r="J395" s="119" t="s">
        <v>26</v>
      </c>
      <c r="K395" s="119" t="s">
        <v>26</v>
      </c>
      <c r="L395" s="119" t="s">
        <v>26</v>
      </c>
      <c r="M395" s="118">
        <v>2</v>
      </c>
      <c r="N395" s="119" t="s">
        <v>26</v>
      </c>
      <c r="O395" s="118">
        <v>2.4</v>
      </c>
      <c r="P395" s="119" t="s">
        <v>26</v>
      </c>
      <c r="Q395" s="119" t="s">
        <v>26</v>
      </c>
      <c r="R395" s="119" t="s">
        <v>26</v>
      </c>
      <c r="S395" s="127">
        <v>3.8</v>
      </c>
      <c r="T395" s="121" t="s">
        <v>26</v>
      </c>
      <c r="U395" s="130">
        <v>249</v>
      </c>
      <c r="V395" s="126" t="s">
        <v>26</v>
      </c>
      <c r="AC395" s="33"/>
      <c r="AD395" s="33"/>
      <c r="AE395" s="33"/>
    </row>
    <row r="396" spans="1:31">
      <c r="A396" s="26" t="s">
        <v>439</v>
      </c>
      <c r="B396" s="8" t="s">
        <v>89</v>
      </c>
      <c r="C396" s="8" t="s">
        <v>22</v>
      </c>
      <c r="D396" s="3" t="s">
        <v>33</v>
      </c>
      <c r="E396" s="23" t="s">
        <v>27</v>
      </c>
      <c r="F396" s="16" t="s">
        <v>351</v>
      </c>
      <c r="G396" s="118">
        <v>104</v>
      </c>
      <c r="H396" s="118">
        <v>42.4</v>
      </c>
      <c r="I396" s="118">
        <v>9.4</v>
      </c>
      <c r="J396" s="119" t="s">
        <v>26</v>
      </c>
      <c r="K396" s="119" t="s">
        <v>26</v>
      </c>
      <c r="L396" s="119" t="s">
        <v>26</v>
      </c>
      <c r="M396" s="118">
        <v>2.5</v>
      </c>
      <c r="N396" s="119" t="s">
        <v>26</v>
      </c>
      <c r="O396" s="118">
        <v>3.3</v>
      </c>
      <c r="P396" s="119" t="s">
        <v>26</v>
      </c>
      <c r="Q396" s="119" t="s">
        <v>26</v>
      </c>
      <c r="R396" s="119" t="s">
        <v>26</v>
      </c>
      <c r="S396" s="127">
        <v>4.5</v>
      </c>
      <c r="T396" s="121" t="s">
        <v>26</v>
      </c>
      <c r="U396" s="123" t="s">
        <v>26</v>
      </c>
      <c r="V396" s="126" t="s">
        <v>26</v>
      </c>
      <c r="AC396" s="33"/>
      <c r="AD396" s="33"/>
      <c r="AE396" s="33"/>
    </row>
    <row r="397" spans="1:31">
      <c r="A397" s="26" t="s">
        <v>439</v>
      </c>
      <c r="B397" s="8" t="s">
        <v>89</v>
      </c>
      <c r="C397" s="8" t="s">
        <v>22</v>
      </c>
      <c r="D397" s="3" t="s">
        <v>33</v>
      </c>
      <c r="E397" s="23" t="s">
        <v>29</v>
      </c>
      <c r="F397" s="16" t="s">
        <v>455</v>
      </c>
      <c r="G397" s="118">
        <v>48</v>
      </c>
      <c r="H397" s="118">
        <v>15.8</v>
      </c>
      <c r="I397" s="118">
        <v>25.2</v>
      </c>
      <c r="J397" s="118">
        <v>1.55</v>
      </c>
      <c r="K397" s="119" t="s">
        <v>26</v>
      </c>
      <c r="L397" s="119" t="s">
        <v>26</v>
      </c>
      <c r="M397" s="118">
        <v>3.8</v>
      </c>
      <c r="N397" s="119" t="s">
        <v>26</v>
      </c>
      <c r="O397" s="118">
        <v>7.2</v>
      </c>
      <c r="P397" s="119" t="s">
        <v>26</v>
      </c>
      <c r="Q397" s="119" t="s">
        <v>26</v>
      </c>
      <c r="R397" s="119" t="s">
        <v>26</v>
      </c>
      <c r="S397" s="127">
        <v>11.2</v>
      </c>
      <c r="T397" s="121" t="s">
        <v>26</v>
      </c>
      <c r="U397" s="123" t="s">
        <v>26</v>
      </c>
      <c r="V397" s="126" t="s">
        <v>26</v>
      </c>
      <c r="AC397" s="33"/>
      <c r="AD397" s="33"/>
      <c r="AE397" s="33"/>
    </row>
    <row r="398" spans="1:31">
      <c r="A398" s="26" t="s">
        <v>439</v>
      </c>
      <c r="B398" s="8" t="s">
        <v>89</v>
      </c>
      <c r="C398" s="8" t="s">
        <v>22</v>
      </c>
      <c r="D398" s="3" t="s">
        <v>33</v>
      </c>
      <c r="E398" s="23" t="s">
        <v>31</v>
      </c>
      <c r="F398" s="16" t="s">
        <v>456</v>
      </c>
      <c r="G398" s="118">
        <v>17</v>
      </c>
      <c r="H398" s="118">
        <v>7.2</v>
      </c>
      <c r="I398" s="118">
        <v>18.399999999999999</v>
      </c>
      <c r="J398" s="118">
        <v>6.5</v>
      </c>
      <c r="K398" s="119" t="s">
        <v>26</v>
      </c>
      <c r="L398" s="119" t="s">
        <v>26</v>
      </c>
      <c r="M398" s="119" t="s">
        <v>26</v>
      </c>
      <c r="N398" s="119" t="s">
        <v>26</v>
      </c>
      <c r="O398" s="118">
        <v>6.1</v>
      </c>
      <c r="P398" s="119" t="s">
        <v>26</v>
      </c>
      <c r="Q398" s="119" t="s">
        <v>26</v>
      </c>
      <c r="R398" s="119" t="s">
        <v>26</v>
      </c>
      <c r="S398" s="127">
        <v>14.8</v>
      </c>
      <c r="T398" s="121" t="s">
        <v>26</v>
      </c>
      <c r="U398" s="130">
        <v>328</v>
      </c>
      <c r="V398" s="126" t="s">
        <v>26</v>
      </c>
      <c r="AC398" s="33"/>
      <c r="AD398" s="33"/>
      <c r="AE398" s="33"/>
    </row>
    <row r="399" spans="1:31">
      <c r="A399" s="26" t="s">
        <v>439</v>
      </c>
      <c r="B399" s="8" t="s">
        <v>457</v>
      </c>
      <c r="C399" s="8" t="s">
        <v>22</v>
      </c>
      <c r="D399" s="8" t="s">
        <v>109</v>
      </c>
      <c r="E399" s="23" t="s">
        <v>24</v>
      </c>
      <c r="F399" s="16" t="s">
        <v>458</v>
      </c>
      <c r="G399" s="118">
        <v>228</v>
      </c>
      <c r="H399" s="118">
        <v>14.8</v>
      </c>
      <c r="I399" s="119" t="s">
        <v>26</v>
      </c>
      <c r="J399" s="119" t="s">
        <v>26</v>
      </c>
      <c r="K399" s="119" t="s">
        <v>26</v>
      </c>
      <c r="L399" s="119" t="s">
        <v>26</v>
      </c>
      <c r="M399" s="119" t="s">
        <v>26</v>
      </c>
      <c r="N399" s="119" t="s">
        <v>26</v>
      </c>
      <c r="O399" s="118">
        <v>1.8</v>
      </c>
      <c r="P399" s="119" t="s">
        <v>26</v>
      </c>
      <c r="Q399" s="118">
        <v>7</v>
      </c>
      <c r="R399" s="119" t="s">
        <v>26</v>
      </c>
      <c r="S399" s="120" t="s">
        <v>26</v>
      </c>
      <c r="T399" s="121" t="s">
        <v>26</v>
      </c>
      <c r="U399" s="130">
        <v>399</v>
      </c>
      <c r="V399" s="126" t="s">
        <v>26</v>
      </c>
      <c r="AC399" s="33"/>
      <c r="AD399" s="33"/>
      <c r="AE399" s="33"/>
    </row>
    <row r="400" spans="1:31">
      <c r="A400" s="26" t="s">
        <v>439</v>
      </c>
      <c r="B400" s="8" t="s">
        <v>457</v>
      </c>
      <c r="C400" s="8" t="s">
        <v>22</v>
      </c>
      <c r="D400" s="8" t="s">
        <v>109</v>
      </c>
      <c r="E400" s="23" t="s">
        <v>27</v>
      </c>
      <c r="F400" s="16" t="s">
        <v>459</v>
      </c>
      <c r="G400" s="118">
        <v>109</v>
      </c>
      <c r="H400" s="118">
        <v>28.5</v>
      </c>
      <c r="I400" s="118">
        <v>12.2</v>
      </c>
      <c r="J400" s="119" t="s">
        <v>26</v>
      </c>
      <c r="K400" s="119" t="s">
        <v>26</v>
      </c>
      <c r="L400" s="119" t="s">
        <v>26</v>
      </c>
      <c r="M400" s="119" t="s">
        <v>26</v>
      </c>
      <c r="N400" s="119" t="s">
        <v>26</v>
      </c>
      <c r="O400" s="118">
        <v>2.5</v>
      </c>
      <c r="P400" s="119" t="s">
        <v>26</v>
      </c>
      <c r="Q400" s="118">
        <v>5.7</v>
      </c>
      <c r="R400" s="119" t="s">
        <v>26</v>
      </c>
      <c r="S400" s="120" t="s">
        <v>26</v>
      </c>
      <c r="T400" s="121" t="s">
        <v>26</v>
      </c>
      <c r="U400" s="123" t="s">
        <v>26</v>
      </c>
      <c r="V400" s="126" t="s">
        <v>26</v>
      </c>
      <c r="AC400" s="33"/>
      <c r="AD400" s="33"/>
      <c r="AE400" s="33"/>
    </row>
    <row r="401" spans="1:31">
      <c r="A401" s="26" t="s">
        <v>439</v>
      </c>
      <c r="B401" s="8" t="s">
        <v>457</v>
      </c>
      <c r="C401" s="8" t="s">
        <v>22</v>
      </c>
      <c r="D401" s="8" t="s">
        <v>109</v>
      </c>
      <c r="E401" s="23" t="s">
        <v>29</v>
      </c>
      <c r="F401" s="16" t="s">
        <v>460</v>
      </c>
      <c r="G401" s="118">
        <v>45</v>
      </c>
      <c r="H401" s="118">
        <v>28.4</v>
      </c>
      <c r="I401" s="118">
        <v>10.4</v>
      </c>
      <c r="J401" s="118">
        <v>2.02</v>
      </c>
      <c r="K401" s="119" t="s">
        <v>26</v>
      </c>
      <c r="L401" s="119" t="s">
        <v>26</v>
      </c>
      <c r="M401" s="119" t="s">
        <v>26</v>
      </c>
      <c r="N401" s="119" t="s">
        <v>26</v>
      </c>
      <c r="O401" s="118">
        <v>7.8</v>
      </c>
      <c r="P401" s="119" t="s">
        <v>26</v>
      </c>
      <c r="Q401" s="119" t="s">
        <v>26</v>
      </c>
      <c r="R401" s="119" t="s">
        <v>26</v>
      </c>
      <c r="S401" s="120" t="s">
        <v>26</v>
      </c>
      <c r="T401" s="121" t="s">
        <v>26</v>
      </c>
      <c r="U401" s="123" t="s">
        <v>26</v>
      </c>
      <c r="V401" s="126" t="s">
        <v>26</v>
      </c>
      <c r="AC401" s="33"/>
      <c r="AD401" s="33"/>
      <c r="AE401" s="33"/>
    </row>
    <row r="402" spans="1:31">
      <c r="A402" s="26" t="s">
        <v>439</v>
      </c>
      <c r="B402" s="8" t="s">
        <v>457</v>
      </c>
      <c r="C402" s="8" t="s">
        <v>22</v>
      </c>
      <c r="D402" s="8" t="s">
        <v>109</v>
      </c>
      <c r="E402" s="23" t="s">
        <v>31</v>
      </c>
      <c r="F402" s="16" t="s">
        <v>429</v>
      </c>
      <c r="G402" s="118">
        <v>17</v>
      </c>
      <c r="H402" s="118">
        <v>18</v>
      </c>
      <c r="I402" s="118">
        <v>12.1</v>
      </c>
      <c r="J402" s="118">
        <v>11.5</v>
      </c>
      <c r="K402" s="119" t="s">
        <v>26</v>
      </c>
      <c r="L402" s="119" t="s">
        <v>26</v>
      </c>
      <c r="M402" s="119" t="s">
        <v>26</v>
      </c>
      <c r="N402" s="119" t="s">
        <v>26</v>
      </c>
      <c r="O402" s="118">
        <v>6</v>
      </c>
      <c r="P402" s="119" t="s">
        <v>26</v>
      </c>
      <c r="Q402" s="119" t="s">
        <v>26</v>
      </c>
      <c r="R402" s="119" t="s">
        <v>26</v>
      </c>
      <c r="S402" s="120" t="s">
        <v>26</v>
      </c>
      <c r="T402" s="121" t="s">
        <v>26</v>
      </c>
      <c r="U402" s="130">
        <v>731</v>
      </c>
      <c r="V402" s="126" t="s">
        <v>26</v>
      </c>
      <c r="AC402" s="33"/>
      <c r="AD402" s="33"/>
      <c r="AE402" s="33"/>
    </row>
    <row r="403" spans="1:31">
      <c r="A403" s="26" t="s">
        <v>461</v>
      </c>
      <c r="B403" s="8" t="s">
        <v>63</v>
      </c>
      <c r="C403" s="8" t="s">
        <v>22</v>
      </c>
      <c r="D403" s="3" t="s">
        <v>23</v>
      </c>
      <c r="E403" s="23" t="s">
        <v>24</v>
      </c>
      <c r="F403" s="16" t="s">
        <v>462</v>
      </c>
      <c r="G403" s="118">
        <v>224</v>
      </c>
      <c r="H403" s="118">
        <v>18.399999999999999</v>
      </c>
      <c r="I403" s="119" t="s">
        <v>26</v>
      </c>
      <c r="J403" s="119" t="s">
        <v>26</v>
      </c>
      <c r="K403" s="119" t="s">
        <v>26</v>
      </c>
      <c r="L403" s="119" t="s">
        <v>26</v>
      </c>
      <c r="M403" s="119" t="s">
        <v>26</v>
      </c>
      <c r="N403" s="119" t="s">
        <v>26</v>
      </c>
      <c r="O403" s="118">
        <v>5.7</v>
      </c>
      <c r="P403" s="118">
        <v>1</v>
      </c>
      <c r="Q403" s="118">
        <v>7.2</v>
      </c>
      <c r="R403" s="118">
        <v>1.7</v>
      </c>
      <c r="S403" s="127">
        <v>2.4</v>
      </c>
      <c r="T403" s="121" t="s">
        <v>26</v>
      </c>
      <c r="U403" s="89">
        <v>264</v>
      </c>
      <c r="V403" s="89">
        <v>593</v>
      </c>
      <c r="AC403" s="33"/>
      <c r="AD403" s="33"/>
      <c r="AE403" s="33"/>
    </row>
    <row r="404" spans="1:31">
      <c r="A404" s="26" t="s">
        <v>461</v>
      </c>
      <c r="B404" s="8" t="s">
        <v>63</v>
      </c>
      <c r="C404" s="8" t="s">
        <v>22</v>
      </c>
      <c r="D404" s="3" t="s">
        <v>23</v>
      </c>
      <c r="E404" s="23" t="s">
        <v>27</v>
      </c>
      <c r="F404" s="16" t="s">
        <v>463</v>
      </c>
      <c r="G404" s="118">
        <v>118</v>
      </c>
      <c r="H404" s="118">
        <v>14.7</v>
      </c>
      <c r="I404" s="118">
        <v>8.6999999999999993</v>
      </c>
      <c r="J404" s="119" t="s">
        <v>26</v>
      </c>
      <c r="K404" s="119" t="s">
        <v>26</v>
      </c>
      <c r="L404" s="119" t="s">
        <v>26</v>
      </c>
      <c r="M404" s="119" t="s">
        <v>26</v>
      </c>
      <c r="N404" s="119" t="s">
        <v>26</v>
      </c>
      <c r="O404" s="118">
        <v>5.2</v>
      </c>
      <c r="P404" s="118">
        <v>1.6</v>
      </c>
      <c r="Q404" s="118">
        <v>4.2</v>
      </c>
      <c r="R404" s="118">
        <v>1.9</v>
      </c>
      <c r="S404" s="127">
        <v>1.7</v>
      </c>
      <c r="T404" s="121" t="s">
        <v>26</v>
      </c>
      <c r="U404" s="123" t="s">
        <v>26</v>
      </c>
      <c r="V404" s="89">
        <v>271</v>
      </c>
      <c r="AC404" s="33"/>
      <c r="AD404" s="33"/>
      <c r="AE404" s="33"/>
    </row>
    <row r="405" spans="1:31">
      <c r="A405" s="26" t="s">
        <v>461</v>
      </c>
      <c r="B405" s="8" t="s">
        <v>63</v>
      </c>
      <c r="C405" s="8" t="s">
        <v>22</v>
      </c>
      <c r="D405" s="3" t="s">
        <v>23</v>
      </c>
      <c r="E405" s="23" t="s">
        <v>29</v>
      </c>
      <c r="F405" s="16" t="s">
        <v>464</v>
      </c>
      <c r="G405" s="118">
        <v>41</v>
      </c>
      <c r="H405" s="118">
        <v>106</v>
      </c>
      <c r="I405" s="118">
        <v>12.7</v>
      </c>
      <c r="J405" s="118">
        <v>4</v>
      </c>
      <c r="K405" s="119" t="s">
        <v>26</v>
      </c>
      <c r="L405" s="119" t="s">
        <v>26</v>
      </c>
      <c r="M405" s="119" t="s">
        <v>26</v>
      </c>
      <c r="N405" s="119" t="s">
        <v>26</v>
      </c>
      <c r="O405" s="118">
        <v>4.8</v>
      </c>
      <c r="P405" s="118">
        <v>1.7</v>
      </c>
      <c r="Q405" s="119" t="s">
        <v>26</v>
      </c>
      <c r="R405" s="118">
        <v>1.8</v>
      </c>
      <c r="S405" s="127">
        <v>5.0999999999999996</v>
      </c>
      <c r="T405" s="121" t="s">
        <v>26</v>
      </c>
      <c r="U405" s="89">
        <v>2151</v>
      </c>
      <c r="V405" s="89">
        <v>186</v>
      </c>
      <c r="AC405" s="33"/>
      <c r="AD405" s="33"/>
      <c r="AE405" s="33"/>
    </row>
    <row r="406" spans="1:31">
      <c r="A406" s="26" t="s">
        <v>461</v>
      </c>
      <c r="B406" s="8" t="s">
        <v>63</v>
      </c>
      <c r="C406" s="8" t="s">
        <v>22</v>
      </c>
      <c r="D406" s="3" t="s">
        <v>23</v>
      </c>
      <c r="E406" s="23" t="s">
        <v>31</v>
      </c>
      <c r="F406" s="16" t="s">
        <v>465</v>
      </c>
      <c r="G406" s="118">
        <v>14</v>
      </c>
      <c r="H406" s="119" t="s">
        <v>26</v>
      </c>
      <c r="I406" s="118">
        <v>5.4</v>
      </c>
      <c r="J406" s="118">
        <v>4.5</v>
      </c>
      <c r="K406" s="119" t="s">
        <v>26</v>
      </c>
      <c r="L406" s="119" t="s">
        <v>26</v>
      </c>
      <c r="M406" s="119" t="s">
        <v>26</v>
      </c>
      <c r="N406" s="119" t="s">
        <v>26</v>
      </c>
      <c r="O406" s="118">
        <v>4.7</v>
      </c>
      <c r="P406" s="118">
        <v>1.7</v>
      </c>
      <c r="Q406" s="119" t="s">
        <v>26</v>
      </c>
      <c r="R406" s="118">
        <v>1.8</v>
      </c>
      <c r="S406" s="127">
        <v>5.8</v>
      </c>
      <c r="T406" s="121" t="s">
        <v>26</v>
      </c>
      <c r="U406" s="89">
        <v>803</v>
      </c>
      <c r="V406" s="89">
        <v>60</v>
      </c>
      <c r="AC406" s="33"/>
      <c r="AD406" s="33"/>
      <c r="AE406" s="33"/>
    </row>
    <row r="407" spans="1:31">
      <c r="A407" s="26" t="s">
        <v>461</v>
      </c>
      <c r="B407" s="8" t="s">
        <v>21</v>
      </c>
      <c r="C407" s="8" t="s">
        <v>22</v>
      </c>
      <c r="D407" s="8" t="s">
        <v>109</v>
      </c>
      <c r="E407" s="23" t="s">
        <v>24</v>
      </c>
      <c r="F407" s="16" t="s">
        <v>466</v>
      </c>
      <c r="G407" s="118">
        <v>232</v>
      </c>
      <c r="H407" s="118">
        <v>15.2</v>
      </c>
      <c r="I407" s="119" t="s">
        <v>26</v>
      </c>
      <c r="J407" s="119" t="s">
        <v>26</v>
      </c>
      <c r="K407" s="119" t="s">
        <v>26</v>
      </c>
      <c r="L407" s="119" t="s">
        <v>26</v>
      </c>
      <c r="M407" s="119" t="s">
        <v>26</v>
      </c>
      <c r="N407" s="119" t="s">
        <v>26</v>
      </c>
      <c r="O407" s="118">
        <v>2.8</v>
      </c>
      <c r="P407" s="119" t="s">
        <v>26</v>
      </c>
      <c r="Q407" s="118">
        <v>11.2</v>
      </c>
      <c r="R407" s="119" t="s">
        <v>26</v>
      </c>
      <c r="S407" s="120" t="s">
        <v>26</v>
      </c>
      <c r="T407" s="121" t="s">
        <v>26</v>
      </c>
      <c r="U407" s="123" t="s">
        <v>26</v>
      </c>
      <c r="V407" s="126" t="s">
        <v>26</v>
      </c>
      <c r="AC407" s="33"/>
      <c r="AD407" s="33"/>
      <c r="AE407" s="33"/>
    </row>
    <row r="408" spans="1:31">
      <c r="A408" s="26" t="s">
        <v>461</v>
      </c>
      <c r="B408" s="8" t="s">
        <v>21</v>
      </c>
      <c r="C408" s="8" t="s">
        <v>22</v>
      </c>
      <c r="D408" s="8" t="s">
        <v>109</v>
      </c>
      <c r="E408" s="23" t="s">
        <v>27</v>
      </c>
      <c r="F408" s="16" t="s">
        <v>467</v>
      </c>
      <c r="G408" s="118">
        <v>108</v>
      </c>
      <c r="H408" s="118">
        <v>35.4</v>
      </c>
      <c r="I408" s="118">
        <v>11.5</v>
      </c>
      <c r="J408" s="119" t="s">
        <v>26</v>
      </c>
      <c r="K408" s="119" t="s">
        <v>26</v>
      </c>
      <c r="L408" s="119" t="s">
        <v>26</v>
      </c>
      <c r="M408" s="119" t="s">
        <v>26</v>
      </c>
      <c r="N408" s="119" t="s">
        <v>26</v>
      </c>
      <c r="O408" s="118">
        <v>3.5</v>
      </c>
      <c r="P408" s="119" t="s">
        <v>26</v>
      </c>
      <c r="Q408" s="118">
        <v>10.5</v>
      </c>
      <c r="R408" s="119" t="s">
        <v>26</v>
      </c>
      <c r="S408" s="120" t="s">
        <v>26</v>
      </c>
      <c r="T408" s="121" t="s">
        <v>26</v>
      </c>
      <c r="U408" s="123" t="s">
        <v>26</v>
      </c>
      <c r="V408" s="126" t="s">
        <v>26</v>
      </c>
      <c r="AC408" s="33"/>
      <c r="AD408" s="33"/>
      <c r="AE408" s="33"/>
    </row>
    <row r="409" spans="1:31">
      <c r="A409" s="26" t="s">
        <v>461</v>
      </c>
      <c r="B409" s="8" t="s">
        <v>21</v>
      </c>
      <c r="C409" s="8" t="s">
        <v>22</v>
      </c>
      <c r="D409" s="8" t="s">
        <v>109</v>
      </c>
      <c r="E409" s="23" t="s">
        <v>29</v>
      </c>
      <c r="F409" s="16" t="s">
        <v>468</v>
      </c>
      <c r="G409" s="118">
        <v>44</v>
      </c>
      <c r="H409" s="118">
        <v>31.6</v>
      </c>
      <c r="I409" s="118">
        <v>11.6</v>
      </c>
      <c r="J409" s="118">
        <v>1.8</v>
      </c>
      <c r="K409" s="119" t="s">
        <v>26</v>
      </c>
      <c r="L409" s="119" t="s">
        <v>26</v>
      </c>
      <c r="M409" s="119" t="s">
        <v>26</v>
      </c>
      <c r="N409" s="119" t="s">
        <v>26</v>
      </c>
      <c r="O409" s="118">
        <v>7.6</v>
      </c>
      <c r="P409" s="119" t="s">
        <v>26</v>
      </c>
      <c r="Q409" s="119" t="s">
        <v>26</v>
      </c>
      <c r="R409" s="119" t="s">
        <v>26</v>
      </c>
      <c r="S409" s="120" t="s">
        <v>26</v>
      </c>
      <c r="T409" s="121" t="s">
        <v>26</v>
      </c>
      <c r="U409" s="123" t="s">
        <v>26</v>
      </c>
      <c r="V409" s="126" t="s">
        <v>26</v>
      </c>
      <c r="AC409" s="33"/>
      <c r="AD409" s="33"/>
      <c r="AE409" s="33"/>
    </row>
    <row r="410" spans="1:31">
      <c r="A410" s="26" t="s">
        <v>461</v>
      </c>
      <c r="B410" s="8" t="s">
        <v>21</v>
      </c>
      <c r="C410" s="8" t="s">
        <v>22</v>
      </c>
      <c r="D410" s="8" t="s">
        <v>109</v>
      </c>
      <c r="E410" s="23" t="s">
        <v>31</v>
      </c>
      <c r="F410" s="16" t="s">
        <v>469</v>
      </c>
      <c r="G410" s="118">
        <v>17</v>
      </c>
      <c r="H410" s="118">
        <v>20.5</v>
      </c>
      <c r="I410" s="118">
        <v>7.2</v>
      </c>
      <c r="J410" s="118">
        <v>5.2</v>
      </c>
      <c r="K410" s="119" t="s">
        <v>26</v>
      </c>
      <c r="L410" s="119" t="s">
        <v>26</v>
      </c>
      <c r="M410" s="119" t="s">
        <v>26</v>
      </c>
      <c r="N410" s="119" t="s">
        <v>26</v>
      </c>
      <c r="O410" s="118">
        <v>5.8</v>
      </c>
      <c r="P410" s="119" t="s">
        <v>26</v>
      </c>
      <c r="Q410" s="119" t="s">
        <v>26</v>
      </c>
      <c r="R410" s="119" t="s">
        <v>26</v>
      </c>
      <c r="S410" s="120" t="s">
        <v>26</v>
      </c>
      <c r="T410" s="121" t="s">
        <v>26</v>
      </c>
      <c r="U410" s="130">
        <v>740</v>
      </c>
      <c r="V410" s="126" t="s">
        <v>26</v>
      </c>
      <c r="AC410" s="33"/>
      <c r="AD410" s="33"/>
      <c r="AE410" s="33"/>
    </row>
    <row r="411" spans="1:31">
      <c r="A411" s="26" t="s">
        <v>461</v>
      </c>
      <c r="B411" s="8" t="s">
        <v>325</v>
      </c>
      <c r="C411" s="8" t="s">
        <v>22</v>
      </c>
      <c r="D411" s="3" t="s">
        <v>23</v>
      </c>
      <c r="E411" s="23" t="s">
        <v>24</v>
      </c>
      <c r="F411" s="16" t="s">
        <v>352</v>
      </c>
      <c r="G411" s="118">
        <v>213</v>
      </c>
      <c r="H411" s="118">
        <v>29.5</v>
      </c>
      <c r="I411" s="119" t="s">
        <v>26</v>
      </c>
      <c r="J411" s="119" t="s">
        <v>26</v>
      </c>
      <c r="K411" s="119" t="s">
        <v>26</v>
      </c>
      <c r="L411" s="119" t="s">
        <v>26</v>
      </c>
      <c r="M411" s="119" t="s">
        <v>26</v>
      </c>
      <c r="N411" s="119" t="s">
        <v>26</v>
      </c>
      <c r="O411" s="118">
        <v>0.8</v>
      </c>
      <c r="P411" s="118">
        <v>0.4</v>
      </c>
      <c r="Q411" s="118">
        <v>5.9</v>
      </c>
      <c r="R411" s="118">
        <v>1.4</v>
      </c>
      <c r="S411" s="127">
        <v>0.8</v>
      </c>
      <c r="T411" s="121" t="s">
        <v>26</v>
      </c>
      <c r="U411" s="123" t="s">
        <v>26</v>
      </c>
      <c r="V411" s="126" t="s">
        <v>26</v>
      </c>
      <c r="AC411" s="33"/>
      <c r="AD411" s="33"/>
      <c r="AE411" s="33"/>
    </row>
    <row r="412" spans="1:31">
      <c r="A412" s="26" t="s">
        <v>461</v>
      </c>
      <c r="B412" s="8" t="s">
        <v>325</v>
      </c>
      <c r="C412" s="8" t="s">
        <v>22</v>
      </c>
      <c r="D412" s="3" t="s">
        <v>23</v>
      </c>
      <c r="E412" s="23" t="s">
        <v>27</v>
      </c>
      <c r="F412" s="16" t="s">
        <v>467</v>
      </c>
      <c r="G412" s="118">
        <v>107</v>
      </c>
      <c r="H412" s="118">
        <v>31.8</v>
      </c>
      <c r="I412" s="118">
        <v>0.8</v>
      </c>
      <c r="J412" s="118">
        <v>0.5</v>
      </c>
      <c r="K412" s="119" t="s">
        <v>26</v>
      </c>
      <c r="L412" s="119" t="s">
        <v>26</v>
      </c>
      <c r="M412" s="119" t="s">
        <v>26</v>
      </c>
      <c r="N412" s="119" t="s">
        <v>26</v>
      </c>
      <c r="O412" s="118">
        <v>1.2</v>
      </c>
      <c r="P412" s="118">
        <v>0.5</v>
      </c>
      <c r="Q412" s="118">
        <v>6</v>
      </c>
      <c r="R412" s="118">
        <v>1</v>
      </c>
      <c r="S412" s="127">
        <v>1.6</v>
      </c>
      <c r="T412" s="121" t="s">
        <v>26</v>
      </c>
      <c r="U412" s="123" t="s">
        <v>26</v>
      </c>
      <c r="V412" s="126" t="s">
        <v>26</v>
      </c>
      <c r="AC412" s="33"/>
      <c r="AD412" s="33"/>
      <c r="AE412" s="33"/>
    </row>
    <row r="413" spans="1:31">
      <c r="A413" s="26" t="s">
        <v>461</v>
      </c>
      <c r="B413" s="8" t="s">
        <v>325</v>
      </c>
      <c r="C413" s="8" t="s">
        <v>22</v>
      </c>
      <c r="D413" s="3" t="s">
        <v>23</v>
      </c>
      <c r="E413" s="23" t="s">
        <v>29</v>
      </c>
      <c r="F413" s="16" t="s">
        <v>470</v>
      </c>
      <c r="G413" s="118">
        <v>46</v>
      </c>
      <c r="H413" s="118">
        <v>8.5</v>
      </c>
      <c r="I413" s="118">
        <v>5.6</v>
      </c>
      <c r="J413" s="118">
        <v>1.88</v>
      </c>
      <c r="K413" s="119" t="s">
        <v>26</v>
      </c>
      <c r="L413" s="119" t="s">
        <v>26</v>
      </c>
      <c r="M413" s="119" t="s">
        <v>26</v>
      </c>
      <c r="N413" s="119" t="s">
        <v>26</v>
      </c>
      <c r="O413" s="118">
        <v>2.2000000000000002</v>
      </c>
      <c r="P413" s="118">
        <v>0.6</v>
      </c>
      <c r="Q413" s="118">
        <v>3.4</v>
      </c>
      <c r="R413" s="119" t="s">
        <v>26</v>
      </c>
      <c r="S413" s="127">
        <v>6.7</v>
      </c>
      <c r="T413" s="121" t="s">
        <v>26</v>
      </c>
      <c r="U413" s="123" t="s">
        <v>26</v>
      </c>
      <c r="V413" s="126" t="s">
        <v>26</v>
      </c>
      <c r="AC413" s="33"/>
      <c r="AD413" s="33"/>
      <c r="AE413" s="33"/>
    </row>
    <row r="414" spans="1:31">
      <c r="A414" s="26" t="s">
        <v>461</v>
      </c>
      <c r="B414" s="8" t="s">
        <v>325</v>
      </c>
      <c r="C414" s="8" t="s">
        <v>22</v>
      </c>
      <c r="D414" s="3" t="s">
        <v>23</v>
      </c>
      <c r="E414" s="23" t="s">
        <v>31</v>
      </c>
      <c r="F414" s="16" t="s">
        <v>471</v>
      </c>
      <c r="G414" s="118">
        <v>18</v>
      </c>
      <c r="H414" s="119" t="s">
        <v>26</v>
      </c>
      <c r="I414" s="118">
        <v>5.5</v>
      </c>
      <c r="J414" s="118">
        <v>7.6</v>
      </c>
      <c r="K414" s="119" t="s">
        <v>26</v>
      </c>
      <c r="L414" s="119" t="s">
        <v>26</v>
      </c>
      <c r="M414" s="119" t="s">
        <v>26</v>
      </c>
      <c r="N414" s="119" t="s">
        <v>26</v>
      </c>
      <c r="O414" s="125" t="s">
        <v>26</v>
      </c>
      <c r="P414" s="119" t="s">
        <v>26</v>
      </c>
      <c r="Q414" s="119" t="s">
        <v>26</v>
      </c>
      <c r="R414" s="119" t="s">
        <v>26</v>
      </c>
      <c r="S414" s="127">
        <v>5.6</v>
      </c>
      <c r="T414" s="121" t="s">
        <v>26</v>
      </c>
      <c r="U414" s="89">
        <v>795</v>
      </c>
      <c r="V414" s="126" t="s">
        <v>26</v>
      </c>
      <c r="AC414" s="33"/>
      <c r="AD414" s="33"/>
      <c r="AE414" s="33"/>
    </row>
    <row r="415" spans="1:31">
      <c r="A415" s="26" t="s">
        <v>461</v>
      </c>
      <c r="B415" s="8" t="s">
        <v>325</v>
      </c>
      <c r="C415" s="8" t="s">
        <v>22</v>
      </c>
      <c r="D415" s="3" t="s">
        <v>23</v>
      </c>
      <c r="E415" s="25" t="s">
        <v>131</v>
      </c>
      <c r="F415" s="16" t="s">
        <v>472</v>
      </c>
      <c r="G415" s="118">
        <v>11</v>
      </c>
      <c r="H415" s="118">
        <v>15</v>
      </c>
      <c r="I415" s="119" t="s">
        <v>26</v>
      </c>
      <c r="J415" s="118">
        <v>28.9</v>
      </c>
      <c r="K415" s="119" t="s">
        <v>26</v>
      </c>
      <c r="L415" s="119" t="s">
        <v>26</v>
      </c>
      <c r="M415" s="119" t="s">
        <v>26</v>
      </c>
      <c r="N415" s="119" t="s">
        <v>26</v>
      </c>
      <c r="O415" s="125" t="s">
        <v>26</v>
      </c>
      <c r="P415" s="119" t="s">
        <v>26</v>
      </c>
      <c r="Q415" s="119" t="s">
        <v>26</v>
      </c>
      <c r="R415" s="119" t="s">
        <v>26</v>
      </c>
      <c r="S415" s="127">
        <v>3.5</v>
      </c>
      <c r="T415" s="121" t="s">
        <v>26</v>
      </c>
      <c r="U415" s="89">
        <v>2441</v>
      </c>
      <c r="V415" s="89">
        <v>70</v>
      </c>
      <c r="AC415" s="33"/>
      <c r="AD415" s="33"/>
      <c r="AE415" s="33"/>
    </row>
    <row r="416" spans="1:31">
      <c r="A416" s="26" t="s">
        <v>473</v>
      </c>
      <c r="B416" s="8" t="s">
        <v>21</v>
      </c>
      <c r="C416" s="8" t="s">
        <v>22</v>
      </c>
      <c r="D416" s="3" t="s">
        <v>23</v>
      </c>
      <c r="E416" s="23" t="s">
        <v>24</v>
      </c>
      <c r="F416" s="16" t="s">
        <v>474</v>
      </c>
      <c r="G416" s="118">
        <v>251</v>
      </c>
      <c r="H416" s="118">
        <v>7.8</v>
      </c>
      <c r="I416" s="119" t="s">
        <v>26</v>
      </c>
      <c r="J416" s="119" t="s">
        <v>26</v>
      </c>
      <c r="K416" s="119" t="s">
        <v>26</v>
      </c>
      <c r="L416" s="119" t="s">
        <v>26</v>
      </c>
      <c r="M416" s="118">
        <v>0.4</v>
      </c>
      <c r="N416" s="119" t="s">
        <v>26</v>
      </c>
      <c r="O416" s="118">
        <v>0.3</v>
      </c>
      <c r="P416" s="119" t="s">
        <v>26</v>
      </c>
      <c r="Q416" s="118">
        <v>7</v>
      </c>
      <c r="R416" s="118">
        <v>1.4</v>
      </c>
      <c r="S416" s="127">
        <v>0.5</v>
      </c>
      <c r="T416" s="121" t="s">
        <v>26</v>
      </c>
      <c r="U416" s="89">
        <v>270</v>
      </c>
      <c r="V416" s="126" t="s">
        <v>26</v>
      </c>
      <c r="AC416" s="33"/>
      <c r="AD416" s="33"/>
      <c r="AE416" s="33"/>
    </row>
    <row r="417" spans="1:31">
      <c r="A417" s="26" t="s">
        <v>473</v>
      </c>
      <c r="B417" s="8" t="s">
        <v>21</v>
      </c>
      <c r="C417" s="8" t="s">
        <v>22</v>
      </c>
      <c r="D417" s="3" t="s">
        <v>23</v>
      </c>
      <c r="E417" s="23" t="s">
        <v>27</v>
      </c>
      <c r="F417" s="16" t="s">
        <v>292</v>
      </c>
      <c r="G417" s="118">
        <v>114</v>
      </c>
      <c r="H417" s="118">
        <v>32.5</v>
      </c>
      <c r="I417" s="118">
        <v>0.9</v>
      </c>
      <c r="J417" s="119" t="s">
        <v>26</v>
      </c>
      <c r="K417" s="119" t="s">
        <v>26</v>
      </c>
      <c r="L417" s="119" t="s">
        <v>26</v>
      </c>
      <c r="M417" s="118">
        <v>0.6</v>
      </c>
      <c r="N417" s="119" t="s">
        <v>26</v>
      </c>
      <c r="O417" s="118">
        <v>0.8</v>
      </c>
      <c r="P417" s="119" t="s">
        <v>26</v>
      </c>
      <c r="Q417" s="118">
        <v>5.5</v>
      </c>
      <c r="R417" s="118">
        <v>0.9</v>
      </c>
      <c r="S417" s="127">
        <v>2.9</v>
      </c>
      <c r="T417" s="121" t="s">
        <v>26</v>
      </c>
      <c r="U417" s="123" t="s">
        <v>26</v>
      </c>
      <c r="V417" s="126" t="s">
        <v>26</v>
      </c>
      <c r="AC417" s="33"/>
      <c r="AD417" s="33"/>
      <c r="AE417" s="33"/>
    </row>
    <row r="418" spans="1:31">
      <c r="A418" s="26" t="s">
        <v>473</v>
      </c>
      <c r="B418" s="8" t="s">
        <v>21</v>
      </c>
      <c r="C418" s="8" t="s">
        <v>22</v>
      </c>
      <c r="D418" s="3" t="s">
        <v>23</v>
      </c>
      <c r="E418" s="23" t="s">
        <v>29</v>
      </c>
      <c r="F418" s="16" t="s">
        <v>421</v>
      </c>
      <c r="G418" s="118">
        <v>48</v>
      </c>
      <c r="H418" s="118">
        <v>2.1</v>
      </c>
      <c r="I418" s="118">
        <v>12.5</v>
      </c>
      <c r="J418" s="118">
        <v>2.1</v>
      </c>
      <c r="K418" s="119" t="s">
        <v>26</v>
      </c>
      <c r="L418" s="119" t="s">
        <v>26</v>
      </c>
      <c r="M418" s="118">
        <v>0.7</v>
      </c>
      <c r="N418" s="119" t="s">
        <v>26</v>
      </c>
      <c r="O418" s="118">
        <v>1.1000000000000001</v>
      </c>
      <c r="P418" s="118">
        <v>1.2</v>
      </c>
      <c r="Q418" s="118">
        <v>4</v>
      </c>
      <c r="R418" s="119" t="s">
        <v>26</v>
      </c>
      <c r="S418" s="127">
        <v>4.5</v>
      </c>
      <c r="T418" s="121" t="s">
        <v>26</v>
      </c>
      <c r="U418" s="89">
        <v>120</v>
      </c>
      <c r="V418" s="126" t="s">
        <v>26</v>
      </c>
      <c r="AC418" s="33"/>
      <c r="AD418" s="33"/>
      <c r="AE418" s="33"/>
    </row>
    <row r="419" spans="1:31">
      <c r="A419" s="26" t="s">
        <v>473</v>
      </c>
      <c r="B419" s="8" t="s">
        <v>21</v>
      </c>
      <c r="C419" s="8" t="s">
        <v>22</v>
      </c>
      <c r="D419" s="3" t="s">
        <v>23</v>
      </c>
      <c r="E419" s="23" t="s">
        <v>31</v>
      </c>
      <c r="F419" s="16" t="s">
        <v>475</v>
      </c>
      <c r="G419" s="118">
        <v>18</v>
      </c>
      <c r="H419" s="119" t="s">
        <v>26</v>
      </c>
      <c r="I419" s="118">
        <v>7.5</v>
      </c>
      <c r="J419" s="118">
        <v>6.18</v>
      </c>
      <c r="K419" s="119" t="s">
        <v>26</v>
      </c>
      <c r="L419" s="119" t="s">
        <v>26</v>
      </c>
      <c r="M419" s="119" t="s">
        <v>26</v>
      </c>
      <c r="N419" s="119" t="s">
        <v>26</v>
      </c>
      <c r="O419" s="125" t="s">
        <v>26</v>
      </c>
      <c r="P419" s="118">
        <v>1.1000000000000001</v>
      </c>
      <c r="Q419" s="119" t="s">
        <v>26</v>
      </c>
      <c r="R419" s="119" t="s">
        <v>26</v>
      </c>
      <c r="S419" s="127">
        <v>6.5</v>
      </c>
      <c r="T419" s="121" t="s">
        <v>26</v>
      </c>
      <c r="U419" s="89">
        <v>1837</v>
      </c>
      <c r="V419" s="126" t="s">
        <v>26</v>
      </c>
      <c r="AC419" s="33"/>
      <c r="AD419" s="33"/>
      <c r="AE419" s="33"/>
    </row>
    <row r="420" spans="1:31">
      <c r="A420" s="26" t="s">
        <v>473</v>
      </c>
      <c r="B420" s="8" t="s">
        <v>211</v>
      </c>
      <c r="C420" s="8" t="s">
        <v>22</v>
      </c>
      <c r="D420" s="3" t="s">
        <v>142</v>
      </c>
      <c r="E420" s="23" t="s">
        <v>24</v>
      </c>
      <c r="F420" s="16" t="s">
        <v>476</v>
      </c>
      <c r="G420" s="118">
        <v>232</v>
      </c>
      <c r="H420" s="118">
        <v>20.5</v>
      </c>
      <c r="I420" s="119" t="s">
        <v>26</v>
      </c>
      <c r="J420" s="119" t="s">
        <v>26</v>
      </c>
      <c r="K420" s="119" t="s">
        <v>26</v>
      </c>
      <c r="L420" s="119" t="s">
        <v>26</v>
      </c>
      <c r="M420" s="118">
        <v>0.6</v>
      </c>
      <c r="N420" s="119" t="s">
        <v>26</v>
      </c>
      <c r="O420" s="125" t="s">
        <v>26</v>
      </c>
      <c r="P420" s="119" t="s">
        <v>26</v>
      </c>
      <c r="Q420" s="118">
        <v>5.6</v>
      </c>
      <c r="R420" s="118">
        <v>2.4</v>
      </c>
      <c r="S420" s="127">
        <v>0.4</v>
      </c>
      <c r="T420" s="121" t="s">
        <v>26</v>
      </c>
      <c r="U420" s="89">
        <v>396</v>
      </c>
      <c r="V420" s="126" t="s">
        <v>26</v>
      </c>
      <c r="AC420" s="33"/>
      <c r="AD420" s="33"/>
      <c r="AE420" s="33"/>
    </row>
    <row r="421" spans="1:31">
      <c r="A421" s="26" t="s">
        <v>473</v>
      </c>
      <c r="B421" s="8" t="s">
        <v>211</v>
      </c>
      <c r="C421" s="8" t="s">
        <v>22</v>
      </c>
      <c r="D421" s="3" t="s">
        <v>142</v>
      </c>
      <c r="E421" s="23" t="s">
        <v>27</v>
      </c>
      <c r="F421" s="16" t="s">
        <v>477</v>
      </c>
      <c r="G421" s="118">
        <v>110</v>
      </c>
      <c r="H421" s="118">
        <v>31.5</v>
      </c>
      <c r="I421" s="118">
        <v>2.4</v>
      </c>
      <c r="J421" s="119" t="s">
        <v>26</v>
      </c>
      <c r="K421" s="119" t="s">
        <v>26</v>
      </c>
      <c r="L421" s="119" t="s">
        <v>26</v>
      </c>
      <c r="M421" s="118">
        <v>0.5</v>
      </c>
      <c r="N421" s="119" t="s">
        <v>26</v>
      </c>
      <c r="O421" s="118">
        <v>0.7</v>
      </c>
      <c r="P421" s="119" t="s">
        <v>26</v>
      </c>
      <c r="Q421" s="118">
        <v>4.0999999999999996</v>
      </c>
      <c r="R421" s="118">
        <v>1.5</v>
      </c>
      <c r="S421" s="127">
        <v>0.9</v>
      </c>
      <c r="T421" s="121" t="s">
        <v>26</v>
      </c>
      <c r="U421" s="89">
        <v>57</v>
      </c>
      <c r="V421" s="126" t="s">
        <v>26</v>
      </c>
      <c r="AC421" s="33"/>
      <c r="AD421" s="33"/>
      <c r="AE421" s="33"/>
    </row>
    <row r="422" spans="1:31">
      <c r="A422" s="26" t="s">
        <v>473</v>
      </c>
      <c r="B422" s="8" t="s">
        <v>211</v>
      </c>
      <c r="C422" s="8" t="s">
        <v>22</v>
      </c>
      <c r="D422" s="3" t="s">
        <v>142</v>
      </c>
      <c r="E422" s="23" t="s">
        <v>29</v>
      </c>
      <c r="F422" s="16" t="s">
        <v>478</v>
      </c>
      <c r="G422" s="118">
        <v>44</v>
      </c>
      <c r="H422" s="118">
        <v>10.5</v>
      </c>
      <c r="I422" s="118">
        <v>3.5</v>
      </c>
      <c r="J422" s="118">
        <v>1.35</v>
      </c>
      <c r="K422" s="119" t="s">
        <v>26</v>
      </c>
      <c r="L422" s="119" t="s">
        <v>26</v>
      </c>
      <c r="M422" s="118">
        <v>1.2</v>
      </c>
      <c r="N422" s="119" t="s">
        <v>26</v>
      </c>
      <c r="O422" s="118">
        <v>1.6</v>
      </c>
      <c r="P422" s="119" t="s">
        <v>26</v>
      </c>
      <c r="Q422" s="118">
        <v>3.5</v>
      </c>
      <c r="R422" s="118">
        <v>1.2</v>
      </c>
      <c r="S422" s="127">
        <v>2.2000000000000002</v>
      </c>
      <c r="T422" s="121" t="s">
        <v>26</v>
      </c>
      <c r="U422" s="89">
        <v>60</v>
      </c>
      <c r="V422" s="126" t="s">
        <v>26</v>
      </c>
      <c r="AC422" s="33"/>
      <c r="AD422" s="33"/>
      <c r="AE422" s="33"/>
    </row>
    <row r="423" spans="1:31">
      <c r="A423" s="26" t="s">
        <v>473</v>
      </c>
      <c r="B423" s="8" t="s">
        <v>211</v>
      </c>
      <c r="C423" s="8" t="s">
        <v>22</v>
      </c>
      <c r="D423" s="3" t="s">
        <v>142</v>
      </c>
      <c r="E423" s="23" t="s">
        <v>31</v>
      </c>
      <c r="F423" s="16" t="s">
        <v>479</v>
      </c>
      <c r="G423" s="118">
        <v>16</v>
      </c>
      <c r="H423" s="119" t="s">
        <v>26</v>
      </c>
      <c r="I423" s="118">
        <v>3.5</v>
      </c>
      <c r="J423" s="118">
        <v>16.899999999999999</v>
      </c>
      <c r="K423" s="119" t="s">
        <v>26</v>
      </c>
      <c r="L423" s="119" t="s">
        <v>26</v>
      </c>
      <c r="M423" s="119" t="s">
        <v>26</v>
      </c>
      <c r="N423" s="119" t="s">
        <v>26</v>
      </c>
      <c r="O423" s="125" t="s">
        <v>26</v>
      </c>
      <c r="P423" s="119" t="s">
        <v>26</v>
      </c>
      <c r="Q423" s="119" t="s">
        <v>26</v>
      </c>
      <c r="R423" s="119" t="s">
        <v>26</v>
      </c>
      <c r="S423" s="127">
        <v>2.9</v>
      </c>
      <c r="T423" s="121" t="s">
        <v>26</v>
      </c>
      <c r="U423" s="89">
        <v>965</v>
      </c>
      <c r="V423" s="126" t="s">
        <v>26</v>
      </c>
      <c r="AC423" s="33"/>
      <c r="AD423" s="33"/>
      <c r="AE423" s="33"/>
    </row>
    <row r="424" spans="1:31">
      <c r="A424" s="26" t="s">
        <v>473</v>
      </c>
      <c r="B424" s="8" t="s">
        <v>98</v>
      </c>
      <c r="C424" s="8" t="s">
        <v>22</v>
      </c>
      <c r="D424" s="8" t="s">
        <v>109</v>
      </c>
      <c r="E424" s="23" t="s">
        <v>24</v>
      </c>
      <c r="F424" s="16" t="s">
        <v>480</v>
      </c>
      <c r="G424" s="118">
        <v>260</v>
      </c>
      <c r="H424" s="118">
        <v>6.5</v>
      </c>
      <c r="I424" s="119" t="s">
        <v>26</v>
      </c>
      <c r="J424" s="119" t="s">
        <v>26</v>
      </c>
      <c r="K424" s="119" t="s">
        <v>26</v>
      </c>
      <c r="L424" s="119" t="s">
        <v>26</v>
      </c>
      <c r="M424" s="118">
        <v>0.3</v>
      </c>
      <c r="N424" s="119" t="s">
        <v>26</v>
      </c>
      <c r="O424" s="125" t="s">
        <v>26</v>
      </c>
      <c r="P424" s="119" t="s">
        <v>26</v>
      </c>
      <c r="Q424" s="118">
        <v>7</v>
      </c>
      <c r="R424" s="118">
        <v>1.4</v>
      </c>
      <c r="S424" s="120" t="s">
        <v>26</v>
      </c>
      <c r="T424" s="121" t="s">
        <v>26</v>
      </c>
      <c r="U424" s="130">
        <v>396</v>
      </c>
      <c r="V424" s="89">
        <v>375</v>
      </c>
      <c r="AC424" s="33"/>
      <c r="AD424" s="33"/>
      <c r="AE424" s="33"/>
    </row>
    <row r="425" spans="1:31">
      <c r="A425" s="26" t="s">
        <v>473</v>
      </c>
      <c r="B425" s="8" t="s">
        <v>98</v>
      </c>
      <c r="C425" s="8" t="s">
        <v>22</v>
      </c>
      <c r="D425" s="8" t="s">
        <v>109</v>
      </c>
      <c r="E425" s="23" t="s">
        <v>27</v>
      </c>
      <c r="F425" s="16" t="s">
        <v>481</v>
      </c>
      <c r="G425" s="118">
        <v>116</v>
      </c>
      <c r="H425" s="118">
        <v>26.5</v>
      </c>
      <c r="I425" s="118">
        <v>3.2</v>
      </c>
      <c r="J425" s="118">
        <v>0.5</v>
      </c>
      <c r="K425" s="119" t="s">
        <v>26</v>
      </c>
      <c r="L425" s="119" t="s">
        <v>26</v>
      </c>
      <c r="M425" s="119" t="s">
        <v>26</v>
      </c>
      <c r="N425" s="119" t="s">
        <v>26</v>
      </c>
      <c r="O425" s="118">
        <v>0.5</v>
      </c>
      <c r="P425" s="118">
        <v>0.4</v>
      </c>
      <c r="Q425" s="118">
        <v>4.0999999999999996</v>
      </c>
      <c r="R425" s="118">
        <v>1.6</v>
      </c>
      <c r="S425" s="127">
        <v>1.2</v>
      </c>
      <c r="T425" s="121" t="s">
        <v>26</v>
      </c>
      <c r="U425" s="130">
        <v>19</v>
      </c>
      <c r="V425" s="89">
        <v>422</v>
      </c>
      <c r="AC425" s="33"/>
      <c r="AD425" s="33"/>
      <c r="AE425" s="33"/>
    </row>
    <row r="426" spans="1:31">
      <c r="A426" s="26" t="s">
        <v>473</v>
      </c>
      <c r="B426" s="8" t="s">
        <v>98</v>
      </c>
      <c r="C426" s="8" t="s">
        <v>22</v>
      </c>
      <c r="D426" s="8" t="s">
        <v>109</v>
      </c>
      <c r="E426" s="23" t="s">
        <v>29</v>
      </c>
      <c r="F426" s="16" t="s">
        <v>482</v>
      </c>
      <c r="G426" s="118">
        <v>36</v>
      </c>
      <c r="H426" s="118">
        <v>24.5</v>
      </c>
      <c r="I426" s="118">
        <v>3.2</v>
      </c>
      <c r="J426" s="118">
        <v>6.4</v>
      </c>
      <c r="K426" s="119" t="s">
        <v>26</v>
      </c>
      <c r="L426" s="119" t="s">
        <v>26</v>
      </c>
      <c r="M426" s="119" t="s">
        <v>26</v>
      </c>
      <c r="N426" s="119" t="s">
        <v>26</v>
      </c>
      <c r="O426" s="118">
        <v>0.9</v>
      </c>
      <c r="P426" s="118">
        <v>0.8</v>
      </c>
      <c r="Q426" s="118">
        <v>5</v>
      </c>
      <c r="R426" s="119" t="s">
        <v>26</v>
      </c>
      <c r="S426" s="127">
        <v>2.5</v>
      </c>
      <c r="T426" s="121" t="s">
        <v>26</v>
      </c>
      <c r="U426" s="130">
        <v>2950</v>
      </c>
      <c r="V426" s="89">
        <v>325</v>
      </c>
      <c r="AC426" s="33"/>
      <c r="AD426" s="33"/>
      <c r="AE426" s="33"/>
    </row>
    <row r="427" spans="1:31">
      <c r="A427" s="26" t="s">
        <v>473</v>
      </c>
      <c r="B427" s="8" t="s">
        <v>98</v>
      </c>
      <c r="C427" s="8" t="s">
        <v>22</v>
      </c>
      <c r="D427" s="8" t="s">
        <v>109</v>
      </c>
      <c r="E427" s="23" t="s">
        <v>31</v>
      </c>
      <c r="F427" s="16" t="s">
        <v>483</v>
      </c>
      <c r="G427" s="118">
        <v>17</v>
      </c>
      <c r="H427" s="119" t="s">
        <v>26</v>
      </c>
      <c r="I427" s="118">
        <v>3.6</v>
      </c>
      <c r="J427" s="118">
        <v>13.3</v>
      </c>
      <c r="K427" s="119" t="s">
        <v>26</v>
      </c>
      <c r="L427" s="119" t="s">
        <v>26</v>
      </c>
      <c r="M427" s="119" t="s">
        <v>26</v>
      </c>
      <c r="N427" s="119" t="s">
        <v>26</v>
      </c>
      <c r="O427" s="125" t="s">
        <v>26</v>
      </c>
      <c r="P427" s="119" t="s">
        <v>26</v>
      </c>
      <c r="Q427" s="119" t="s">
        <v>26</v>
      </c>
      <c r="R427" s="119" t="s">
        <v>26</v>
      </c>
      <c r="S427" s="127">
        <v>3</v>
      </c>
      <c r="T427" s="121" t="s">
        <v>26</v>
      </c>
      <c r="U427" s="130">
        <v>1375</v>
      </c>
      <c r="V427" s="89">
        <v>210</v>
      </c>
      <c r="AC427" s="33"/>
      <c r="AD427" s="33"/>
      <c r="AE427" s="33"/>
    </row>
    <row r="428" spans="1:31">
      <c r="A428" s="26" t="s">
        <v>473</v>
      </c>
      <c r="B428" s="8" t="s">
        <v>68</v>
      </c>
      <c r="C428" s="8" t="s">
        <v>22</v>
      </c>
      <c r="D428" s="3" t="s">
        <v>23</v>
      </c>
      <c r="E428" s="23" t="s">
        <v>24</v>
      </c>
      <c r="F428" s="16" t="s">
        <v>484</v>
      </c>
      <c r="G428" s="118">
        <v>252</v>
      </c>
      <c r="H428" s="118">
        <v>10.199999999999999</v>
      </c>
      <c r="I428" s="119" t="s">
        <v>26</v>
      </c>
      <c r="J428" s="119" t="s">
        <v>26</v>
      </c>
      <c r="K428" s="119" t="s">
        <v>26</v>
      </c>
      <c r="L428" s="119" t="s">
        <v>26</v>
      </c>
      <c r="M428" s="118">
        <v>0.8</v>
      </c>
      <c r="N428" s="119" t="s">
        <v>26</v>
      </c>
      <c r="O428" s="118">
        <v>0.9</v>
      </c>
      <c r="P428" s="118">
        <v>0.5</v>
      </c>
      <c r="Q428" s="118">
        <v>6.2</v>
      </c>
      <c r="R428" s="118">
        <v>1.4</v>
      </c>
      <c r="S428" s="120" t="s">
        <v>26</v>
      </c>
      <c r="T428" s="121" t="s">
        <v>26</v>
      </c>
      <c r="U428" s="89">
        <v>414</v>
      </c>
      <c r="V428" s="126" t="s">
        <v>26</v>
      </c>
      <c r="AC428" s="33"/>
      <c r="AD428" s="33"/>
      <c r="AE428" s="33"/>
    </row>
    <row r="429" spans="1:31">
      <c r="A429" s="26" t="s">
        <v>473</v>
      </c>
      <c r="B429" s="8" t="s">
        <v>68</v>
      </c>
      <c r="C429" s="8" t="s">
        <v>22</v>
      </c>
      <c r="D429" s="3" t="s">
        <v>23</v>
      </c>
      <c r="E429" s="23" t="s">
        <v>27</v>
      </c>
      <c r="F429" s="16" t="s">
        <v>485</v>
      </c>
      <c r="G429" s="118">
        <v>108</v>
      </c>
      <c r="H429" s="118">
        <v>30.5</v>
      </c>
      <c r="I429" s="118">
        <v>1.9</v>
      </c>
      <c r="J429" s="119" t="s">
        <v>26</v>
      </c>
      <c r="K429" s="119" t="s">
        <v>26</v>
      </c>
      <c r="L429" s="118">
        <v>0.4</v>
      </c>
      <c r="M429" s="118">
        <v>0.8</v>
      </c>
      <c r="N429" s="119" t="s">
        <v>26</v>
      </c>
      <c r="O429" s="118">
        <v>1.5</v>
      </c>
      <c r="P429" s="118">
        <v>0.9</v>
      </c>
      <c r="Q429" s="118">
        <v>4.0999999999999996</v>
      </c>
      <c r="R429" s="118">
        <v>0.8</v>
      </c>
      <c r="S429" s="127">
        <v>2.5</v>
      </c>
      <c r="T429" s="121" t="s">
        <v>26</v>
      </c>
      <c r="U429" s="89">
        <v>95</v>
      </c>
      <c r="V429" s="126" t="s">
        <v>26</v>
      </c>
      <c r="AC429" s="33"/>
      <c r="AD429" s="33"/>
      <c r="AE429" s="33"/>
    </row>
    <row r="430" spans="1:31">
      <c r="A430" s="26" t="s">
        <v>473</v>
      </c>
      <c r="B430" s="8" t="s">
        <v>68</v>
      </c>
      <c r="C430" s="8" t="s">
        <v>22</v>
      </c>
      <c r="D430" s="3" t="s">
        <v>23</v>
      </c>
      <c r="E430" s="23" t="s">
        <v>29</v>
      </c>
      <c r="F430" s="16" t="s">
        <v>486</v>
      </c>
      <c r="G430" s="118">
        <v>45</v>
      </c>
      <c r="H430" s="118">
        <v>14.5</v>
      </c>
      <c r="I430" s="118">
        <v>9.1999999999999993</v>
      </c>
      <c r="J430" s="118">
        <v>1.88</v>
      </c>
      <c r="K430" s="119" t="s">
        <v>26</v>
      </c>
      <c r="L430" s="119" t="s">
        <v>26</v>
      </c>
      <c r="M430" s="118">
        <v>1.5</v>
      </c>
      <c r="N430" s="119" t="s">
        <v>26</v>
      </c>
      <c r="O430" s="118">
        <v>2.8</v>
      </c>
      <c r="P430" s="118">
        <v>1</v>
      </c>
      <c r="Q430" s="118">
        <v>3.1</v>
      </c>
      <c r="R430" s="119" t="s">
        <v>26</v>
      </c>
      <c r="S430" s="127">
        <v>6.2</v>
      </c>
      <c r="T430" s="121" t="s">
        <v>26</v>
      </c>
      <c r="U430" s="89">
        <v>120</v>
      </c>
      <c r="V430" s="126" t="s">
        <v>26</v>
      </c>
      <c r="AC430" s="33"/>
      <c r="AD430" s="33"/>
      <c r="AE430" s="33"/>
    </row>
    <row r="431" spans="1:31">
      <c r="A431" s="26" t="s">
        <v>473</v>
      </c>
      <c r="B431" s="8" t="s">
        <v>68</v>
      </c>
      <c r="C431" s="8" t="s">
        <v>22</v>
      </c>
      <c r="D431" s="3" t="s">
        <v>23</v>
      </c>
      <c r="E431" s="23" t="s">
        <v>31</v>
      </c>
      <c r="F431" s="16" t="s">
        <v>485</v>
      </c>
      <c r="G431" s="118">
        <v>18</v>
      </c>
      <c r="H431" s="119" t="s">
        <v>26</v>
      </c>
      <c r="I431" s="118">
        <v>8.5</v>
      </c>
      <c r="J431" s="118">
        <v>6.2</v>
      </c>
      <c r="K431" s="119" t="s">
        <v>26</v>
      </c>
      <c r="L431" s="119" t="s">
        <v>26</v>
      </c>
      <c r="M431" s="119" t="s">
        <v>26</v>
      </c>
      <c r="N431" s="119" t="s">
        <v>26</v>
      </c>
      <c r="O431" s="118">
        <v>2</v>
      </c>
      <c r="P431" s="118">
        <v>0.9</v>
      </c>
      <c r="Q431" s="119" t="s">
        <v>26</v>
      </c>
      <c r="R431" s="119" t="s">
        <v>26</v>
      </c>
      <c r="S431" s="127">
        <v>9.5</v>
      </c>
      <c r="T431" s="121" t="s">
        <v>26</v>
      </c>
      <c r="U431" s="123" t="s">
        <v>26</v>
      </c>
      <c r="V431" s="126" t="s">
        <v>26</v>
      </c>
      <c r="AC431" s="33"/>
      <c r="AD431" s="33"/>
      <c r="AE431" s="33"/>
    </row>
    <row r="432" spans="1:31">
      <c r="A432" s="26" t="s">
        <v>473</v>
      </c>
      <c r="B432" s="8" t="s">
        <v>68</v>
      </c>
      <c r="C432" s="8" t="s">
        <v>22</v>
      </c>
      <c r="D432" s="3" t="s">
        <v>23</v>
      </c>
      <c r="E432" s="25" t="s">
        <v>131</v>
      </c>
      <c r="F432" s="16" t="s">
        <v>262</v>
      </c>
      <c r="G432" s="118">
        <v>12</v>
      </c>
      <c r="H432" s="118">
        <v>16.5</v>
      </c>
      <c r="I432" s="118">
        <v>2</v>
      </c>
      <c r="J432" s="118">
        <v>28.8</v>
      </c>
      <c r="K432" s="119" t="s">
        <v>26</v>
      </c>
      <c r="L432" s="118">
        <v>1.8</v>
      </c>
      <c r="M432" s="119" t="s">
        <v>26</v>
      </c>
      <c r="N432" s="119" t="s">
        <v>26</v>
      </c>
      <c r="O432" s="125" t="s">
        <v>26</v>
      </c>
      <c r="P432" s="119" t="s">
        <v>26</v>
      </c>
      <c r="Q432" s="119" t="s">
        <v>26</v>
      </c>
      <c r="R432" s="119" t="s">
        <v>26</v>
      </c>
      <c r="S432" s="127">
        <v>30.5</v>
      </c>
      <c r="T432" s="121" t="s">
        <v>26</v>
      </c>
      <c r="U432" s="89">
        <v>140</v>
      </c>
      <c r="V432" s="126" t="s">
        <v>26</v>
      </c>
      <c r="AC432" s="33"/>
      <c r="AD432" s="33"/>
      <c r="AE432" s="33"/>
    </row>
    <row r="433" spans="1:31">
      <c r="A433" s="26" t="s">
        <v>473</v>
      </c>
      <c r="B433" s="8" t="s">
        <v>487</v>
      </c>
      <c r="C433" s="8" t="s">
        <v>22</v>
      </c>
      <c r="D433" s="8" t="s">
        <v>109</v>
      </c>
      <c r="E433" s="23" t="s">
        <v>24</v>
      </c>
      <c r="F433" s="15" t="s">
        <v>488</v>
      </c>
      <c r="G433" s="118">
        <v>248</v>
      </c>
      <c r="H433" s="118">
        <v>13.5</v>
      </c>
      <c r="I433" s="119" t="s">
        <v>26</v>
      </c>
      <c r="J433" s="119" t="s">
        <v>26</v>
      </c>
      <c r="K433" s="119" t="s">
        <v>26</v>
      </c>
      <c r="L433" s="119" t="s">
        <v>26</v>
      </c>
      <c r="M433" s="118">
        <v>0.8</v>
      </c>
      <c r="N433" s="119" t="s">
        <v>26</v>
      </c>
      <c r="O433" s="118">
        <v>1.5</v>
      </c>
      <c r="P433" s="118">
        <v>1.4</v>
      </c>
      <c r="Q433" s="118">
        <v>5.5</v>
      </c>
      <c r="R433" s="118">
        <v>2.5</v>
      </c>
      <c r="S433" s="120" t="s">
        <v>26</v>
      </c>
      <c r="T433" s="121" t="s">
        <v>26</v>
      </c>
      <c r="U433" s="130">
        <v>354</v>
      </c>
      <c r="V433" s="126" t="s">
        <v>26</v>
      </c>
      <c r="AC433" s="33"/>
      <c r="AD433" s="33"/>
      <c r="AE433" s="33"/>
    </row>
    <row r="434" spans="1:31">
      <c r="A434" s="26" t="s">
        <v>473</v>
      </c>
      <c r="B434" s="8" t="s">
        <v>487</v>
      </c>
      <c r="C434" s="8" t="s">
        <v>22</v>
      </c>
      <c r="D434" s="8" t="s">
        <v>109</v>
      </c>
      <c r="E434" s="23" t="s">
        <v>27</v>
      </c>
      <c r="F434" s="15" t="s">
        <v>489</v>
      </c>
      <c r="G434" s="118">
        <v>110</v>
      </c>
      <c r="H434" s="118">
        <v>29.5</v>
      </c>
      <c r="I434" s="118">
        <v>2</v>
      </c>
      <c r="J434" s="118">
        <v>0.5</v>
      </c>
      <c r="K434" s="118">
        <v>0.5</v>
      </c>
      <c r="L434" s="119" t="s">
        <v>26</v>
      </c>
      <c r="M434" s="118">
        <v>1</v>
      </c>
      <c r="N434" s="119" t="s">
        <v>26</v>
      </c>
      <c r="O434" s="118">
        <v>4.5</v>
      </c>
      <c r="P434" s="118">
        <v>2.9</v>
      </c>
      <c r="Q434" s="118">
        <v>2.6</v>
      </c>
      <c r="R434" s="118">
        <v>2</v>
      </c>
      <c r="S434" s="127">
        <v>1.5</v>
      </c>
      <c r="T434" s="121" t="s">
        <v>26</v>
      </c>
      <c r="U434" s="130">
        <v>76</v>
      </c>
      <c r="V434" s="126" t="s">
        <v>26</v>
      </c>
      <c r="AC434" s="33"/>
      <c r="AD434" s="33"/>
      <c r="AE434" s="33"/>
    </row>
    <row r="435" spans="1:31">
      <c r="A435" s="26" t="s">
        <v>473</v>
      </c>
      <c r="B435" s="8" t="s">
        <v>487</v>
      </c>
      <c r="C435" s="8" t="s">
        <v>22</v>
      </c>
      <c r="D435" s="8" t="s">
        <v>109</v>
      </c>
      <c r="E435" s="23" t="s">
        <v>29</v>
      </c>
      <c r="F435" s="15" t="s">
        <v>490</v>
      </c>
      <c r="G435" s="118">
        <v>33</v>
      </c>
      <c r="H435" s="118">
        <v>38.5</v>
      </c>
      <c r="I435" s="118">
        <v>7.2</v>
      </c>
      <c r="J435" s="118">
        <v>6.78</v>
      </c>
      <c r="K435" s="118">
        <v>0.7</v>
      </c>
      <c r="L435" s="119" t="s">
        <v>26</v>
      </c>
      <c r="M435" s="118">
        <v>1.2</v>
      </c>
      <c r="N435" s="119" t="s">
        <v>26</v>
      </c>
      <c r="O435" s="118">
        <v>4.8</v>
      </c>
      <c r="P435" s="118">
        <v>1.5</v>
      </c>
      <c r="Q435" s="118">
        <v>3.2</v>
      </c>
      <c r="R435" s="119" t="s">
        <v>26</v>
      </c>
      <c r="S435" s="127">
        <v>6.5</v>
      </c>
      <c r="T435" s="121" t="s">
        <v>26</v>
      </c>
      <c r="U435" s="130">
        <v>3159</v>
      </c>
      <c r="V435" s="126" t="s">
        <v>26</v>
      </c>
      <c r="AC435" s="33"/>
      <c r="AD435" s="33"/>
      <c r="AE435" s="33"/>
    </row>
    <row r="436" spans="1:31">
      <c r="A436" s="26" t="s">
        <v>473</v>
      </c>
      <c r="B436" s="8" t="s">
        <v>487</v>
      </c>
      <c r="C436" s="8" t="s">
        <v>22</v>
      </c>
      <c r="D436" s="8" t="s">
        <v>109</v>
      </c>
      <c r="E436" s="23" t="s">
        <v>31</v>
      </c>
      <c r="F436" s="15" t="s">
        <v>491</v>
      </c>
      <c r="G436" s="118">
        <v>10</v>
      </c>
      <c r="H436" s="119" t="s">
        <v>26</v>
      </c>
      <c r="I436" s="119" t="s">
        <v>26</v>
      </c>
      <c r="J436" s="118">
        <v>8.6</v>
      </c>
      <c r="K436" s="119" t="s">
        <v>26</v>
      </c>
      <c r="L436" s="119" t="s">
        <v>26</v>
      </c>
      <c r="M436" s="119" t="s">
        <v>26</v>
      </c>
      <c r="N436" s="119" t="s">
        <v>26</v>
      </c>
      <c r="O436" s="118">
        <v>1.6</v>
      </c>
      <c r="P436" s="119" t="s">
        <v>26</v>
      </c>
      <c r="Q436" s="119" t="s">
        <v>26</v>
      </c>
      <c r="R436" s="119" t="s">
        <v>26</v>
      </c>
      <c r="S436" s="127">
        <v>8.5</v>
      </c>
      <c r="T436" s="121" t="s">
        <v>26</v>
      </c>
      <c r="U436" s="130">
        <v>618</v>
      </c>
      <c r="V436" s="126" t="s">
        <v>26</v>
      </c>
      <c r="AC436" s="33"/>
      <c r="AD436" s="33"/>
      <c r="AE436" s="33"/>
    </row>
    <row r="437" spans="1:31">
      <c r="A437" s="26" t="s">
        <v>492</v>
      </c>
      <c r="B437" s="8" t="s">
        <v>373</v>
      </c>
      <c r="C437" s="8" t="s">
        <v>22</v>
      </c>
      <c r="D437" s="3" t="s">
        <v>33</v>
      </c>
      <c r="E437" s="25" t="s">
        <v>27</v>
      </c>
      <c r="F437" s="15" t="s">
        <v>282</v>
      </c>
      <c r="G437" s="118">
        <v>128</v>
      </c>
      <c r="H437" s="118">
        <v>28.6</v>
      </c>
      <c r="I437" s="118">
        <v>17.2</v>
      </c>
      <c r="J437" s="119" t="s">
        <v>26</v>
      </c>
      <c r="K437" s="119" t="s">
        <v>26</v>
      </c>
      <c r="L437" s="119" t="s">
        <v>26</v>
      </c>
      <c r="M437" s="119" t="s">
        <v>26</v>
      </c>
      <c r="N437" s="119" t="s">
        <v>26</v>
      </c>
      <c r="O437" s="125" t="s">
        <v>26</v>
      </c>
      <c r="P437" s="119" t="s">
        <v>26</v>
      </c>
      <c r="Q437" s="118">
        <v>3.5</v>
      </c>
      <c r="R437" s="118">
        <v>1.6</v>
      </c>
      <c r="S437" s="120" t="s">
        <v>26</v>
      </c>
      <c r="T437" s="121" t="s">
        <v>26</v>
      </c>
      <c r="U437" s="123" t="s">
        <v>26</v>
      </c>
      <c r="V437" s="126" t="s">
        <v>26</v>
      </c>
      <c r="AC437" s="33"/>
      <c r="AD437" s="33"/>
      <c r="AE437" s="33"/>
    </row>
    <row r="438" spans="1:31">
      <c r="A438" s="26" t="s">
        <v>492</v>
      </c>
      <c r="B438" s="8" t="s">
        <v>373</v>
      </c>
      <c r="C438" s="8" t="s">
        <v>22</v>
      </c>
      <c r="D438" s="3" t="s">
        <v>33</v>
      </c>
      <c r="E438" s="25" t="s">
        <v>71</v>
      </c>
      <c r="F438" s="15" t="s">
        <v>493</v>
      </c>
      <c r="G438" s="118">
        <v>96</v>
      </c>
      <c r="H438" s="118">
        <v>44.5</v>
      </c>
      <c r="I438" s="118">
        <v>33.5</v>
      </c>
      <c r="J438" s="119" t="s">
        <v>26</v>
      </c>
      <c r="K438" s="119" t="s">
        <v>26</v>
      </c>
      <c r="L438" s="119" t="s">
        <v>26</v>
      </c>
      <c r="M438" s="118">
        <v>0.4</v>
      </c>
      <c r="N438" s="119" t="s">
        <v>26</v>
      </c>
      <c r="O438" s="125" t="s">
        <v>26</v>
      </c>
      <c r="P438" s="119" t="s">
        <v>26</v>
      </c>
      <c r="Q438" s="118">
        <v>2.5</v>
      </c>
      <c r="R438" s="118">
        <v>2</v>
      </c>
      <c r="S438" s="127">
        <v>1.2</v>
      </c>
      <c r="T438" s="121" t="s">
        <v>26</v>
      </c>
      <c r="U438" s="123" t="s">
        <v>26</v>
      </c>
      <c r="V438" s="89">
        <v>124</v>
      </c>
      <c r="AC438" s="33"/>
      <c r="AD438" s="33"/>
      <c r="AE438" s="33"/>
    </row>
    <row r="439" spans="1:31">
      <c r="A439" s="26" t="s">
        <v>492</v>
      </c>
      <c r="B439" s="8" t="s">
        <v>373</v>
      </c>
      <c r="C439" s="8" t="s">
        <v>22</v>
      </c>
      <c r="D439" s="3" t="s">
        <v>33</v>
      </c>
      <c r="E439" s="25" t="s">
        <v>29</v>
      </c>
      <c r="F439" s="15" t="s">
        <v>494</v>
      </c>
      <c r="G439" s="118">
        <v>55</v>
      </c>
      <c r="H439" s="118">
        <v>7.5</v>
      </c>
      <c r="I439" s="118">
        <v>21.2</v>
      </c>
      <c r="J439" s="118">
        <v>1.6</v>
      </c>
      <c r="K439" s="119" t="s">
        <v>26</v>
      </c>
      <c r="L439" s="119" t="s">
        <v>26</v>
      </c>
      <c r="M439" s="119" t="s">
        <v>26</v>
      </c>
      <c r="N439" s="119" t="s">
        <v>26</v>
      </c>
      <c r="O439" s="118">
        <v>1.2</v>
      </c>
      <c r="P439" s="119" t="s">
        <v>26</v>
      </c>
      <c r="Q439" s="119" t="s">
        <v>26</v>
      </c>
      <c r="R439" s="118">
        <v>1.4</v>
      </c>
      <c r="S439" s="127">
        <v>1.6</v>
      </c>
      <c r="T439" s="121" t="s">
        <v>26</v>
      </c>
      <c r="U439" s="130">
        <v>2294</v>
      </c>
      <c r="V439" s="126" t="s">
        <v>26</v>
      </c>
      <c r="AC439" s="33"/>
      <c r="AD439" s="33"/>
      <c r="AE439" s="33"/>
    </row>
    <row r="440" spans="1:31">
      <c r="A440" s="26" t="s">
        <v>492</v>
      </c>
      <c r="B440" s="8" t="s">
        <v>373</v>
      </c>
      <c r="C440" s="8" t="s">
        <v>22</v>
      </c>
      <c r="D440" s="3" t="s">
        <v>33</v>
      </c>
      <c r="E440" s="25" t="s">
        <v>31</v>
      </c>
      <c r="F440" s="15" t="s">
        <v>495</v>
      </c>
      <c r="G440" s="118">
        <v>17</v>
      </c>
      <c r="H440" s="119" t="s">
        <v>26</v>
      </c>
      <c r="I440" s="118">
        <v>7.5</v>
      </c>
      <c r="J440" s="118">
        <v>5.5</v>
      </c>
      <c r="K440" s="119" t="s">
        <v>26</v>
      </c>
      <c r="L440" s="119" t="s">
        <v>26</v>
      </c>
      <c r="M440" s="119" t="s">
        <v>26</v>
      </c>
      <c r="N440" s="119" t="s">
        <v>26</v>
      </c>
      <c r="O440" s="118">
        <v>0.5</v>
      </c>
      <c r="P440" s="119" t="s">
        <v>26</v>
      </c>
      <c r="Q440" s="119" t="s">
        <v>26</v>
      </c>
      <c r="R440" s="119" t="s">
        <v>26</v>
      </c>
      <c r="S440" s="127">
        <v>2.4</v>
      </c>
      <c r="T440" s="121" t="s">
        <v>26</v>
      </c>
      <c r="U440" s="130">
        <v>692</v>
      </c>
      <c r="V440" s="126" t="s">
        <v>26</v>
      </c>
      <c r="AC440" s="33"/>
      <c r="AD440" s="33"/>
      <c r="AE440" s="33"/>
    </row>
    <row r="441" spans="1:31">
      <c r="A441" s="26" t="s">
        <v>492</v>
      </c>
      <c r="B441" s="8" t="s">
        <v>108</v>
      </c>
      <c r="C441" s="8" t="s">
        <v>22</v>
      </c>
      <c r="D441" s="8" t="s">
        <v>109</v>
      </c>
      <c r="E441" s="23" t="s">
        <v>24</v>
      </c>
      <c r="F441" s="15" t="s">
        <v>60</v>
      </c>
      <c r="G441" s="118">
        <v>252</v>
      </c>
      <c r="H441" s="118">
        <v>9.5</v>
      </c>
      <c r="I441" s="119" t="s">
        <v>26</v>
      </c>
      <c r="J441" s="119" t="s">
        <v>26</v>
      </c>
      <c r="K441" s="119" t="s">
        <v>26</v>
      </c>
      <c r="L441" s="119" t="s">
        <v>26</v>
      </c>
      <c r="M441" s="119" t="s">
        <v>26</v>
      </c>
      <c r="N441" s="119" t="s">
        <v>26</v>
      </c>
      <c r="O441" s="118">
        <v>1.4</v>
      </c>
      <c r="P441" s="118">
        <v>1.4</v>
      </c>
      <c r="Q441" s="119" t="s">
        <v>26</v>
      </c>
      <c r="R441" s="118">
        <v>1.5</v>
      </c>
      <c r="S441" s="127">
        <v>0.5</v>
      </c>
      <c r="T441" s="121" t="s">
        <v>26</v>
      </c>
      <c r="U441" s="130">
        <v>980</v>
      </c>
      <c r="V441" s="89">
        <v>741</v>
      </c>
      <c r="AC441" s="33"/>
      <c r="AD441" s="33"/>
      <c r="AE441" s="33"/>
    </row>
    <row r="442" spans="1:31">
      <c r="A442" s="26" t="s">
        <v>492</v>
      </c>
      <c r="B442" s="8" t="s">
        <v>108</v>
      </c>
      <c r="C442" s="8" t="s">
        <v>22</v>
      </c>
      <c r="D442" s="8" t="s">
        <v>109</v>
      </c>
      <c r="E442" s="23" t="s">
        <v>27</v>
      </c>
      <c r="F442" s="15" t="s">
        <v>475</v>
      </c>
      <c r="G442" s="118">
        <v>110</v>
      </c>
      <c r="H442" s="118">
        <v>29.5</v>
      </c>
      <c r="I442" s="118">
        <v>1.4</v>
      </c>
      <c r="J442" s="118">
        <v>0.8</v>
      </c>
      <c r="K442" s="119" t="s">
        <v>26</v>
      </c>
      <c r="L442" s="118">
        <v>0.4</v>
      </c>
      <c r="M442" s="119" t="s">
        <v>26</v>
      </c>
      <c r="N442" s="119" t="s">
        <v>26</v>
      </c>
      <c r="O442" s="118">
        <v>3.5</v>
      </c>
      <c r="P442" s="118">
        <v>1.6</v>
      </c>
      <c r="Q442" s="119" t="s">
        <v>26</v>
      </c>
      <c r="R442" s="118">
        <v>1.4</v>
      </c>
      <c r="S442" s="127">
        <v>1.9</v>
      </c>
      <c r="T442" s="121" t="s">
        <v>26</v>
      </c>
      <c r="U442" s="130">
        <v>240</v>
      </c>
      <c r="V442" s="89">
        <v>295</v>
      </c>
      <c r="AC442" s="33"/>
      <c r="AD442" s="33"/>
      <c r="AE442" s="33"/>
    </row>
    <row r="443" spans="1:31">
      <c r="A443" s="26" t="s">
        <v>492</v>
      </c>
      <c r="B443" s="8" t="s">
        <v>108</v>
      </c>
      <c r="C443" s="8" t="s">
        <v>22</v>
      </c>
      <c r="D443" s="8" t="s">
        <v>109</v>
      </c>
      <c r="E443" s="23" t="s">
        <v>29</v>
      </c>
      <c r="F443" s="15" t="s">
        <v>496</v>
      </c>
      <c r="G443" s="118">
        <v>35</v>
      </c>
      <c r="H443" s="118">
        <v>16.5</v>
      </c>
      <c r="I443" s="118">
        <v>5.6</v>
      </c>
      <c r="J443" s="118">
        <v>10.1</v>
      </c>
      <c r="K443" s="118">
        <v>0.6</v>
      </c>
      <c r="L443" s="118">
        <v>0.5</v>
      </c>
      <c r="M443" s="118">
        <v>1.1000000000000001</v>
      </c>
      <c r="N443" s="119" t="s">
        <v>26</v>
      </c>
      <c r="O443" s="118">
        <v>3.9</v>
      </c>
      <c r="P443" s="118">
        <v>2</v>
      </c>
      <c r="Q443" s="119" t="s">
        <v>26</v>
      </c>
      <c r="R443" s="118">
        <v>2.6</v>
      </c>
      <c r="S443" s="127">
        <v>2.9</v>
      </c>
      <c r="T443" s="121" t="s">
        <v>26</v>
      </c>
      <c r="U443" s="130">
        <v>3026</v>
      </c>
      <c r="V443" s="89">
        <v>782</v>
      </c>
      <c r="AC443" s="33"/>
      <c r="AD443" s="33"/>
      <c r="AE443" s="33"/>
    </row>
    <row r="444" spans="1:31">
      <c r="A444" s="26" t="s">
        <v>492</v>
      </c>
      <c r="B444" s="8" t="s">
        <v>108</v>
      </c>
      <c r="C444" s="8" t="s">
        <v>22</v>
      </c>
      <c r="D444" s="8" t="s">
        <v>109</v>
      </c>
      <c r="E444" s="23" t="s">
        <v>31</v>
      </c>
      <c r="F444" s="15" t="s">
        <v>324</v>
      </c>
      <c r="G444" s="118">
        <v>12</v>
      </c>
      <c r="H444" s="119" t="s">
        <v>26</v>
      </c>
      <c r="I444" s="119" t="s">
        <v>26</v>
      </c>
      <c r="J444" s="118">
        <v>21.5</v>
      </c>
      <c r="K444" s="119" t="s">
        <v>26</v>
      </c>
      <c r="L444" s="119" t="s">
        <v>26</v>
      </c>
      <c r="M444" s="119" t="s">
        <v>26</v>
      </c>
      <c r="N444" s="119" t="s">
        <v>26</v>
      </c>
      <c r="O444" s="118">
        <v>2.4</v>
      </c>
      <c r="P444" s="119" t="s">
        <v>26</v>
      </c>
      <c r="Q444" s="119" t="s">
        <v>26</v>
      </c>
      <c r="R444" s="119" t="s">
        <v>26</v>
      </c>
      <c r="S444" s="127">
        <v>3.5</v>
      </c>
      <c r="T444" s="121" t="s">
        <v>26</v>
      </c>
      <c r="U444" s="130">
        <v>589</v>
      </c>
      <c r="V444" s="89">
        <v>251</v>
      </c>
      <c r="AC444" s="33"/>
      <c r="AD444" s="33"/>
      <c r="AE444" s="33"/>
    </row>
    <row r="445" spans="1:31">
      <c r="A445" s="26" t="s">
        <v>492</v>
      </c>
      <c r="B445" s="8" t="s">
        <v>457</v>
      </c>
      <c r="C445" s="8" t="s">
        <v>22</v>
      </c>
      <c r="D445" s="3" t="s">
        <v>23</v>
      </c>
      <c r="E445" s="23" t="s">
        <v>24</v>
      </c>
      <c r="F445" s="15" t="s">
        <v>497</v>
      </c>
      <c r="G445" s="118">
        <v>232</v>
      </c>
      <c r="H445" s="118">
        <v>12.4</v>
      </c>
      <c r="I445" s="119" t="s">
        <v>26</v>
      </c>
      <c r="J445" s="119" t="s">
        <v>26</v>
      </c>
      <c r="K445" s="119" t="s">
        <v>26</v>
      </c>
      <c r="L445" s="118">
        <v>0.4</v>
      </c>
      <c r="M445" s="119" t="s">
        <v>26</v>
      </c>
      <c r="N445" s="119" t="s">
        <v>26</v>
      </c>
      <c r="O445" s="118">
        <v>2.2000000000000002</v>
      </c>
      <c r="P445" s="119" t="s">
        <v>26</v>
      </c>
      <c r="Q445" s="118">
        <v>1.1000000000000001</v>
      </c>
      <c r="R445" s="119" t="s">
        <v>26</v>
      </c>
      <c r="S445" s="120" t="s">
        <v>26</v>
      </c>
      <c r="T445" s="121" t="s">
        <v>26</v>
      </c>
      <c r="U445" s="89">
        <v>288</v>
      </c>
      <c r="V445" s="126" t="s">
        <v>26</v>
      </c>
      <c r="AC445" s="33"/>
      <c r="AD445" s="33"/>
      <c r="AE445" s="33"/>
    </row>
    <row r="446" spans="1:31">
      <c r="A446" s="26" t="s">
        <v>492</v>
      </c>
      <c r="B446" s="8" t="s">
        <v>457</v>
      </c>
      <c r="C446" s="8" t="s">
        <v>22</v>
      </c>
      <c r="D446" s="3" t="s">
        <v>23</v>
      </c>
      <c r="E446" s="23" t="s">
        <v>27</v>
      </c>
      <c r="F446" s="15" t="s">
        <v>498</v>
      </c>
      <c r="G446" s="118">
        <v>98</v>
      </c>
      <c r="H446" s="118">
        <v>44.5</v>
      </c>
      <c r="I446" s="118">
        <v>3.8</v>
      </c>
      <c r="J446" s="119" t="s">
        <v>26</v>
      </c>
      <c r="K446" s="119" t="s">
        <v>26</v>
      </c>
      <c r="L446" s="118">
        <v>0.5</v>
      </c>
      <c r="M446" s="119" t="s">
        <v>26</v>
      </c>
      <c r="N446" s="119" t="s">
        <v>26</v>
      </c>
      <c r="O446" s="118">
        <v>3.8</v>
      </c>
      <c r="P446" s="119" t="s">
        <v>26</v>
      </c>
      <c r="Q446" s="118">
        <v>2</v>
      </c>
      <c r="R446" s="119" t="s">
        <v>26</v>
      </c>
      <c r="S446" s="120" t="s">
        <v>26</v>
      </c>
      <c r="T446" s="121" t="s">
        <v>26</v>
      </c>
      <c r="U446" s="123" t="s">
        <v>26</v>
      </c>
      <c r="V446" s="126" t="s">
        <v>26</v>
      </c>
      <c r="AC446" s="33"/>
      <c r="AD446" s="33"/>
      <c r="AE446" s="33"/>
    </row>
    <row r="447" spans="1:31">
      <c r="A447" s="26" t="s">
        <v>492</v>
      </c>
      <c r="B447" s="8" t="s">
        <v>457</v>
      </c>
      <c r="C447" s="8" t="s">
        <v>22</v>
      </c>
      <c r="D447" s="3" t="s">
        <v>23</v>
      </c>
      <c r="E447" s="23" t="s">
        <v>29</v>
      </c>
      <c r="F447" s="15" t="s">
        <v>499</v>
      </c>
      <c r="G447" s="118">
        <v>45</v>
      </c>
      <c r="H447" s="118">
        <v>22.5</v>
      </c>
      <c r="I447" s="118">
        <v>15.4</v>
      </c>
      <c r="J447" s="118">
        <v>4.7</v>
      </c>
      <c r="K447" s="119" t="s">
        <v>26</v>
      </c>
      <c r="L447" s="119" t="s">
        <v>26</v>
      </c>
      <c r="M447" s="119" t="s">
        <v>26</v>
      </c>
      <c r="N447" s="119" t="s">
        <v>26</v>
      </c>
      <c r="O447" s="118">
        <v>17.5</v>
      </c>
      <c r="P447" s="119" t="s">
        <v>26</v>
      </c>
      <c r="Q447" s="119" t="s">
        <v>26</v>
      </c>
      <c r="R447" s="119" t="s">
        <v>26</v>
      </c>
      <c r="S447" s="120" t="s">
        <v>26</v>
      </c>
      <c r="T447" s="121" t="s">
        <v>26</v>
      </c>
      <c r="U447" s="89">
        <v>2780</v>
      </c>
      <c r="V447" s="126" t="s">
        <v>26</v>
      </c>
      <c r="AC447" s="33"/>
      <c r="AD447" s="33"/>
      <c r="AE447" s="33"/>
    </row>
    <row r="448" spans="1:31">
      <c r="A448" s="26" t="s">
        <v>492</v>
      </c>
      <c r="B448" s="8" t="s">
        <v>457</v>
      </c>
      <c r="C448" s="8" t="s">
        <v>22</v>
      </c>
      <c r="D448" s="3" t="s">
        <v>23</v>
      </c>
      <c r="E448" s="23" t="s">
        <v>31</v>
      </c>
      <c r="F448" s="15" t="s">
        <v>500</v>
      </c>
      <c r="G448" s="118">
        <v>17</v>
      </c>
      <c r="H448" s="119" t="s">
        <v>26</v>
      </c>
      <c r="I448" s="118">
        <v>11.5</v>
      </c>
      <c r="J448" s="118">
        <v>12.8</v>
      </c>
      <c r="K448" s="119" t="s">
        <v>26</v>
      </c>
      <c r="L448" s="119" t="s">
        <v>26</v>
      </c>
      <c r="M448" s="119" t="s">
        <v>26</v>
      </c>
      <c r="N448" s="119" t="s">
        <v>26</v>
      </c>
      <c r="O448" s="118">
        <v>7.6</v>
      </c>
      <c r="P448" s="119" t="s">
        <v>26</v>
      </c>
      <c r="Q448" s="119" t="s">
        <v>26</v>
      </c>
      <c r="R448" s="119" t="s">
        <v>26</v>
      </c>
      <c r="S448" s="120" t="s">
        <v>26</v>
      </c>
      <c r="T448" s="121" t="s">
        <v>26</v>
      </c>
      <c r="U448" s="89">
        <v>992</v>
      </c>
      <c r="V448" s="126" t="s">
        <v>26</v>
      </c>
      <c r="AC448" s="33"/>
      <c r="AD448" s="33"/>
      <c r="AE448" s="33"/>
    </row>
    <row r="449" spans="1:31">
      <c r="A449" s="26" t="s">
        <v>492</v>
      </c>
      <c r="B449" s="8" t="s">
        <v>89</v>
      </c>
      <c r="C449" s="8" t="s">
        <v>22</v>
      </c>
      <c r="D449" s="3" t="s">
        <v>23</v>
      </c>
      <c r="E449" s="23" t="s">
        <v>24</v>
      </c>
      <c r="F449" s="15" t="s">
        <v>501</v>
      </c>
      <c r="G449" s="118">
        <v>248</v>
      </c>
      <c r="H449" s="118">
        <v>9.4</v>
      </c>
      <c r="I449" s="119" t="s">
        <v>26</v>
      </c>
      <c r="J449" s="119" t="s">
        <v>26</v>
      </c>
      <c r="K449" s="119" t="s">
        <v>26</v>
      </c>
      <c r="L449" s="119" t="s">
        <v>26</v>
      </c>
      <c r="M449" s="118">
        <v>5.8</v>
      </c>
      <c r="N449" s="119" t="s">
        <v>26</v>
      </c>
      <c r="O449" s="118">
        <v>3.1</v>
      </c>
      <c r="P449" s="118">
        <v>2</v>
      </c>
      <c r="Q449" s="119" t="s">
        <v>26</v>
      </c>
      <c r="R449" s="119" t="s">
        <v>26</v>
      </c>
      <c r="S449" s="120" t="s">
        <v>26</v>
      </c>
      <c r="T449" s="121" t="s">
        <v>26</v>
      </c>
      <c r="U449" s="89">
        <v>360</v>
      </c>
      <c r="V449" s="126" t="s">
        <v>26</v>
      </c>
      <c r="AC449" s="33"/>
      <c r="AD449" s="33"/>
      <c r="AE449" s="33"/>
    </row>
    <row r="450" spans="1:31">
      <c r="A450" s="26" t="s">
        <v>492</v>
      </c>
      <c r="B450" s="8" t="s">
        <v>89</v>
      </c>
      <c r="C450" s="8" t="s">
        <v>22</v>
      </c>
      <c r="D450" s="3" t="s">
        <v>23</v>
      </c>
      <c r="E450" s="23" t="s">
        <v>27</v>
      </c>
      <c r="F450" s="15" t="s">
        <v>502</v>
      </c>
      <c r="G450" s="118">
        <v>102</v>
      </c>
      <c r="H450" s="118">
        <v>40.5</v>
      </c>
      <c r="I450" s="118">
        <v>5.2</v>
      </c>
      <c r="J450" s="119" t="s">
        <v>26</v>
      </c>
      <c r="K450" s="119" t="s">
        <v>26</v>
      </c>
      <c r="L450" s="119" t="s">
        <v>26</v>
      </c>
      <c r="M450" s="118">
        <v>4.2</v>
      </c>
      <c r="N450" s="119" t="s">
        <v>26</v>
      </c>
      <c r="O450" s="118">
        <v>4.5</v>
      </c>
      <c r="P450" s="118">
        <v>4</v>
      </c>
      <c r="Q450" s="119" t="s">
        <v>26</v>
      </c>
      <c r="R450" s="119" t="s">
        <v>26</v>
      </c>
      <c r="S450" s="120" t="s">
        <v>26</v>
      </c>
      <c r="T450" s="121" t="s">
        <v>26</v>
      </c>
      <c r="U450" s="89">
        <v>80</v>
      </c>
      <c r="V450" s="126" t="s">
        <v>26</v>
      </c>
      <c r="AC450" s="33"/>
      <c r="AD450" s="33"/>
      <c r="AE450" s="33"/>
    </row>
    <row r="451" spans="1:31">
      <c r="A451" s="26" t="s">
        <v>492</v>
      </c>
      <c r="B451" s="8" t="s">
        <v>89</v>
      </c>
      <c r="C451" s="8" t="s">
        <v>22</v>
      </c>
      <c r="D451" s="3" t="s">
        <v>23</v>
      </c>
      <c r="E451" s="23" t="s">
        <v>29</v>
      </c>
      <c r="F451" s="15" t="s">
        <v>503</v>
      </c>
      <c r="G451" s="118">
        <v>48</v>
      </c>
      <c r="H451" s="118">
        <v>6.2</v>
      </c>
      <c r="I451" s="118">
        <v>18.399999999999999</v>
      </c>
      <c r="J451" s="118">
        <v>1.92</v>
      </c>
      <c r="K451" s="119" t="s">
        <v>26</v>
      </c>
      <c r="L451" s="119" t="s">
        <v>26</v>
      </c>
      <c r="M451" s="118">
        <v>5.0999999999999996</v>
      </c>
      <c r="N451" s="119" t="s">
        <v>26</v>
      </c>
      <c r="O451" s="118">
        <v>15.8</v>
      </c>
      <c r="P451" s="118">
        <v>9.4</v>
      </c>
      <c r="Q451" s="119" t="s">
        <v>26</v>
      </c>
      <c r="R451" s="119" t="s">
        <v>26</v>
      </c>
      <c r="S451" s="120" t="s">
        <v>26</v>
      </c>
      <c r="T451" s="121" t="s">
        <v>26</v>
      </c>
      <c r="U451" s="89">
        <v>720</v>
      </c>
      <c r="V451" s="126" t="s">
        <v>26</v>
      </c>
      <c r="AC451" s="33"/>
      <c r="AD451" s="33"/>
      <c r="AE451" s="33"/>
    </row>
    <row r="452" spans="1:31">
      <c r="A452" s="26" t="s">
        <v>492</v>
      </c>
      <c r="B452" s="8" t="s">
        <v>89</v>
      </c>
      <c r="C452" s="8" t="s">
        <v>22</v>
      </c>
      <c r="D452" s="3" t="s">
        <v>23</v>
      </c>
      <c r="E452" s="23" t="s">
        <v>31</v>
      </c>
      <c r="F452" s="15" t="s">
        <v>504</v>
      </c>
      <c r="G452" s="118">
        <v>16</v>
      </c>
      <c r="H452" s="118">
        <v>7.8</v>
      </c>
      <c r="I452" s="118">
        <v>12.2</v>
      </c>
      <c r="J452" s="118">
        <v>13.4</v>
      </c>
      <c r="K452" s="119" t="s">
        <v>26</v>
      </c>
      <c r="L452" s="119" t="s">
        <v>26</v>
      </c>
      <c r="M452" s="119" t="s">
        <v>26</v>
      </c>
      <c r="N452" s="119" t="s">
        <v>26</v>
      </c>
      <c r="O452" s="118">
        <v>6.8</v>
      </c>
      <c r="P452" s="118">
        <v>11.5</v>
      </c>
      <c r="Q452" s="119" t="s">
        <v>26</v>
      </c>
      <c r="R452" s="119" t="s">
        <v>26</v>
      </c>
      <c r="S452" s="120" t="s">
        <v>26</v>
      </c>
      <c r="T452" s="121" t="s">
        <v>26</v>
      </c>
      <c r="U452" s="89">
        <v>1510</v>
      </c>
      <c r="V452" s="126" t="s">
        <v>26</v>
      </c>
      <c r="AC452" s="33"/>
      <c r="AD452" s="33"/>
      <c r="AE452" s="33"/>
    </row>
    <row r="453" spans="1:31">
      <c r="A453" s="26" t="s">
        <v>492</v>
      </c>
      <c r="B453" s="8" t="s">
        <v>83</v>
      </c>
      <c r="C453" s="8" t="s">
        <v>22</v>
      </c>
      <c r="D453" s="3" t="s">
        <v>33</v>
      </c>
      <c r="E453" s="23" t="s">
        <v>24</v>
      </c>
      <c r="F453" s="15" t="s">
        <v>505</v>
      </c>
      <c r="G453" s="118">
        <v>205</v>
      </c>
      <c r="H453" s="118">
        <v>21.8</v>
      </c>
      <c r="I453" s="119" t="s">
        <v>26</v>
      </c>
      <c r="J453" s="119" t="s">
        <v>26</v>
      </c>
      <c r="K453" s="119" t="s">
        <v>26</v>
      </c>
      <c r="L453" s="119" t="s">
        <v>26</v>
      </c>
      <c r="M453" s="118">
        <v>2.2000000000000002</v>
      </c>
      <c r="N453" s="119" t="s">
        <v>26</v>
      </c>
      <c r="O453" s="118">
        <v>2</v>
      </c>
      <c r="P453" s="119" t="s">
        <v>26</v>
      </c>
      <c r="Q453" s="119" t="s">
        <v>26</v>
      </c>
      <c r="R453" s="119" t="s">
        <v>26</v>
      </c>
      <c r="S453" s="127">
        <v>2.5</v>
      </c>
      <c r="T453" s="121" t="s">
        <v>26</v>
      </c>
      <c r="U453" s="130">
        <v>170</v>
      </c>
      <c r="V453" s="126" t="s">
        <v>26</v>
      </c>
      <c r="AC453" s="33"/>
      <c r="AD453" s="33"/>
      <c r="AE453" s="33"/>
    </row>
    <row r="454" spans="1:31">
      <c r="A454" s="26" t="s">
        <v>492</v>
      </c>
      <c r="B454" s="8" t="s">
        <v>83</v>
      </c>
      <c r="C454" s="8" t="s">
        <v>22</v>
      </c>
      <c r="D454" s="3" t="s">
        <v>33</v>
      </c>
      <c r="E454" s="23" t="s">
        <v>27</v>
      </c>
      <c r="F454" s="15" t="s">
        <v>378</v>
      </c>
      <c r="G454" s="118">
        <v>101</v>
      </c>
      <c r="H454" s="118">
        <v>35.799999999999997</v>
      </c>
      <c r="I454" s="118">
        <v>10.1</v>
      </c>
      <c r="J454" s="119" t="s">
        <v>26</v>
      </c>
      <c r="K454" s="119" t="s">
        <v>26</v>
      </c>
      <c r="L454" s="119" t="s">
        <v>26</v>
      </c>
      <c r="M454" s="118">
        <v>2.8</v>
      </c>
      <c r="N454" s="119" t="s">
        <v>26</v>
      </c>
      <c r="O454" s="118">
        <v>3.1</v>
      </c>
      <c r="P454" s="119" t="s">
        <v>26</v>
      </c>
      <c r="Q454" s="119" t="s">
        <v>26</v>
      </c>
      <c r="R454" s="119" t="s">
        <v>26</v>
      </c>
      <c r="S454" s="127">
        <v>3.1</v>
      </c>
      <c r="T454" s="121" t="s">
        <v>26</v>
      </c>
      <c r="U454" s="123" t="s">
        <v>26</v>
      </c>
      <c r="V454" s="126" t="s">
        <v>26</v>
      </c>
      <c r="AC454" s="33"/>
      <c r="AD454" s="33"/>
      <c r="AE454" s="33"/>
    </row>
    <row r="455" spans="1:31">
      <c r="A455" s="26" t="s">
        <v>492</v>
      </c>
      <c r="B455" s="8" t="s">
        <v>83</v>
      </c>
      <c r="C455" s="8" t="s">
        <v>22</v>
      </c>
      <c r="D455" s="3" t="s">
        <v>33</v>
      </c>
      <c r="E455" s="23" t="s">
        <v>29</v>
      </c>
      <c r="F455" s="15" t="s">
        <v>506</v>
      </c>
      <c r="G455" s="118">
        <v>43</v>
      </c>
      <c r="H455" s="118">
        <v>31.5</v>
      </c>
      <c r="I455" s="118">
        <v>12.2</v>
      </c>
      <c r="J455" s="118">
        <v>1.84</v>
      </c>
      <c r="K455" s="119" t="s">
        <v>26</v>
      </c>
      <c r="L455" s="119" t="s">
        <v>26</v>
      </c>
      <c r="M455" s="118">
        <v>5.0999999999999996</v>
      </c>
      <c r="N455" s="119" t="s">
        <v>26</v>
      </c>
      <c r="O455" s="118">
        <v>6.8</v>
      </c>
      <c r="P455" s="119" t="s">
        <v>26</v>
      </c>
      <c r="Q455" s="119" t="s">
        <v>26</v>
      </c>
      <c r="R455" s="119" t="s">
        <v>26</v>
      </c>
      <c r="S455" s="127">
        <v>6.8</v>
      </c>
      <c r="T455" s="121" t="s">
        <v>26</v>
      </c>
      <c r="U455" s="123" t="s">
        <v>26</v>
      </c>
      <c r="V455" s="126" t="s">
        <v>26</v>
      </c>
      <c r="AC455" s="33"/>
      <c r="AD455" s="33"/>
      <c r="AE455" s="33"/>
    </row>
    <row r="456" spans="1:31">
      <c r="A456" s="26" t="s">
        <v>492</v>
      </c>
      <c r="B456" s="8" t="s">
        <v>83</v>
      </c>
      <c r="C456" s="8" t="s">
        <v>22</v>
      </c>
      <c r="D456" s="3" t="s">
        <v>33</v>
      </c>
      <c r="E456" s="23" t="s">
        <v>31</v>
      </c>
      <c r="F456" s="15" t="s">
        <v>427</v>
      </c>
      <c r="G456" s="118">
        <v>15</v>
      </c>
      <c r="H456" s="118">
        <v>17.5</v>
      </c>
      <c r="I456" s="118">
        <v>7.1</v>
      </c>
      <c r="J456" s="118">
        <v>3.66</v>
      </c>
      <c r="K456" s="119" t="s">
        <v>26</v>
      </c>
      <c r="L456" s="119" t="s">
        <v>26</v>
      </c>
      <c r="M456" s="119" t="s">
        <v>26</v>
      </c>
      <c r="N456" s="119" t="s">
        <v>26</v>
      </c>
      <c r="O456" s="118">
        <v>4.4000000000000004</v>
      </c>
      <c r="P456" s="119" t="s">
        <v>26</v>
      </c>
      <c r="Q456" s="119" t="s">
        <v>26</v>
      </c>
      <c r="R456" s="119" t="s">
        <v>26</v>
      </c>
      <c r="S456" s="127">
        <v>4.4000000000000004</v>
      </c>
      <c r="T456" s="121" t="s">
        <v>26</v>
      </c>
      <c r="U456" s="123" t="s">
        <v>26</v>
      </c>
      <c r="V456" s="126" t="s">
        <v>26</v>
      </c>
      <c r="AC456" s="33"/>
      <c r="AD456" s="33"/>
      <c r="AE456" s="33"/>
    </row>
    <row r="457" spans="1:31">
      <c r="A457" s="26" t="s">
        <v>492</v>
      </c>
      <c r="B457" s="8" t="s">
        <v>381</v>
      </c>
      <c r="C457" s="8" t="s">
        <v>22</v>
      </c>
      <c r="D457" s="3" t="s">
        <v>142</v>
      </c>
      <c r="E457" s="23" t="s">
        <v>24</v>
      </c>
      <c r="F457" s="15" t="s">
        <v>507</v>
      </c>
      <c r="G457" s="118">
        <v>244</v>
      </c>
      <c r="H457" s="118">
        <v>8.8000000000000007</v>
      </c>
      <c r="I457" s="119" t="s">
        <v>26</v>
      </c>
      <c r="J457" s="119" t="s">
        <v>26</v>
      </c>
      <c r="K457" s="119" t="s">
        <v>26</v>
      </c>
      <c r="L457" s="119" t="s">
        <v>26</v>
      </c>
      <c r="M457" s="118">
        <v>2</v>
      </c>
      <c r="N457" s="119" t="s">
        <v>26</v>
      </c>
      <c r="O457" s="118">
        <v>3.8</v>
      </c>
      <c r="P457" s="118">
        <v>3</v>
      </c>
      <c r="Q457" s="119" t="s">
        <v>26</v>
      </c>
      <c r="R457" s="119" t="s">
        <v>26</v>
      </c>
      <c r="S457" s="120" t="s">
        <v>26</v>
      </c>
      <c r="T457" s="121" t="s">
        <v>26</v>
      </c>
      <c r="U457" s="89">
        <v>200</v>
      </c>
      <c r="V457" s="126" t="s">
        <v>26</v>
      </c>
      <c r="AC457" s="33"/>
      <c r="AD457" s="33"/>
      <c r="AE457" s="33"/>
    </row>
    <row r="458" spans="1:31">
      <c r="A458" s="26" t="s">
        <v>492</v>
      </c>
      <c r="B458" s="8" t="s">
        <v>381</v>
      </c>
      <c r="C458" s="8" t="s">
        <v>22</v>
      </c>
      <c r="D458" s="3" t="s">
        <v>142</v>
      </c>
      <c r="E458" s="23" t="s">
        <v>27</v>
      </c>
      <c r="F458" s="15" t="s">
        <v>465</v>
      </c>
      <c r="G458" s="118">
        <v>105</v>
      </c>
      <c r="H458" s="118">
        <v>28.8</v>
      </c>
      <c r="I458" s="118">
        <v>12.5</v>
      </c>
      <c r="J458" s="118">
        <v>3.8</v>
      </c>
      <c r="K458" s="119" t="s">
        <v>26</v>
      </c>
      <c r="L458" s="119" t="s">
        <v>26</v>
      </c>
      <c r="M458" s="118">
        <v>2.5</v>
      </c>
      <c r="N458" s="119" t="s">
        <v>26</v>
      </c>
      <c r="O458" s="118">
        <v>4.5999999999999996</v>
      </c>
      <c r="P458" s="118">
        <v>4.5</v>
      </c>
      <c r="Q458" s="119" t="s">
        <v>26</v>
      </c>
      <c r="R458" s="119" t="s">
        <v>26</v>
      </c>
      <c r="S458" s="120" t="s">
        <v>26</v>
      </c>
      <c r="T458" s="121" t="s">
        <v>26</v>
      </c>
      <c r="U458" s="89">
        <v>803</v>
      </c>
      <c r="V458" s="126" t="s">
        <v>26</v>
      </c>
      <c r="AC458" s="33"/>
      <c r="AD458" s="33"/>
      <c r="AE458" s="33"/>
    </row>
    <row r="459" spans="1:31">
      <c r="A459" s="26" t="s">
        <v>492</v>
      </c>
      <c r="B459" s="8" t="s">
        <v>381</v>
      </c>
      <c r="C459" s="8" t="s">
        <v>22</v>
      </c>
      <c r="D459" s="3" t="s">
        <v>142</v>
      </c>
      <c r="E459" s="23" t="s">
        <v>29</v>
      </c>
      <c r="F459" s="15" t="s">
        <v>508</v>
      </c>
      <c r="G459" s="118">
        <v>42</v>
      </c>
      <c r="H459" s="118">
        <v>34.5</v>
      </c>
      <c r="I459" s="118">
        <v>8.4</v>
      </c>
      <c r="J459" s="118">
        <v>7.72</v>
      </c>
      <c r="K459" s="119" t="s">
        <v>26</v>
      </c>
      <c r="L459" s="119" t="s">
        <v>26</v>
      </c>
      <c r="M459" s="118">
        <v>3.2</v>
      </c>
      <c r="N459" s="119" t="s">
        <v>26</v>
      </c>
      <c r="O459" s="118">
        <v>24.5</v>
      </c>
      <c r="P459" s="118">
        <v>15.2</v>
      </c>
      <c r="Q459" s="119" t="s">
        <v>26</v>
      </c>
      <c r="R459" s="119" t="s">
        <v>26</v>
      </c>
      <c r="S459" s="120" t="s">
        <v>26</v>
      </c>
      <c r="T459" s="121" t="s">
        <v>26</v>
      </c>
      <c r="U459" s="133">
        <v>2276</v>
      </c>
      <c r="V459" s="126" t="s">
        <v>26</v>
      </c>
      <c r="AC459" s="33"/>
      <c r="AD459" s="33"/>
      <c r="AE459" s="33"/>
    </row>
    <row r="460" spans="1:31">
      <c r="A460" s="26" t="s">
        <v>492</v>
      </c>
      <c r="B460" s="8" t="s">
        <v>381</v>
      </c>
      <c r="C460" s="8" t="s">
        <v>22</v>
      </c>
      <c r="D460" s="3" t="s">
        <v>142</v>
      </c>
      <c r="E460" s="23" t="s">
        <v>31</v>
      </c>
      <c r="F460" s="15" t="s">
        <v>509</v>
      </c>
      <c r="G460" s="118">
        <v>17</v>
      </c>
      <c r="H460" s="118">
        <v>18.5</v>
      </c>
      <c r="I460" s="118">
        <v>6.5</v>
      </c>
      <c r="J460" s="118">
        <v>18.399999999999999</v>
      </c>
      <c r="K460" s="119" t="s">
        <v>26</v>
      </c>
      <c r="L460" s="119" t="s">
        <v>26</v>
      </c>
      <c r="M460" s="119" t="s">
        <v>26</v>
      </c>
      <c r="N460" s="119" t="s">
        <v>26</v>
      </c>
      <c r="O460" s="118">
        <v>18.2</v>
      </c>
      <c r="P460" s="118">
        <v>17.8</v>
      </c>
      <c r="Q460" s="119" t="s">
        <v>26</v>
      </c>
      <c r="R460" s="119" t="s">
        <v>26</v>
      </c>
      <c r="S460" s="120" t="s">
        <v>26</v>
      </c>
      <c r="T460" s="121" t="s">
        <v>26</v>
      </c>
      <c r="U460" s="133">
        <v>592</v>
      </c>
      <c r="V460" s="126" t="s">
        <v>26</v>
      </c>
      <c r="AC460" s="33"/>
      <c r="AD460" s="33"/>
      <c r="AE460" s="33"/>
    </row>
    <row r="461" spans="1:31">
      <c r="A461" s="26" t="s">
        <v>492</v>
      </c>
      <c r="B461" s="8" t="s">
        <v>405</v>
      </c>
      <c r="C461" s="8" t="s">
        <v>22</v>
      </c>
      <c r="D461" s="3" t="s">
        <v>33</v>
      </c>
      <c r="E461" s="23" t="s">
        <v>24</v>
      </c>
      <c r="F461" s="15" t="s">
        <v>429</v>
      </c>
      <c r="G461" s="118">
        <v>135</v>
      </c>
      <c r="H461" s="118">
        <v>31.5</v>
      </c>
      <c r="I461" s="118">
        <v>15.8</v>
      </c>
      <c r="J461" s="119" t="s">
        <v>26</v>
      </c>
      <c r="K461" s="119" t="s">
        <v>26</v>
      </c>
      <c r="L461" s="119" t="s">
        <v>26</v>
      </c>
      <c r="M461" s="118">
        <v>3.8</v>
      </c>
      <c r="N461" s="119" t="s">
        <v>26</v>
      </c>
      <c r="O461" s="125" t="s">
        <v>26</v>
      </c>
      <c r="P461" s="119" t="s">
        <v>26</v>
      </c>
      <c r="Q461" s="119" t="s">
        <v>26</v>
      </c>
      <c r="R461" s="119" t="s">
        <v>26</v>
      </c>
      <c r="S461" s="120" t="s">
        <v>26</v>
      </c>
      <c r="T461" s="121" t="s">
        <v>26</v>
      </c>
      <c r="U461" s="123" t="s">
        <v>26</v>
      </c>
      <c r="V461" s="126" t="s">
        <v>26</v>
      </c>
      <c r="AC461" s="33"/>
      <c r="AD461" s="33"/>
      <c r="AE461" s="33"/>
    </row>
    <row r="462" spans="1:31">
      <c r="A462" s="26" t="s">
        <v>492</v>
      </c>
      <c r="B462" s="8" t="s">
        <v>405</v>
      </c>
      <c r="C462" s="8" t="s">
        <v>22</v>
      </c>
      <c r="D462" s="3" t="s">
        <v>33</v>
      </c>
      <c r="E462" s="23" t="s">
        <v>27</v>
      </c>
      <c r="F462" s="15" t="s">
        <v>93</v>
      </c>
      <c r="G462" s="118">
        <v>92</v>
      </c>
      <c r="H462" s="118">
        <v>45.2</v>
      </c>
      <c r="I462" s="118">
        <v>31.2</v>
      </c>
      <c r="J462" s="119" t="s">
        <v>26</v>
      </c>
      <c r="K462" s="119" t="s">
        <v>26</v>
      </c>
      <c r="L462" s="119" t="s">
        <v>26</v>
      </c>
      <c r="M462" s="118">
        <v>4.2</v>
      </c>
      <c r="N462" s="119" t="s">
        <v>26</v>
      </c>
      <c r="O462" s="118">
        <v>2.8</v>
      </c>
      <c r="P462" s="119" t="s">
        <v>26</v>
      </c>
      <c r="Q462" s="119" t="s">
        <v>26</v>
      </c>
      <c r="R462" s="119" t="s">
        <v>26</v>
      </c>
      <c r="S462" s="120" t="s">
        <v>26</v>
      </c>
      <c r="T462" s="121" t="s">
        <v>26</v>
      </c>
      <c r="U462" s="123" t="s">
        <v>26</v>
      </c>
      <c r="V462" s="126" t="s">
        <v>26</v>
      </c>
      <c r="AC462" s="33"/>
      <c r="AD462" s="33"/>
      <c r="AE462" s="33"/>
    </row>
    <row r="463" spans="1:31">
      <c r="A463" s="26" t="s">
        <v>492</v>
      </c>
      <c r="B463" s="8" t="s">
        <v>405</v>
      </c>
      <c r="C463" s="8" t="s">
        <v>22</v>
      </c>
      <c r="D463" s="3" t="s">
        <v>33</v>
      </c>
      <c r="E463" s="23" t="s">
        <v>29</v>
      </c>
      <c r="F463" s="15" t="s">
        <v>510</v>
      </c>
      <c r="G463" s="118">
        <v>53</v>
      </c>
      <c r="H463" s="118">
        <v>6.2</v>
      </c>
      <c r="I463" s="118">
        <v>25.8</v>
      </c>
      <c r="J463" s="119" t="s">
        <v>26</v>
      </c>
      <c r="K463" s="119" t="s">
        <v>26</v>
      </c>
      <c r="L463" s="119" t="s">
        <v>26</v>
      </c>
      <c r="M463" s="118">
        <v>3.1</v>
      </c>
      <c r="N463" s="119" t="s">
        <v>26</v>
      </c>
      <c r="O463" s="118">
        <v>3.8</v>
      </c>
      <c r="P463" s="119" t="s">
        <v>26</v>
      </c>
      <c r="Q463" s="119" t="s">
        <v>26</v>
      </c>
      <c r="R463" s="119" t="s">
        <v>26</v>
      </c>
      <c r="S463" s="120" t="s">
        <v>26</v>
      </c>
      <c r="T463" s="121" t="s">
        <v>26</v>
      </c>
      <c r="U463" s="123" t="s">
        <v>26</v>
      </c>
      <c r="V463" s="126" t="s">
        <v>26</v>
      </c>
      <c r="AC463" s="33"/>
      <c r="AD463" s="33"/>
      <c r="AE463" s="33"/>
    </row>
    <row r="464" spans="1:31">
      <c r="A464" s="26" t="s">
        <v>492</v>
      </c>
      <c r="B464" s="8" t="s">
        <v>405</v>
      </c>
      <c r="C464" s="8" t="s">
        <v>22</v>
      </c>
      <c r="D464" s="3" t="s">
        <v>33</v>
      </c>
      <c r="E464" s="23" t="s">
        <v>31</v>
      </c>
      <c r="F464" s="15" t="s">
        <v>511</v>
      </c>
      <c r="G464" s="118">
        <v>17</v>
      </c>
      <c r="H464" s="119" t="s">
        <v>26</v>
      </c>
      <c r="I464" s="118">
        <v>8.1999999999999993</v>
      </c>
      <c r="J464" s="118">
        <v>4.2</v>
      </c>
      <c r="K464" s="119" t="s">
        <v>26</v>
      </c>
      <c r="L464" s="119" t="s">
        <v>26</v>
      </c>
      <c r="M464" s="119" t="s">
        <v>26</v>
      </c>
      <c r="N464" s="119" t="s">
        <v>26</v>
      </c>
      <c r="O464" s="118">
        <v>1.8</v>
      </c>
      <c r="P464" s="119" t="s">
        <v>26</v>
      </c>
      <c r="Q464" s="119" t="s">
        <v>26</v>
      </c>
      <c r="R464" s="119" t="s">
        <v>26</v>
      </c>
      <c r="S464" s="120" t="s">
        <v>26</v>
      </c>
      <c r="T464" s="121" t="s">
        <v>26</v>
      </c>
      <c r="U464" s="130">
        <v>1571</v>
      </c>
      <c r="V464" s="126" t="s">
        <v>26</v>
      </c>
      <c r="AC464" s="33"/>
      <c r="AD464" s="33"/>
      <c r="AE464" s="33"/>
    </row>
    <row r="465" spans="1:31">
      <c r="A465" s="26" t="s">
        <v>492</v>
      </c>
      <c r="B465" s="8" t="s">
        <v>179</v>
      </c>
      <c r="C465" s="8" t="s">
        <v>22</v>
      </c>
      <c r="D465" s="3" t="s">
        <v>33</v>
      </c>
      <c r="E465" s="23" t="s">
        <v>24</v>
      </c>
      <c r="F465" s="15" t="s">
        <v>512</v>
      </c>
      <c r="G465" s="118">
        <v>211</v>
      </c>
      <c r="H465" s="118">
        <v>25.4</v>
      </c>
      <c r="I465" s="119" t="s">
        <v>26</v>
      </c>
      <c r="J465" s="119" t="s">
        <v>26</v>
      </c>
      <c r="K465" s="119" t="s">
        <v>26</v>
      </c>
      <c r="L465" s="119" t="s">
        <v>26</v>
      </c>
      <c r="M465" s="118">
        <v>5.4</v>
      </c>
      <c r="N465" s="119" t="s">
        <v>26</v>
      </c>
      <c r="O465" s="118">
        <v>1.1000000000000001</v>
      </c>
      <c r="P465" s="119" t="s">
        <v>26</v>
      </c>
      <c r="Q465" s="119" t="s">
        <v>26</v>
      </c>
      <c r="R465" s="119" t="s">
        <v>26</v>
      </c>
      <c r="S465" s="127">
        <v>2.5</v>
      </c>
      <c r="T465" s="121" t="s">
        <v>26</v>
      </c>
      <c r="U465" s="130">
        <v>200</v>
      </c>
      <c r="V465" s="126" t="s">
        <v>26</v>
      </c>
      <c r="AC465" s="33"/>
      <c r="AD465" s="33"/>
      <c r="AE465" s="33"/>
    </row>
    <row r="466" spans="1:31">
      <c r="A466" s="26" t="s">
        <v>492</v>
      </c>
      <c r="B466" s="8" t="s">
        <v>179</v>
      </c>
      <c r="C466" s="8" t="s">
        <v>22</v>
      </c>
      <c r="D466" s="3" t="s">
        <v>33</v>
      </c>
      <c r="E466" s="23" t="s">
        <v>27</v>
      </c>
      <c r="F466" s="15" t="s">
        <v>219</v>
      </c>
      <c r="G466" s="118">
        <v>118</v>
      </c>
      <c r="H466" s="118">
        <v>31.5</v>
      </c>
      <c r="I466" s="118">
        <v>20.2</v>
      </c>
      <c r="J466" s="119" t="s">
        <v>26</v>
      </c>
      <c r="K466" s="119" t="s">
        <v>26</v>
      </c>
      <c r="L466" s="119" t="s">
        <v>26</v>
      </c>
      <c r="M466" s="118">
        <v>5.8</v>
      </c>
      <c r="N466" s="119" t="s">
        <v>26</v>
      </c>
      <c r="O466" s="118">
        <v>1.8</v>
      </c>
      <c r="P466" s="119" t="s">
        <v>26</v>
      </c>
      <c r="Q466" s="119" t="s">
        <v>26</v>
      </c>
      <c r="R466" s="119" t="s">
        <v>26</v>
      </c>
      <c r="S466" s="127">
        <v>3</v>
      </c>
      <c r="T466" s="121" t="s">
        <v>26</v>
      </c>
      <c r="U466" s="130">
        <v>100</v>
      </c>
      <c r="V466" s="126" t="s">
        <v>26</v>
      </c>
      <c r="AC466" s="33"/>
      <c r="AD466" s="33"/>
      <c r="AE466" s="33"/>
    </row>
    <row r="467" spans="1:31">
      <c r="A467" s="26" t="s">
        <v>492</v>
      </c>
      <c r="B467" s="8" t="s">
        <v>179</v>
      </c>
      <c r="C467" s="8" t="s">
        <v>22</v>
      </c>
      <c r="D467" s="3" t="s">
        <v>33</v>
      </c>
      <c r="E467" s="23" t="s">
        <v>29</v>
      </c>
      <c r="F467" s="15" t="s">
        <v>513</v>
      </c>
      <c r="G467" s="118">
        <v>57</v>
      </c>
      <c r="H467" s="118">
        <v>5.2</v>
      </c>
      <c r="I467" s="118">
        <v>28.6</v>
      </c>
      <c r="J467" s="118">
        <v>1.5</v>
      </c>
      <c r="K467" s="119" t="s">
        <v>26</v>
      </c>
      <c r="L467" s="119" t="s">
        <v>26</v>
      </c>
      <c r="M467" s="118">
        <v>5.2</v>
      </c>
      <c r="N467" s="119" t="s">
        <v>26</v>
      </c>
      <c r="O467" s="118">
        <v>3.1</v>
      </c>
      <c r="P467" s="119" t="s">
        <v>26</v>
      </c>
      <c r="Q467" s="119" t="s">
        <v>26</v>
      </c>
      <c r="R467" s="119" t="s">
        <v>26</v>
      </c>
      <c r="S467" s="127">
        <v>4.5</v>
      </c>
      <c r="T467" s="121" t="s">
        <v>26</v>
      </c>
      <c r="U467" s="123" t="s">
        <v>26</v>
      </c>
      <c r="V467" s="126" t="s">
        <v>26</v>
      </c>
      <c r="AC467" s="33"/>
      <c r="AD467" s="33"/>
      <c r="AE467" s="33"/>
    </row>
    <row r="468" spans="1:31">
      <c r="A468" s="26" t="s">
        <v>492</v>
      </c>
      <c r="B468" s="8" t="s">
        <v>179</v>
      </c>
      <c r="C468" s="8" t="s">
        <v>22</v>
      </c>
      <c r="D468" s="3" t="s">
        <v>33</v>
      </c>
      <c r="E468" s="23" t="s">
        <v>31</v>
      </c>
      <c r="F468" s="15" t="s">
        <v>514</v>
      </c>
      <c r="G468" s="118">
        <v>18</v>
      </c>
      <c r="H468" s="119" t="s">
        <v>26</v>
      </c>
      <c r="I468" s="118">
        <v>11.2</v>
      </c>
      <c r="J468" s="118">
        <v>4.8</v>
      </c>
      <c r="K468" s="119" t="s">
        <v>26</v>
      </c>
      <c r="L468" s="119" t="s">
        <v>26</v>
      </c>
      <c r="M468" s="119" t="s">
        <v>26</v>
      </c>
      <c r="N468" s="119" t="s">
        <v>26</v>
      </c>
      <c r="O468" s="118">
        <v>2.1</v>
      </c>
      <c r="P468" s="119" t="s">
        <v>26</v>
      </c>
      <c r="Q468" s="119" t="s">
        <v>26</v>
      </c>
      <c r="R468" s="119" t="s">
        <v>26</v>
      </c>
      <c r="S468" s="127">
        <v>7.2</v>
      </c>
      <c r="T468" s="121" t="s">
        <v>26</v>
      </c>
      <c r="U468" s="130">
        <v>714</v>
      </c>
      <c r="V468" s="126" t="s">
        <v>26</v>
      </c>
      <c r="AC468" s="33"/>
      <c r="AD468" s="33"/>
      <c r="AE468" s="33"/>
    </row>
    <row r="469" spans="1:31">
      <c r="A469" s="24" t="s">
        <v>515</v>
      </c>
      <c r="B469" s="8" t="s">
        <v>211</v>
      </c>
      <c r="C469" s="8" t="s">
        <v>22</v>
      </c>
      <c r="D469" s="3" t="s">
        <v>23</v>
      </c>
      <c r="E469" s="23" t="s">
        <v>24</v>
      </c>
      <c r="F469" s="15" t="s">
        <v>516</v>
      </c>
      <c r="G469" s="118">
        <v>250</v>
      </c>
      <c r="H469" s="118">
        <v>17.399999999999999</v>
      </c>
      <c r="I469" s="119" t="s">
        <v>26</v>
      </c>
      <c r="J469" s="119" t="s">
        <v>26</v>
      </c>
      <c r="K469" s="119" t="s">
        <v>26</v>
      </c>
      <c r="L469" s="119" t="s">
        <v>26</v>
      </c>
      <c r="M469" s="118">
        <v>0.6</v>
      </c>
      <c r="N469" s="119" t="s">
        <v>26</v>
      </c>
      <c r="O469" s="118">
        <v>1.9</v>
      </c>
      <c r="P469" s="119" t="s">
        <v>26</v>
      </c>
      <c r="Q469" s="119" t="s">
        <v>26</v>
      </c>
      <c r="R469" s="118">
        <v>1.6</v>
      </c>
      <c r="S469" s="120" t="s">
        <v>26</v>
      </c>
      <c r="T469" s="121" t="s">
        <v>26</v>
      </c>
      <c r="U469" s="123" t="s">
        <v>26</v>
      </c>
      <c r="V469" s="89">
        <v>569</v>
      </c>
      <c r="AC469" s="33"/>
      <c r="AD469" s="33"/>
      <c r="AE469" s="33"/>
    </row>
    <row r="470" spans="1:31">
      <c r="A470" s="24" t="s">
        <v>515</v>
      </c>
      <c r="B470" s="8" t="s">
        <v>211</v>
      </c>
      <c r="C470" s="8" t="s">
        <v>22</v>
      </c>
      <c r="D470" s="3" t="s">
        <v>23</v>
      </c>
      <c r="E470" s="23" t="s">
        <v>27</v>
      </c>
      <c r="F470" s="15" t="s">
        <v>144</v>
      </c>
      <c r="G470" s="118">
        <v>135</v>
      </c>
      <c r="H470" s="118">
        <v>14.6</v>
      </c>
      <c r="I470" s="118">
        <v>12.4</v>
      </c>
      <c r="J470" s="118">
        <v>0.4</v>
      </c>
      <c r="K470" s="119" t="s">
        <v>26</v>
      </c>
      <c r="L470" s="119" t="s">
        <v>26</v>
      </c>
      <c r="M470" s="119" t="s">
        <v>26</v>
      </c>
      <c r="N470" s="119" t="s">
        <v>26</v>
      </c>
      <c r="O470" s="118">
        <v>3.7</v>
      </c>
      <c r="P470" s="119" t="s">
        <v>26</v>
      </c>
      <c r="Q470" s="119" t="s">
        <v>26</v>
      </c>
      <c r="R470" s="118">
        <v>1.8</v>
      </c>
      <c r="S470" s="120" t="s">
        <v>26</v>
      </c>
      <c r="T470" s="121" t="s">
        <v>26</v>
      </c>
      <c r="U470" s="123" t="s">
        <v>26</v>
      </c>
      <c r="V470" s="89">
        <v>296</v>
      </c>
      <c r="AC470" s="33"/>
      <c r="AD470" s="33"/>
      <c r="AE470" s="33"/>
    </row>
    <row r="471" spans="1:31">
      <c r="A471" s="24" t="s">
        <v>515</v>
      </c>
      <c r="B471" s="8" t="s">
        <v>211</v>
      </c>
      <c r="C471" s="8" t="s">
        <v>22</v>
      </c>
      <c r="D471" s="3" t="s">
        <v>23</v>
      </c>
      <c r="E471" s="23" t="s">
        <v>29</v>
      </c>
      <c r="F471" s="15" t="s">
        <v>517</v>
      </c>
      <c r="G471" s="118">
        <v>56</v>
      </c>
      <c r="H471" s="118">
        <v>11.4</v>
      </c>
      <c r="I471" s="118">
        <v>20.399999999999999</v>
      </c>
      <c r="J471" s="118">
        <v>1.4</v>
      </c>
      <c r="K471" s="119" t="s">
        <v>26</v>
      </c>
      <c r="L471" s="119" t="s">
        <v>26</v>
      </c>
      <c r="M471" s="119" t="s">
        <v>26</v>
      </c>
      <c r="N471" s="119" t="s">
        <v>26</v>
      </c>
      <c r="O471" s="118">
        <v>5.0999999999999996</v>
      </c>
      <c r="P471" s="118">
        <v>3.4</v>
      </c>
      <c r="Q471" s="119" t="s">
        <v>26</v>
      </c>
      <c r="R471" s="118">
        <v>2.1</v>
      </c>
      <c r="S471" s="127">
        <v>3.4</v>
      </c>
      <c r="T471" s="121" t="s">
        <v>26</v>
      </c>
      <c r="U471" s="123" t="s">
        <v>26</v>
      </c>
      <c r="V471" s="89">
        <v>657</v>
      </c>
      <c r="AC471" s="33"/>
      <c r="AD471" s="33"/>
      <c r="AE471" s="33"/>
    </row>
    <row r="472" spans="1:31">
      <c r="A472" s="24" t="s">
        <v>515</v>
      </c>
      <c r="B472" s="8" t="s">
        <v>211</v>
      </c>
      <c r="C472" s="8" t="s">
        <v>22</v>
      </c>
      <c r="D472" s="3" t="s">
        <v>23</v>
      </c>
      <c r="E472" s="23" t="s">
        <v>31</v>
      </c>
      <c r="F472" s="15" t="s">
        <v>518</v>
      </c>
      <c r="G472" s="118">
        <v>13</v>
      </c>
      <c r="H472" s="119" t="s">
        <v>26</v>
      </c>
      <c r="I472" s="118">
        <v>4.7</v>
      </c>
      <c r="J472" s="118">
        <v>5.0999999999999996</v>
      </c>
      <c r="K472" s="119" t="s">
        <v>26</v>
      </c>
      <c r="L472" s="119" t="s">
        <v>26</v>
      </c>
      <c r="M472" s="119" t="s">
        <v>26</v>
      </c>
      <c r="N472" s="119" t="s">
        <v>26</v>
      </c>
      <c r="O472" s="118">
        <v>3.9</v>
      </c>
      <c r="P472" s="119" t="s">
        <v>26</v>
      </c>
      <c r="Q472" s="119" t="s">
        <v>26</v>
      </c>
      <c r="R472" s="119" t="s">
        <v>26</v>
      </c>
      <c r="S472" s="127">
        <v>4.2</v>
      </c>
      <c r="T472" s="121" t="s">
        <v>26</v>
      </c>
      <c r="U472" s="89">
        <v>1763</v>
      </c>
      <c r="V472" s="89">
        <v>407</v>
      </c>
      <c r="AC472" s="33"/>
      <c r="AD472" s="33"/>
      <c r="AE472" s="33"/>
    </row>
    <row r="473" spans="1:31">
      <c r="A473" s="24" t="s">
        <v>515</v>
      </c>
      <c r="B473" s="8" t="s">
        <v>519</v>
      </c>
      <c r="C473" s="8" t="s">
        <v>22</v>
      </c>
      <c r="D473" s="3" t="s">
        <v>33</v>
      </c>
      <c r="E473" s="23" t="s">
        <v>24</v>
      </c>
      <c r="F473" s="15" t="s">
        <v>520</v>
      </c>
      <c r="G473" s="118">
        <v>215</v>
      </c>
      <c r="H473" s="118">
        <v>22.8</v>
      </c>
      <c r="I473" s="119" t="s">
        <v>26</v>
      </c>
      <c r="J473" s="119" t="s">
        <v>26</v>
      </c>
      <c r="K473" s="119" t="s">
        <v>26</v>
      </c>
      <c r="L473" s="119" t="s">
        <v>26</v>
      </c>
      <c r="M473" s="118">
        <v>0.5</v>
      </c>
      <c r="N473" s="119" t="s">
        <v>26</v>
      </c>
      <c r="O473" s="125" t="s">
        <v>26</v>
      </c>
      <c r="P473" s="119" t="s">
        <v>26</v>
      </c>
      <c r="Q473" s="118">
        <v>3.5</v>
      </c>
      <c r="R473" s="118">
        <v>2.4</v>
      </c>
      <c r="S473" s="127">
        <v>0.5</v>
      </c>
      <c r="T473" s="121" t="s">
        <v>26</v>
      </c>
      <c r="U473" s="130">
        <v>18</v>
      </c>
      <c r="V473" s="126" t="s">
        <v>26</v>
      </c>
      <c r="AC473" s="33"/>
      <c r="AD473" s="33"/>
      <c r="AE473" s="33"/>
    </row>
    <row r="474" spans="1:31">
      <c r="A474" s="24" t="s">
        <v>515</v>
      </c>
      <c r="B474" s="8" t="s">
        <v>519</v>
      </c>
      <c r="C474" s="8" t="s">
        <v>22</v>
      </c>
      <c r="D474" s="3" t="s">
        <v>33</v>
      </c>
      <c r="E474" s="23" t="s">
        <v>27</v>
      </c>
      <c r="F474" s="15" t="s">
        <v>521</v>
      </c>
      <c r="G474" s="118">
        <v>107</v>
      </c>
      <c r="H474" s="118">
        <v>38.5</v>
      </c>
      <c r="I474" s="118">
        <v>1.8</v>
      </c>
      <c r="J474" s="119" t="s">
        <v>26</v>
      </c>
      <c r="K474" s="119" t="s">
        <v>26</v>
      </c>
      <c r="L474" s="119" t="s">
        <v>26</v>
      </c>
      <c r="M474" s="118">
        <v>0.4</v>
      </c>
      <c r="N474" s="119" t="s">
        <v>26</v>
      </c>
      <c r="O474" s="118">
        <v>1.9</v>
      </c>
      <c r="P474" s="118">
        <v>0.6</v>
      </c>
      <c r="Q474" s="118">
        <v>2.1</v>
      </c>
      <c r="R474" s="118">
        <v>2.5</v>
      </c>
      <c r="S474" s="127">
        <v>1.4</v>
      </c>
      <c r="T474" s="128">
        <v>1</v>
      </c>
      <c r="U474" s="130">
        <v>19</v>
      </c>
      <c r="V474" s="126" t="s">
        <v>26</v>
      </c>
      <c r="AC474" s="33"/>
      <c r="AD474" s="33"/>
      <c r="AE474" s="33"/>
    </row>
    <row r="475" spans="1:31">
      <c r="A475" s="24" t="s">
        <v>515</v>
      </c>
      <c r="B475" s="8" t="s">
        <v>519</v>
      </c>
      <c r="C475" s="8" t="s">
        <v>22</v>
      </c>
      <c r="D475" s="3" t="s">
        <v>33</v>
      </c>
      <c r="E475" s="23" t="s">
        <v>29</v>
      </c>
      <c r="F475" s="15" t="s">
        <v>522</v>
      </c>
      <c r="G475" s="118">
        <v>40</v>
      </c>
      <c r="H475" s="118">
        <v>22.4</v>
      </c>
      <c r="I475" s="118">
        <v>8.5</v>
      </c>
      <c r="J475" s="118">
        <v>1.4</v>
      </c>
      <c r="K475" s="118">
        <v>5</v>
      </c>
      <c r="L475" s="119" t="s">
        <v>26</v>
      </c>
      <c r="M475" s="119" t="s">
        <v>26</v>
      </c>
      <c r="N475" s="119" t="s">
        <v>26</v>
      </c>
      <c r="O475" s="118">
        <v>2.2000000000000002</v>
      </c>
      <c r="P475" s="118">
        <v>0.7</v>
      </c>
      <c r="Q475" s="119" t="s">
        <v>26</v>
      </c>
      <c r="R475" s="118">
        <v>1.5</v>
      </c>
      <c r="S475" s="127">
        <v>1.9</v>
      </c>
      <c r="T475" s="121" t="s">
        <v>26</v>
      </c>
      <c r="U475" s="123" t="s">
        <v>26</v>
      </c>
      <c r="V475" s="126" t="s">
        <v>26</v>
      </c>
      <c r="AC475" s="33"/>
      <c r="AD475" s="33"/>
      <c r="AE475" s="33"/>
    </row>
    <row r="476" spans="1:31">
      <c r="A476" s="24" t="s">
        <v>515</v>
      </c>
      <c r="B476" s="8" t="s">
        <v>519</v>
      </c>
      <c r="C476" s="8" t="s">
        <v>22</v>
      </c>
      <c r="D476" s="3" t="s">
        <v>33</v>
      </c>
      <c r="E476" s="23" t="s">
        <v>31</v>
      </c>
      <c r="F476" s="15" t="s">
        <v>523</v>
      </c>
      <c r="G476" s="118">
        <v>20</v>
      </c>
      <c r="H476" s="119" t="s">
        <v>26</v>
      </c>
      <c r="I476" s="118">
        <v>7.9</v>
      </c>
      <c r="J476" s="118">
        <v>19.3</v>
      </c>
      <c r="K476" s="119" t="s">
        <v>26</v>
      </c>
      <c r="L476" s="119" t="s">
        <v>26</v>
      </c>
      <c r="M476" s="119" t="s">
        <v>26</v>
      </c>
      <c r="N476" s="119" t="s">
        <v>26</v>
      </c>
      <c r="O476" s="118">
        <v>1.5</v>
      </c>
      <c r="P476" s="119" t="s">
        <v>26</v>
      </c>
      <c r="Q476" s="119" t="s">
        <v>26</v>
      </c>
      <c r="R476" s="119" t="s">
        <v>26</v>
      </c>
      <c r="S476" s="127">
        <v>3.5</v>
      </c>
      <c r="T476" s="121" t="s">
        <v>26</v>
      </c>
      <c r="U476" s="130">
        <v>904</v>
      </c>
      <c r="V476" s="126" t="s">
        <v>26</v>
      </c>
      <c r="AC476" s="33"/>
      <c r="AD476" s="33"/>
      <c r="AE476" s="33"/>
    </row>
    <row r="477" spans="1:31">
      <c r="A477" s="24" t="s">
        <v>515</v>
      </c>
      <c r="B477" s="8" t="s">
        <v>344</v>
      </c>
      <c r="C477" s="8" t="s">
        <v>22</v>
      </c>
      <c r="D477" s="3" t="s">
        <v>33</v>
      </c>
      <c r="E477" s="23" t="s">
        <v>27</v>
      </c>
      <c r="F477" s="15" t="s">
        <v>524</v>
      </c>
      <c r="G477" s="118">
        <v>122</v>
      </c>
      <c r="H477" s="118">
        <v>28.5</v>
      </c>
      <c r="I477" s="118">
        <v>20.9</v>
      </c>
      <c r="J477" s="119" t="s">
        <v>26</v>
      </c>
      <c r="K477" s="119" t="s">
        <v>26</v>
      </c>
      <c r="L477" s="119" t="s">
        <v>26</v>
      </c>
      <c r="M477" s="118">
        <v>0.4</v>
      </c>
      <c r="N477" s="119" t="s">
        <v>26</v>
      </c>
      <c r="O477" s="118">
        <v>1.2</v>
      </c>
      <c r="P477" s="119" t="s">
        <v>26</v>
      </c>
      <c r="Q477" s="118">
        <v>3.5</v>
      </c>
      <c r="R477" s="118">
        <v>2.4</v>
      </c>
      <c r="S477" s="127">
        <v>3.1</v>
      </c>
      <c r="T477" s="121" t="s">
        <v>26</v>
      </c>
      <c r="U477" s="123" t="s">
        <v>26</v>
      </c>
      <c r="V477" s="126" t="s">
        <v>26</v>
      </c>
      <c r="AC477" s="33"/>
      <c r="AD477" s="33"/>
      <c r="AE477" s="33"/>
    </row>
    <row r="478" spans="1:31">
      <c r="A478" s="24" t="s">
        <v>515</v>
      </c>
      <c r="B478" s="8" t="s">
        <v>344</v>
      </c>
      <c r="C478" s="8" t="s">
        <v>22</v>
      </c>
      <c r="D478" s="3" t="s">
        <v>33</v>
      </c>
      <c r="E478" s="23" t="s">
        <v>29</v>
      </c>
      <c r="F478" s="16" t="s">
        <v>525</v>
      </c>
      <c r="G478" s="118">
        <v>46</v>
      </c>
      <c r="H478" s="118">
        <v>8.9</v>
      </c>
      <c r="I478" s="118">
        <v>7.2</v>
      </c>
      <c r="J478" s="118">
        <v>0.6</v>
      </c>
      <c r="K478" s="119" t="s">
        <v>26</v>
      </c>
      <c r="L478" s="119" t="s">
        <v>26</v>
      </c>
      <c r="M478" s="118">
        <v>4.2</v>
      </c>
      <c r="N478" s="119" t="s">
        <v>26</v>
      </c>
      <c r="O478" s="118">
        <v>2.2999999999999998</v>
      </c>
      <c r="P478" s="119" t="s">
        <v>26</v>
      </c>
      <c r="Q478" s="119" t="s">
        <v>26</v>
      </c>
      <c r="R478" s="118">
        <v>3.1</v>
      </c>
      <c r="S478" s="127">
        <v>4</v>
      </c>
      <c r="T478" s="121" t="s">
        <v>26</v>
      </c>
      <c r="U478" s="130">
        <v>20</v>
      </c>
      <c r="V478" s="126" t="s">
        <v>26</v>
      </c>
      <c r="AC478" s="33"/>
      <c r="AD478" s="33"/>
      <c r="AE478" s="33"/>
    </row>
    <row r="479" spans="1:31">
      <c r="A479" s="24" t="s">
        <v>515</v>
      </c>
      <c r="B479" s="8" t="s">
        <v>344</v>
      </c>
      <c r="C479" s="8" t="s">
        <v>22</v>
      </c>
      <c r="D479" s="3" t="s">
        <v>33</v>
      </c>
      <c r="E479" s="23" t="s">
        <v>31</v>
      </c>
      <c r="F479" s="16" t="s">
        <v>526</v>
      </c>
      <c r="G479" s="118">
        <v>18</v>
      </c>
      <c r="H479" s="119" t="s">
        <v>26</v>
      </c>
      <c r="I479" s="118">
        <v>7.1</v>
      </c>
      <c r="J479" s="118">
        <v>8.4</v>
      </c>
      <c r="K479" s="119" t="s">
        <v>26</v>
      </c>
      <c r="L479" s="119" t="s">
        <v>26</v>
      </c>
      <c r="M479" s="119" t="s">
        <v>26</v>
      </c>
      <c r="N479" s="119" t="s">
        <v>26</v>
      </c>
      <c r="O479" s="118">
        <v>1.5</v>
      </c>
      <c r="P479" s="119" t="s">
        <v>26</v>
      </c>
      <c r="Q479" s="119" t="s">
        <v>26</v>
      </c>
      <c r="R479" s="119" t="s">
        <v>26</v>
      </c>
      <c r="S479" s="127">
        <v>4.8</v>
      </c>
      <c r="T479" s="121" t="s">
        <v>26</v>
      </c>
      <c r="U479" s="130">
        <v>1033</v>
      </c>
      <c r="V479" s="126" t="s">
        <v>26</v>
      </c>
      <c r="AC479" s="33"/>
      <c r="AD479" s="33"/>
      <c r="AE479" s="33"/>
    </row>
    <row r="480" spans="1:31">
      <c r="A480" s="24" t="s">
        <v>515</v>
      </c>
      <c r="B480" s="8" t="s">
        <v>119</v>
      </c>
      <c r="C480" s="8" t="s">
        <v>22</v>
      </c>
      <c r="D480" s="3" t="s">
        <v>142</v>
      </c>
      <c r="E480" s="23" t="s">
        <v>24</v>
      </c>
      <c r="F480" s="16" t="s">
        <v>527</v>
      </c>
      <c r="G480" s="118">
        <v>222</v>
      </c>
      <c r="H480" s="118">
        <v>15.6</v>
      </c>
      <c r="I480" s="119" t="s">
        <v>26</v>
      </c>
      <c r="J480" s="119" t="s">
        <v>26</v>
      </c>
      <c r="K480" s="119" t="s">
        <v>26</v>
      </c>
      <c r="L480" s="119" t="s">
        <v>26</v>
      </c>
      <c r="M480" s="118">
        <v>0.6</v>
      </c>
      <c r="N480" s="119" t="s">
        <v>26</v>
      </c>
      <c r="O480" s="118">
        <v>1.4</v>
      </c>
      <c r="P480" s="119" t="s">
        <v>26</v>
      </c>
      <c r="Q480" s="118">
        <v>6.5</v>
      </c>
      <c r="R480" s="118">
        <v>2.4</v>
      </c>
      <c r="S480" s="127">
        <v>0.5</v>
      </c>
      <c r="T480" s="121" t="s">
        <v>26</v>
      </c>
      <c r="U480" s="89">
        <v>486</v>
      </c>
      <c r="V480" s="126" t="s">
        <v>26</v>
      </c>
      <c r="AC480" s="33"/>
      <c r="AD480" s="33"/>
      <c r="AE480" s="33"/>
    </row>
    <row r="481" spans="1:31">
      <c r="A481" s="24" t="s">
        <v>515</v>
      </c>
      <c r="B481" s="8" t="s">
        <v>119</v>
      </c>
      <c r="C481" s="8" t="s">
        <v>22</v>
      </c>
      <c r="D481" s="3" t="s">
        <v>142</v>
      </c>
      <c r="E481" s="23" t="s">
        <v>27</v>
      </c>
      <c r="F481" s="16" t="s">
        <v>30</v>
      </c>
      <c r="G481" s="118">
        <v>110</v>
      </c>
      <c r="H481" s="118">
        <v>28.5</v>
      </c>
      <c r="I481" s="118">
        <v>1.8</v>
      </c>
      <c r="J481" s="118">
        <v>0.7</v>
      </c>
      <c r="K481" s="119" t="s">
        <v>26</v>
      </c>
      <c r="L481" s="118">
        <v>0.6</v>
      </c>
      <c r="M481" s="118">
        <v>1.2</v>
      </c>
      <c r="N481" s="119" t="s">
        <v>26</v>
      </c>
      <c r="O481" s="118">
        <v>2.5</v>
      </c>
      <c r="P481" s="119" t="s">
        <v>26</v>
      </c>
      <c r="Q481" s="118">
        <v>5.0999999999999996</v>
      </c>
      <c r="R481" s="118">
        <v>2.7</v>
      </c>
      <c r="S481" s="127">
        <v>1.9</v>
      </c>
      <c r="T481" s="121" t="s">
        <v>26</v>
      </c>
      <c r="U481" s="89">
        <v>323</v>
      </c>
      <c r="V481" s="126" t="s">
        <v>26</v>
      </c>
      <c r="AC481" s="33"/>
      <c r="AD481" s="33"/>
      <c r="AE481" s="33"/>
    </row>
    <row r="482" spans="1:31">
      <c r="A482" s="24" t="s">
        <v>515</v>
      </c>
      <c r="B482" s="8" t="s">
        <v>119</v>
      </c>
      <c r="C482" s="8" t="s">
        <v>22</v>
      </c>
      <c r="D482" s="3" t="s">
        <v>142</v>
      </c>
      <c r="E482" s="23" t="s">
        <v>29</v>
      </c>
      <c r="F482" s="16" t="s">
        <v>528</v>
      </c>
      <c r="G482" s="118">
        <v>46</v>
      </c>
      <c r="H482" s="118">
        <v>12.5</v>
      </c>
      <c r="I482" s="118">
        <v>9.5</v>
      </c>
      <c r="J482" s="118">
        <v>6.1</v>
      </c>
      <c r="K482" s="119" t="s">
        <v>26</v>
      </c>
      <c r="L482" s="118">
        <v>1.2</v>
      </c>
      <c r="M482" s="118">
        <v>1.3</v>
      </c>
      <c r="N482" s="119" t="s">
        <v>26</v>
      </c>
      <c r="O482" s="118">
        <v>4.0999999999999996</v>
      </c>
      <c r="P482" s="119" t="s">
        <v>26</v>
      </c>
      <c r="Q482" s="118">
        <v>4.5</v>
      </c>
      <c r="R482" s="119" t="s">
        <v>26</v>
      </c>
      <c r="S482" s="127">
        <v>3.5</v>
      </c>
      <c r="T482" s="121" t="s">
        <v>26</v>
      </c>
      <c r="U482" s="133">
        <v>2219</v>
      </c>
      <c r="V482" s="126" t="s">
        <v>26</v>
      </c>
      <c r="AC482" s="33"/>
      <c r="AD482" s="33"/>
      <c r="AE482" s="33"/>
    </row>
    <row r="483" spans="1:31">
      <c r="A483" s="24" t="s">
        <v>515</v>
      </c>
      <c r="B483" s="8" t="s">
        <v>119</v>
      </c>
      <c r="C483" s="8" t="s">
        <v>22</v>
      </c>
      <c r="D483" s="3" t="s">
        <v>142</v>
      </c>
      <c r="E483" s="23" t="s">
        <v>31</v>
      </c>
      <c r="F483" s="16" t="s">
        <v>529</v>
      </c>
      <c r="G483" s="118">
        <v>16</v>
      </c>
      <c r="H483" s="119" t="s">
        <v>26</v>
      </c>
      <c r="I483" s="118">
        <v>1.5</v>
      </c>
      <c r="J483" s="118">
        <v>0.5</v>
      </c>
      <c r="K483" s="119" t="s">
        <v>26</v>
      </c>
      <c r="L483" s="119" t="s">
        <v>26</v>
      </c>
      <c r="M483" s="118">
        <v>2.5</v>
      </c>
      <c r="N483" s="119" t="s">
        <v>26</v>
      </c>
      <c r="O483" s="118">
        <v>2.6</v>
      </c>
      <c r="P483" s="119" t="s">
        <v>26</v>
      </c>
      <c r="Q483" s="119" t="s">
        <v>26</v>
      </c>
      <c r="R483" s="119" t="s">
        <v>26</v>
      </c>
      <c r="S483" s="127">
        <v>6.5</v>
      </c>
      <c r="T483" s="121" t="s">
        <v>26</v>
      </c>
      <c r="U483" s="133">
        <v>725</v>
      </c>
      <c r="V483" s="126" t="s">
        <v>26</v>
      </c>
      <c r="AC483" s="33"/>
      <c r="AD483" s="33"/>
      <c r="AE483" s="33"/>
    </row>
    <row r="484" spans="1:31">
      <c r="A484" s="24" t="s">
        <v>515</v>
      </c>
      <c r="B484" s="8" t="s">
        <v>358</v>
      </c>
      <c r="C484" s="8" t="s">
        <v>22</v>
      </c>
      <c r="D484" s="8" t="s">
        <v>109</v>
      </c>
      <c r="E484" s="23" t="s">
        <v>24</v>
      </c>
      <c r="F484" s="16" t="s">
        <v>530</v>
      </c>
      <c r="G484" s="118">
        <v>238</v>
      </c>
      <c r="H484" s="118">
        <v>12.5</v>
      </c>
      <c r="I484" s="119" t="s">
        <v>26</v>
      </c>
      <c r="J484" s="119" t="s">
        <v>26</v>
      </c>
      <c r="K484" s="119" t="s">
        <v>26</v>
      </c>
      <c r="L484" s="119" t="s">
        <v>26</v>
      </c>
      <c r="M484" s="118">
        <v>0.6</v>
      </c>
      <c r="N484" s="119" t="s">
        <v>26</v>
      </c>
      <c r="O484" s="118">
        <v>0.5</v>
      </c>
      <c r="P484" s="119" t="s">
        <v>26</v>
      </c>
      <c r="Q484" s="118">
        <v>6.5</v>
      </c>
      <c r="R484" s="118">
        <v>1.6</v>
      </c>
      <c r="S484" s="127">
        <v>0.3</v>
      </c>
      <c r="T484" s="121" t="s">
        <v>26</v>
      </c>
      <c r="U484" s="130">
        <v>576</v>
      </c>
      <c r="V484" s="126" t="s">
        <v>26</v>
      </c>
      <c r="AC484" s="33"/>
      <c r="AD484" s="33"/>
      <c r="AE484" s="33"/>
    </row>
    <row r="485" spans="1:31">
      <c r="A485" s="24" t="s">
        <v>515</v>
      </c>
      <c r="B485" s="8" t="s">
        <v>358</v>
      </c>
      <c r="C485" s="8" t="s">
        <v>22</v>
      </c>
      <c r="D485" s="8" t="s">
        <v>109</v>
      </c>
      <c r="E485" s="23" t="s">
        <v>27</v>
      </c>
      <c r="F485" s="16" t="s">
        <v>531</v>
      </c>
      <c r="G485" s="118">
        <v>110</v>
      </c>
      <c r="H485" s="118">
        <v>29.5</v>
      </c>
      <c r="I485" s="118">
        <v>2.4</v>
      </c>
      <c r="J485" s="118">
        <v>0.6</v>
      </c>
      <c r="K485" s="118">
        <v>0.5</v>
      </c>
      <c r="L485" s="119" t="s">
        <v>26</v>
      </c>
      <c r="M485" s="118">
        <v>0.9</v>
      </c>
      <c r="N485" s="119" t="s">
        <v>26</v>
      </c>
      <c r="O485" s="118">
        <v>5.4</v>
      </c>
      <c r="P485" s="118">
        <v>1.4</v>
      </c>
      <c r="Q485" s="118">
        <v>5</v>
      </c>
      <c r="R485" s="118">
        <v>3.4</v>
      </c>
      <c r="S485" s="127">
        <v>2</v>
      </c>
      <c r="T485" s="121" t="s">
        <v>26</v>
      </c>
      <c r="U485" s="130">
        <v>38</v>
      </c>
      <c r="V485" s="126" t="s">
        <v>26</v>
      </c>
      <c r="AC485" s="33"/>
      <c r="AD485" s="33"/>
      <c r="AE485" s="33"/>
    </row>
    <row r="486" spans="1:31">
      <c r="A486" s="24" t="s">
        <v>515</v>
      </c>
      <c r="B486" s="8" t="s">
        <v>358</v>
      </c>
      <c r="C486" s="8" t="s">
        <v>22</v>
      </c>
      <c r="D486" s="8" t="s">
        <v>109</v>
      </c>
      <c r="E486" s="23" t="s">
        <v>29</v>
      </c>
      <c r="F486" s="16" t="s">
        <v>532</v>
      </c>
      <c r="G486" s="118">
        <v>35</v>
      </c>
      <c r="H486" s="118">
        <v>38.5</v>
      </c>
      <c r="I486" s="118">
        <v>6.5</v>
      </c>
      <c r="J486" s="118">
        <v>6.7</v>
      </c>
      <c r="K486" s="118">
        <v>0.9</v>
      </c>
      <c r="L486" s="119" t="s">
        <v>26</v>
      </c>
      <c r="M486" s="118">
        <v>1</v>
      </c>
      <c r="N486" s="119" t="s">
        <v>26</v>
      </c>
      <c r="O486" s="118">
        <v>5.6</v>
      </c>
      <c r="P486" s="118">
        <v>2</v>
      </c>
      <c r="Q486" s="118">
        <v>3.2</v>
      </c>
      <c r="R486" s="118">
        <v>1.5</v>
      </c>
      <c r="S486" s="127">
        <v>3.5</v>
      </c>
      <c r="T486" s="121" t="s">
        <v>26</v>
      </c>
      <c r="U486" s="130">
        <v>3037</v>
      </c>
      <c r="V486" s="126" t="s">
        <v>26</v>
      </c>
      <c r="AC486" s="33"/>
      <c r="AD486" s="33"/>
      <c r="AE486" s="33"/>
    </row>
    <row r="487" spans="1:31">
      <c r="A487" s="24" t="s">
        <v>515</v>
      </c>
      <c r="B487" s="8" t="s">
        <v>358</v>
      </c>
      <c r="C487" s="8" t="s">
        <v>22</v>
      </c>
      <c r="D487" s="8" t="s">
        <v>109</v>
      </c>
      <c r="E487" s="23" t="s">
        <v>31</v>
      </c>
      <c r="F487" s="16" t="s">
        <v>533</v>
      </c>
      <c r="G487" s="118">
        <v>10</v>
      </c>
      <c r="H487" s="119" t="s">
        <v>26</v>
      </c>
      <c r="I487" s="119" t="s">
        <v>26</v>
      </c>
      <c r="J487" s="118">
        <v>21.8</v>
      </c>
      <c r="K487" s="119" t="s">
        <v>26</v>
      </c>
      <c r="L487" s="119" t="s">
        <v>26</v>
      </c>
      <c r="M487" s="119" t="s">
        <v>26</v>
      </c>
      <c r="N487" s="119" t="s">
        <v>26</v>
      </c>
      <c r="O487" s="125" t="s">
        <v>26</v>
      </c>
      <c r="P487" s="119" t="s">
        <v>26</v>
      </c>
      <c r="Q487" s="119" t="s">
        <v>26</v>
      </c>
      <c r="R487" s="119" t="s">
        <v>26</v>
      </c>
      <c r="S487" s="127">
        <v>5.2</v>
      </c>
      <c r="T487" s="121" t="s">
        <v>26</v>
      </c>
      <c r="U487" s="130">
        <v>789</v>
      </c>
      <c r="V487" s="126" t="s">
        <v>26</v>
      </c>
      <c r="AC487" s="33"/>
      <c r="AD487" s="33"/>
      <c r="AE487" s="33"/>
    </row>
    <row r="488" spans="1:31">
      <c r="A488" s="26" t="s">
        <v>534</v>
      </c>
      <c r="B488" s="8" t="s">
        <v>535</v>
      </c>
      <c r="C488" s="8" t="s">
        <v>22</v>
      </c>
      <c r="D488" s="8" t="s">
        <v>109</v>
      </c>
      <c r="E488" s="23" t="s">
        <v>24</v>
      </c>
      <c r="F488" s="16" t="s">
        <v>536</v>
      </c>
      <c r="G488" s="118">
        <v>227</v>
      </c>
      <c r="H488" s="118">
        <v>20.7</v>
      </c>
      <c r="I488" s="119" t="s">
        <v>26</v>
      </c>
      <c r="J488" s="119" t="s">
        <v>26</v>
      </c>
      <c r="K488" s="119" t="s">
        <v>26</v>
      </c>
      <c r="L488" s="119" t="s">
        <v>26</v>
      </c>
      <c r="M488" s="119" t="s">
        <v>26</v>
      </c>
      <c r="N488" s="119" t="s">
        <v>26</v>
      </c>
      <c r="O488" s="118">
        <v>9</v>
      </c>
      <c r="P488" s="119" t="s">
        <v>26</v>
      </c>
      <c r="Q488" s="118">
        <v>7.2</v>
      </c>
      <c r="R488" s="119" t="s">
        <v>26</v>
      </c>
      <c r="S488" s="127">
        <v>2.7</v>
      </c>
      <c r="T488" s="121" t="s">
        <v>26</v>
      </c>
      <c r="U488" s="130">
        <v>561</v>
      </c>
      <c r="V488" s="89">
        <v>674</v>
      </c>
      <c r="AC488" s="33"/>
      <c r="AD488" s="33"/>
      <c r="AE488" s="33"/>
    </row>
    <row r="489" spans="1:31">
      <c r="A489" s="26" t="s">
        <v>534</v>
      </c>
      <c r="B489" s="8" t="s">
        <v>535</v>
      </c>
      <c r="C489" s="8" t="s">
        <v>22</v>
      </c>
      <c r="D489" s="8" t="s">
        <v>109</v>
      </c>
      <c r="E489" s="23" t="s">
        <v>27</v>
      </c>
      <c r="F489" s="16" t="s">
        <v>93</v>
      </c>
      <c r="G489" s="118">
        <v>114</v>
      </c>
      <c r="H489" s="118">
        <v>30.8</v>
      </c>
      <c r="I489" s="118">
        <v>5.9</v>
      </c>
      <c r="J489" s="119" t="s">
        <v>26</v>
      </c>
      <c r="K489" s="119" t="s">
        <v>26</v>
      </c>
      <c r="L489" s="119" t="s">
        <v>26</v>
      </c>
      <c r="M489" s="119" t="s">
        <v>26</v>
      </c>
      <c r="N489" s="119" t="s">
        <v>26</v>
      </c>
      <c r="O489" s="118">
        <v>5.8</v>
      </c>
      <c r="P489" s="119" t="s">
        <v>26</v>
      </c>
      <c r="Q489" s="118">
        <v>6.8</v>
      </c>
      <c r="R489" s="118">
        <v>2.7</v>
      </c>
      <c r="S489" s="127">
        <v>2.2000000000000002</v>
      </c>
      <c r="T489" s="121" t="s">
        <v>26</v>
      </c>
      <c r="U489" s="130">
        <v>1066</v>
      </c>
      <c r="V489" s="89">
        <v>279</v>
      </c>
      <c r="AC489" s="33"/>
      <c r="AD489" s="33"/>
      <c r="AE489" s="33"/>
    </row>
    <row r="490" spans="1:31">
      <c r="A490" s="26" t="s">
        <v>534</v>
      </c>
      <c r="B490" s="8" t="s">
        <v>535</v>
      </c>
      <c r="C490" s="8" t="s">
        <v>22</v>
      </c>
      <c r="D490" s="8" t="s">
        <v>109</v>
      </c>
      <c r="E490" s="23" t="s">
        <v>29</v>
      </c>
      <c r="F490" s="16" t="s">
        <v>537</v>
      </c>
      <c r="G490" s="118">
        <v>47</v>
      </c>
      <c r="H490" s="118">
        <v>15.2</v>
      </c>
      <c r="I490" s="118">
        <v>11.3</v>
      </c>
      <c r="J490" s="118">
        <v>1.3</v>
      </c>
      <c r="K490" s="119" t="s">
        <v>26</v>
      </c>
      <c r="L490" s="119" t="s">
        <v>26</v>
      </c>
      <c r="M490" s="119" t="s">
        <v>26</v>
      </c>
      <c r="N490" s="119" t="s">
        <v>26</v>
      </c>
      <c r="O490" s="118">
        <v>6.8</v>
      </c>
      <c r="P490" s="119" t="s">
        <v>26</v>
      </c>
      <c r="Q490" s="119" t="s">
        <v>26</v>
      </c>
      <c r="R490" s="119" t="s">
        <v>26</v>
      </c>
      <c r="S490" s="120" t="s">
        <v>26</v>
      </c>
      <c r="T490" s="121" t="s">
        <v>26</v>
      </c>
      <c r="U490" s="130">
        <v>2717</v>
      </c>
      <c r="V490" s="89">
        <v>563</v>
      </c>
      <c r="AC490" s="33"/>
      <c r="AD490" s="33"/>
      <c r="AE490" s="33"/>
    </row>
    <row r="491" spans="1:31">
      <c r="A491" s="26" t="s">
        <v>534</v>
      </c>
      <c r="B491" s="8" t="s">
        <v>535</v>
      </c>
      <c r="C491" s="8" t="s">
        <v>22</v>
      </c>
      <c r="D491" s="8" t="s">
        <v>109</v>
      </c>
      <c r="E491" s="23" t="s">
        <v>31</v>
      </c>
      <c r="F491" s="16" t="s">
        <v>538</v>
      </c>
      <c r="G491" s="118">
        <v>14</v>
      </c>
      <c r="H491" s="118">
        <v>10</v>
      </c>
      <c r="I491" s="119" t="s">
        <v>26</v>
      </c>
      <c r="J491" s="118">
        <v>5</v>
      </c>
      <c r="K491" s="119" t="s">
        <v>26</v>
      </c>
      <c r="L491" s="119" t="s">
        <v>26</v>
      </c>
      <c r="M491" s="119" t="s">
        <v>26</v>
      </c>
      <c r="N491" s="119" t="s">
        <v>26</v>
      </c>
      <c r="O491" s="125" t="s">
        <v>26</v>
      </c>
      <c r="P491" s="119" t="s">
        <v>26</v>
      </c>
      <c r="Q491" s="119" t="s">
        <v>26</v>
      </c>
      <c r="R491" s="119" t="s">
        <v>26</v>
      </c>
      <c r="S491" s="120" t="s">
        <v>26</v>
      </c>
      <c r="T491" s="121" t="s">
        <v>26</v>
      </c>
      <c r="U491" s="130">
        <v>1226</v>
      </c>
      <c r="V491" s="89">
        <v>261</v>
      </c>
      <c r="AC491" s="33"/>
      <c r="AD491" s="33"/>
      <c r="AE491" s="33"/>
    </row>
    <row r="492" spans="1:31">
      <c r="A492" s="26" t="s">
        <v>534</v>
      </c>
      <c r="B492" s="8" t="s">
        <v>21</v>
      </c>
      <c r="C492" s="8" t="s">
        <v>22</v>
      </c>
      <c r="D492" s="3" t="s">
        <v>33</v>
      </c>
      <c r="E492" s="23" t="s">
        <v>27</v>
      </c>
      <c r="F492" s="16" t="s">
        <v>539</v>
      </c>
      <c r="G492" s="118">
        <v>112</v>
      </c>
      <c r="H492" s="118">
        <v>6.2</v>
      </c>
      <c r="I492" s="119" t="s">
        <v>26</v>
      </c>
      <c r="J492" s="118">
        <v>5</v>
      </c>
      <c r="K492" s="119" t="s">
        <v>26</v>
      </c>
      <c r="L492" s="119" t="s">
        <v>26</v>
      </c>
      <c r="M492" s="119" t="s">
        <v>26</v>
      </c>
      <c r="N492" s="119" t="s">
        <v>26</v>
      </c>
      <c r="O492" s="118">
        <v>4.0999999999999996</v>
      </c>
      <c r="P492" s="119" t="s">
        <v>26</v>
      </c>
      <c r="Q492" s="119" t="s">
        <v>26</v>
      </c>
      <c r="R492" s="118">
        <v>3.6</v>
      </c>
      <c r="S492" s="120" t="s">
        <v>26</v>
      </c>
      <c r="T492" s="121" t="s">
        <v>26</v>
      </c>
      <c r="U492" s="130">
        <v>612</v>
      </c>
      <c r="V492" s="126" t="s">
        <v>26</v>
      </c>
      <c r="AC492" s="33"/>
      <c r="AD492" s="33"/>
      <c r="AE492" s="33"/>
    </row>
    <row r="493" spans="1:31">
      <c r="A493" s="26" t="s">
        <v>534</v>
      </c>
      <c r="B493" s="8" t="s">
        <v>21</v>
      </c>
      <c r="C493" s="8" t="s">
        <v>22</v>
      </c>
      <c r="D493" s="3" t="s">
        <v>33</v>
      </c>
      <c r="E493" s="23" t="s">
        <v>29</v>
      </c>
      <c r="F493" s="16" t="s">
        <v>540</v>
      </c>
      <c r="G493" s="118">
        <v>50</v>
      </c>
      <c r="H493" s="118">
        <v>10.3</v>
      </c>
      <c r="I493" s="119" t="s">
        <v>26</v>
      </c>
      <c r="J493" s="119" t="s">
        <v>26</v>
      </c>
      <c r="K493" s="119" t="s">
        <v>26</v>
      </c>
      <c r="L493" s="119" t="s">
        <v>26</v>
      </c>
      <c r="M493" s="119" t="s">
        <v>26</v>
      </c>
      <c r="N493" s="119" t="s">
        <v>26</v>
      </c>
      <c r="O493" s="118">
        <v>4.2</v>
      </c>
      <c r="P493" s="119" t="s">
        <v>26</v>
      </c>
      <c r="Q493" s="119" t="s">
        <v>26</v>
      </c>
      <c r="R493" s="119" t="s">
        <v>26</v>
      </c>
      <c r="S493" s="120" t="s">
        <v>26</v>
      </c>
      <c r="T493" s="121" t="s">
        <v>26</v>
      </c>
      <c r="U493" s="123" t="s">
        <v>26</v>
      </c>
      <c r="V493" s="126" t="s">
        <v>26</v>
      </c>
      <c r="AC493" s="33"/>
      <c r="AD493" s="33"/>
      <c r="AE493" s="33"/>
    </row>
    <row r="494" spans="1:31">
      <c r="A494" s="26" t="s">
        <v>534</v>
      </c>
      <c r="B494" s="8" t="s">
        <v>21</v>
      </c>
      <c r="C494" s="8" t="s">
        <v>22</v>
      </c>
      <c r="D494" s="3" t="s">
        <v>33</v>
      </c>
      <c r="E494" s="23" t="s">
        <v>31</v>
      </c>
      <c r="F494" s="16" t="s">
        <v>541</v>
      </c>
      <c r="G494" s="118">
        <v>15</v>
      </c>
      <c r="H494" s="119" t="s">
        <v>26</v>
      </c>
      <c r="I494" s="118">
        <v>5</v>
      </c>
      <c r="J494" s="118">
        <v>2.5</v>
      </c>
      <c r="K494" s="119" t="s">
        <v>26</v>
      </c>
      <c r="L494" s="119" t="s">
        <v>26</v>
      </c>
      <c r="M494" s="119" t="s">
        <v>26</v>
      </c>
      <c r="N494" s="119" t="s">
        <v>26</v>
      </c>
      <c r="O494" s="118">
        <v>5</v>
      </c>
      <c r="P494" s="119" t="s">
        <v>26</v>
      </c>
      <c r="Q494" s="119" t="s">
        <v>26</v>
      </c>
      <c r="R494" s="119" t="s">
        <v>26</v>
      </c>
      <c r="S494" s="120" t="s">
        <v>26</v>
      </c>
      <c r="T494" s="121" t="s">
        <v>26</v>
      </c>
      <c r="U494" s="130">
        <v>344</v>
      </c>
      <c r="V494" s="126" t="s">
        <v>26</v>
      </c>
      <c r="AC494" s="33"/>
      <c r="AD494" s="33"/>
      <c r="AE494" s="33"/>
    </row>
    <row r="495" spans="1:31">
      <c r="A495" s="26" t="s">
        <v>534</v>
      </c>
      <c r="B495" s="8" t="s">
        <v>542</v>
      </c>
      <c r="C495" s="8" t="s">
        <v>22</v>
      </c>
      <c r="D495" s="3" t="s">
        <v>23</v>
      </c>
      <c r="E495" s="23" t="s">
        <v>24</v>
      </c>
      <c r="F495" s="16" t="s">
        <v>543</v>
      </c>
      <c r="G495" s="118">
        <v>234</v>
      </c>
      <c r="H495" s="118">
        <v>29.4</v>
      </c>
      <c r="I495" s="119" t="s">
        <v>26</v>
      </c>
      <c r="J495" s="119" t="s">
        <v>26</v>
      </c>
      <c r="K495" s="119" t="s">
        <v>26</v>
      </c>
      <c r="L495" s="119" t="s">
        <v>26</v>
      </c>
      <c r="M495" s="118">
        <v>3.6</v>
      </c>
      <c r="N495" s="119" t="s">
        <v>26</v>
      </c>
      <c r="O495" s="118">
        <v>3.8</v>
      </c>
      <c r="P495" s="119" t="s">
        <v>26</v>
      </c>
      <c r="Q495" s="118">
        <v>2.1</v>
      </c>
      <c r="R495" s="119" t="s">
        <v>26</v>
      </c>
      <c r="S495" s="120" t="s">
        <v>26</v>
      </c>
      <c r="T495" s="121" t="s">
        <v>26</v>
      </c>
      <c r="U495" s="89">
        <v>566</v>
      </c>
      <c r="V495" s="126" t="s">
        <v>26</v>
      </c>
      <c r="AC495" s="33"/>
      <c r="AD495" s="33"/>
      <c r="AE495" s="33"/>
    </row>
    <row r="496" spans="1:31">
      <c r="A496" s="26" t="s">
        <v>534</v>
      </c>
      <c r="B496" s="8" t="s">
        <v>542</v>
      </c>
      <c r="C496" s="8" t="s">
        <v>22</v>
      </c>
      <c r="D496" s="3" t="s">
        <v>23</v>
      </c>
      <c r="E496" s="23" t="s">
        <v>27</v>
      </c>
      <c r="F496" s="16" t="s">
        <v>544</v>
      </c>
      <c r="G496" s="118">
        <v>122</v>
      </c>
      <c r="H496" s="118">
        <v>30.9</v>
      </c>
      <c r="I496" s="118">
        <v>7.2</v>
      </c>
      <c r="J496" s="119" t="s">
        <v>26</v>
      </c>
      <c r="K496" s="119" t="s">
        <v>26</v>
      </c>
      <c r="L496" s="119" t="s">
        <v>26</v>
      </c>
      <c r="M496" s="119" t="s">
        <v>26</v>
      </c>
      <c r="N496" s="119" t="s">
        <v>26</v>
      </c>
      <c r="O496" s="118">
        <v>4.2</v>
      </c>
      <c r="P496" s="119" t="s">
        <v>26</v>
      </c>
      <c r="Q496" s="119" t="s">
        <v>26</v>
      </c>
      <c r="R496" s="119" t="s">
        <v>26</v>
      </c>
      <c r="S496" s="120" t="s">
        <v>26</v>
      </c>
      <c r="T496" s="121" t="s">
        <v>26</v>
      </c>
      <c r="U496" s="123" t="s">
        <v>26</v>
      </c>
      <c r="V496" s="126" t="s">
        <v>26</v>
      </c>
      <c r="AC496" s="33"/>
      <c r="AD496" s="33"/>
      <c r="AE496" s="33"/>
    </row>
    <row r="497" spans="1:31">
      <c r="A497" s="26" t="s">
        <v>534</v>
      </c>
      <c r="B497" s="8" t="s">
        <v>542</v>
      </c>
      <c r="C497" s="8" t="s">
        <v>22</v>
      </c>
      <c r="D497" s="3" t="s">
        <v>23</v>
      </c>
      <c r="E497" s="23" t="s">
        <v>29</v>
      </c>
      <c r="F497" s="16" t="s">
        <v>295</v>
      </c>
      <c r="G497" s="118">
        <v>50</v>
      </c>
      <c r="H497" s="118">
        <v>10.5</v>
      </c>
      <c r="I497" s="118">
        <v>17.7</v>
      </c>
      <c r="J497" s="119" t="s">
        <v>26</v>
      </c>
      <c r="K497" s="119" t="s">
        <v>26</v>
      </c>
      <c r="L497" s="119" t="s">
        <v>26</v>
      </c>
      <c r="M497" s="119" t="s">
        <v>26</v>
      </c>
      <c r="N497" s="119" t="s">
        <v>26</v>
      </c>
      <c r="O497" s="118">
        <v>6.1</v>
      </c>
      <c r="P497" s="118">
        <v>6</v>
      </c>
      <c r="Q497" s="119" t="s">
        <v>26</v>
      </c>
      <c r="R497" s="119" t="s">
        <v>26</v>
      </c>
      <c r="S497" s="120" t="s">
        <v>26</v>
      </c>
      <c r="T497" s="121" t="s">
        <v>26</v>
      </c>
      <c r="U497" s="89">
        <v>1176</v>
      </c>
      <c r="V497" s="126" t="s">
        <v>26</v>
      </c>
      <c r="AC497" s="33"/>
      <c r="AD497" s="33"/>
      <c r="AE497" s="33"/>
    </row>
    <row r="498" spans="1:31">
      <c r="A498" s="26" t="s">
        <v>534</v>
      </c>
      <c r="B498" s="8" t="s">
        <v>542</v>
      </c>
      <c r="C498" s="8" t="s">
        <v>22</v>
      </c>
      <c r="D498" s="3" t="s">
        <v>23</v>
      </c>
      <c r="E498" s="23" t="s">
        <v>31</v>
      </c>
      <c r="F498" s="16" t="s">
        <v>545</v>
      </c>
      <c r="G498" s="118">
        <v>15</v>
      </c>
      <c r="H498" s="119" t="s">
        <v>26</v>
      </c>
      <c r="I498" s="119" t="s">
        <v>26</v>
      </c>
      <c r="J498" s="118">
        <v>4.2</v>
      </c>
      <c r="K498" s="119" t="s">
        <v>26</v>
      </c>
      <c r="L498" s="119" t="s">
        <v>26</v>
      </c>
      <c r="M498" s="119" t="s">
        <v>26</v>
      </c>
      <c r="N498" s="119" t="s">
        <v>26</v>
      </c>
      <c r="O498" s="125" t="s">
        <v>26</v>
      </c>
      <c r="P498" s="119" t="s">
        <v>26</v>
      </c>
      <c r="Q498" s="119" t="s">
        <v>26</v>
      </c>
      <c r="R498" s="119" t="s">
        <v>26</v>
      </c>
      <c r="S498" s="120" t="s">
        <v>26</v>
      </c>
      <c r="T498" s="121" t="s">
        <v>26</v>
      </c>
      <c r="U498" s="89">
        <v>806</v>
      </c>
      <c r="V498" s="126" t="s">
        <v>26</v>
      </c>
      <c r="AC498" s="33"/>
      <c r="AD498" s="33"/>
      <c r="AE498" s="33"/>
    </row>
    <row r="499" spans="1:31">
      <c r="A499" s="26" t="s">
        <v>534</v>
      </c>
      <c r="B499" s="8" t="s">
        <v>320</v>
      </c>
      <c r="C499" s="8" t="s">
        <v>22</v>
      </c>
      <c r="D499" s="8" t="s">
        <v>109</v>
      </c>
      <c r="E499" s="23" t="s">
        <v>24</v>
      </c>
      <c r="F499" s="16" t="s">
        <v>546</v>
      </c>
      <c r="G499" s="118">
        <v>207</v>
      </c>
      <c r="H499" s="118">
        <v>29.7</v>
      </c>
      <c r="I499" s="119" t="s">
        <v>26</v>
      </c>
      <c r="J499" s="119" t="s">
        <v>26</v>
      </c>
      <c r="K499" s="119" t="s">
        <v>26</v>
      </c>
      <c r="L499" s="119" t="s">
        <v>26</v>
      </c>
      <c r="M499" s="119" t="s">
        <v>26</v>
      </c>
      <c r="N499" s="119" t="s">
        <v>26</v>
      </c>
      <c r="O499" s="118">
        <v>4.2</v>
      </c>
      <c r="P499" s="119" t="s">
        <v>26</v>
      </c>
      <c r="Q499" s="119" t="s">
        <v>26</v>
      </c>
      <c r="R499" s="119" t="s">
        <v>26</v>
      </c>
      <c r="S499" s="127">
        <v>3.1</v>
      </c>
      <c r="T499" s="121" t="s">
        <v>26</v>
      </c>
      <c r="U499" s="130">
        <v>587</v>
      </c>
      <c r="V499" s="126" t="s">
        <v>26</v>
      </c>
      <c r="AC499" s="33"/>
      <c r="AD499" s="33"/>
      <c r="AE499" s="33"/>
    </row>
    <row r="500" spans="1:31">
      <c r="A500" s="26" t="s">
        <v>534</v>
      </c>
      <c r="B500" s="8" t="s">
        <v>320</v>
      </c>
      <c r="C500" s="8" t="s">
        <v>22</v>
      </c>
      <c r="D500" s="8" t="s">
        <v>109</v>
      </c>
      <c r="E500" s="23" t="s">
        <v>27</v>
      </c>
      <c r="F500" s="16" t="s">
        <v>547</v>
      </c>
      <c r="G500" s="118">
        <v>108</v>
      </c>
      <c r="H500" s="118">
        <v>39.9</v>
      </c>
      <c r="I500" s="119" t="s">
        <v>26</v>
      </c>
      <c r="J500" s="118">
        <v>0.9</v>
      </c>
      <c r="K500" s="119" t="s">
        <v>26</v>
      </c>
      <c r="L500" s="119" t="s">
        <v>26</v>
      </c>
      <c r="M500" s="119" t="s">
        <v>26</v>
      </c>
      <c r="N500" s="119" t="s">
        <v>26</v>
      </c>
      <c r="O500" s="125" t="s">
        <v>26</v>
      </c>
      <c r="P500" s="119" t="s">
        <v>26</v>
      </c>
      <c r="Q500" s="119" t="s">
        <v>26</v>
      </c>
      <c r="R500" s="119" t="s">
        <v>26</v>
      </c>
      <c r="S500" s="127">
        <v>2.7</v>
      </c>
      <c r="T500" s="121" t="s">
        <v>26</v>
      </c>
      <c r="U500" s="123" t="s">
        <v>26</v>
      </c>
      <c r="V500" s="126" t="s">
        <v>26</v>
      </c>
      <c r="AC500" s="33"/>
      <c r="AD500" s="33"/>
      <c r="AE500" s="33"/>
    </row>
    <row r="501" spans="1:31">
      <c r="A501" s="26" t="s">
        <v>534</v>
      </c>
      <c r="B501" s="8" t="s">
        <v>320</v>
      </c>
      <c r="C501" s="8" t="s">
        <v>22</v>
      </c>
      <c r="D501" s="8" t="s">
        <v>109</v>
      </c>
      <c r="E501" s="23" t="s">
        <v>29</v>
      </c>
      <c r="F501" s="16" t="s">
        <v>181</v>
      </c>
      <c r="G501" s="118">
        <v>47</v>
      </c>
      <c r="H501" s="118">
        <v>20.9</v>
      </c>
      <c r="I501" s="118">
        <v>9.8000000000000007</v>
      </c>
      <c r="J501" s="118">
        <v>2.7</v>
      </c>
      <c r="K501" s="119" t="s">
        <v>26</v>
      </c>
      <c r="L501" s="119" t="s">
        <v>26</v>
      </c>
      <c r="M501" s="119" t="s">
        <v>26</v>
      </c>
      <c r="N501" s="119" t="s">
        <v>26</v>
      </c>
      <c r="O501" s="118">
        <v>6.9</v>
      </c>
      <c r="P501" s="119" t="s">
        <v>26</v>
      </c>
      <c r="Q501" s="119" t="s">
        <v>26</v>
      </c>
      <c r="R501" s="119" t="s">
        <v>26</v>
      </c>
      <c r="S501" s="120" t="s">
        <v>26</v>
      </c>
      <c r="T501" s="121" t="s">
        <v>26</v>
      </c>
      <c r="U501" s="130">
        <v>2740</v>
      </c>
      <c r="V501" s="126" t="s">
        <v>26</v>
      </c>
      <c r="AC501" s="33"/>
      <c r="AD501" s="33"/>
      <c r="AE501" s="33"/>
    </row>
    <row r="502" spans="1:31">
      <c r="A502" s="26" t="s">
        <v>534</v>
      </c>
      <c r="B502" s="8" t="s">
        <v>320</v>
      </c>
      <c r="C502" s="8" t="s">
        <v>22</v>
      </c>
      <c r="D502" s="8" t="s">
        <v>109</v>
      </c>
      <c r="E502" s="23" t="s">
        <v>31</v>
      </c>
      <c r="F502" s="16" t="s">
        <v>548</v>
      </c>
      <c r="G502" s="118">
        <v>14</v>
      </c>
      <c r="H502" s="118">
        <v>10</v>
      </c>
      <c r="I502" s="119" t="s">
        <v>26</v>
      </c>
      <c r="J502" s="118">
        <v>7.5</v>
      </c>
      <c r="K502" s="119" t="s">
        <v>26</v>
      </c>
      <c r="L502" s="119" t="s">
        <v>26</v>
      </c>
      <c r="M502" s="119" t="s">
        <v>26</v>
      </c>
      <c r="N502" s="119" t="s">
        <v>26</v>
      </c>
      <c r="O502" s="125" t="s">
        <v>26</v>
      </c>
      <c r="P502" s="119" t="s">
        <v>26</v>
      </c>
      <c r="Q502" s="119" t="s">
        <v>26</v>
      </c>
      <c r="R502" s="119" t="s">
        <v>26</v>
      </c>
      <c r="S502" s="120" t="s">
        <v>26</v>
      </c>
      <c r="T502" s="121" t="s">
        <v>26</v>
      </c>
      <c r="U502" s="130">
        <v>1558</v>
      </c>
      <c r="V502" s="126" t="s">
        <v>26</v>
      </c>
      <c r="AC502" s="33"/>
      <c r="AD502" s="33"/>
      <c r="AE502" s="33"/>
    </row>
    <row r="503" spans="1:31">
      <c r="A503" s="26" t="s">
        <v>534</v>
      </c>
      <c r="B503" s="8" t="s">
        <v>549</v>
      </c>
      <c r="C503" s="8" t="s">
        <v>22</v>
      </c>
      <c r="D503" s="3" t="s">
        <v>23</v>
      </c>
      <c r="E503" s="23" t="s">
        <v>24</v>
      </c>
      <c r="F503" s="16" t="s">
        <v>550</v>
      </c>
      <c r="G503" s="118">
        <v>213</v>
      </c>
      <c r="H503" s="118">
        <v>24.3</v>
      </c>
      <c r="I503" s="119" t="s">
        <v>26</v>
      </c>
      <c r="J503" s="119" t="s">
        <v>26</v>
      </c>
      <c r="K503" s="119" t="s">
        <v>26</v>
      </c>
      <c r="L503" s="119" t="s">
        <v>26</v>
      </c>
      <c r="M503" s="119" t="s">
        <v>26</v>
      </c>
      <c r="N503" s="119" t="s">
        <v>26</v>
      </c>
      <c r="O503" s="118">
        <v>4.4000000000000004</v>
      </c>
      <c r="P503" s="119" t="s">
        <v>26</v>
      </c>
      <c r="Q503" s="118">
        <v>7.1</v>
      </c>
      <c r="R503" s="119" t="s">
        <v>26</v>
      </c>
      <c r="S503" s="127">
        <v>2.7</v>
      </c>
      <c r="T503" s="121" t="s">
        <v>26</v>
      </c>
      <c r="U503" s="123" t="s">
        <v>26</v>
      </c>
      <c r="V503" s="126" t="s">
        <v>26</v>
      </c>
      <c r="AC503" s="33"/>
      <c r="AD503" s="33"/>
      <c r="AE503" s="33"/>
    </row>
    <row r="504" spans="1:31">
      <c r="A504" s="26" t="s">
        <v>534</v>
      </c>
      <c r="B504" s="8" t="s">
        <v>549</v>
      </c>
      <c r="C504" s="8" t="s">
        <v>22</v>
      </c>
      <c r="D504" s="3" t="s">
        <v>23</v>
      </c>
      <c r="E504" s="23" t="s">
        <v>27</v>
      </c>
      <c r="F504" s="16" t="s">
        <v>551</v>
      </c>
      <c r="G504" s="118">
        <v>115</v>
      </c>
      <c r="H504" s="118">
        <v>36.200000000000003</v>
      </c>
      <c r="I504" s="118">
        <v>6.1</v>
      </c>
      <c r="J504" s="119" t="s">
        <v>26</v>
      </c>
      <c r="K504" s="119" t="s">
        <v>26</v>
      </c>
      <c r="L504" s="119" t="s">
        <v>26</v>
      </c>
      <c r="M504" s="119" t="s">
        <v>26</v>
      </c>
      <c r="N504" s="119" t="s">
        <v>26</v>
      </c>
      <c r="O504" s="118">
        <v>4.8</v>
      </c>
      <c r="P504" s="119" t="s">
        <v>26</v>
      </c>
      <c r="Q504" s="119" t="s">
        <v>26</v>
      </c>
      <c r="R504" s="119" t="s">
        <v>26</v>
      </c>
      <c r="S504" s="120" t="s">
        <v>26</v>
      </c>
      <c r="T504" s="121" t="s">
        <v>26</v>
      </c>
      <c r="U504" s="123" t="s">
        <v>26</v>
      </c>
      <c r="V504" s="126" t="s">
        <v>26</v>
      </c>
      <c r="AC504" s="33"/>
      <c r="AD504" s="33"/>
      <c r="AE504" s="33"/>
    </row>
    <row r="505" spans="1:31">
      <c r="A505" s="26" t="s">
        <v>534</v>
      </c>
      <c r="B505" s="8" t="s">
        <v>549</v>
      </c>
      <c r="C505" s="8" t="s">
        <v>22</v>
      </c>
      <c r="D505" s="3" t="s">
        <v>23</v>
      </c>
      <c r="E505" s="23" t="s">
        <v>29</v>
      </c>
      <c r="F505" s="16" t="s">
        <v>552</v>
      </c>
      <c r="G505" s="118">
        <v>45</v>
      </c>
      <c r="H505" s="118">
        <v>19.899999999999999</v>
      </c>
      <c r="I505" s="118">
        <v>11</v>
      </c>
      <c r="J505" s="119" t="s">
        <v>26</v>
      </c>
      <c r="K505" s="119" t="s">
        <v>26</v>
      </c>
      <c r="L505" s="119" t="s">
        <v>26</v>
      </c>
      <c r="M505" s="119" t="s">
        <v>26</v>
      </c>
      <c r="N505" s="119" t="s">
        <v>26</v>
      </c>
      <c r="O505" s="118">
        <v>8.1999999999999993</v>
      </c>
      <c r="P505" s="119" t="s">
        <v>26</v>
      </c>
      <c r="Q505" s="119" t="s">
        <v>26</v>
      </c>
      <c r="R505" s="119" t="s">
        <v>26</v>
      </c>
      <c r="S505" s="120" t="s">
        <v>26</v>
      </c>
      <c r="T505" s="121" t="s">
        <v>26</v>
      </c>
      <c r="U505" s="123" t="s">
        <v>26</v>
      </c>
      <c r="V505" s="126" t="s">
        <v>26</v>
      </c>
      <c r="AC505" s="33"/>
      <c r="AD505" s="33"/>
      <c r="AE505" s="33"/>
    </row>
    <row r="506" spans="1:31">
      <c r="A506" s="26" t="s">
        <v>534</v>
      </c>
      <c r="B506" s="8" t="s">
        <v>549</v>
      </c>
      <c r="C506" s="8" t="s">
        <v>22</v>
      </c>
      <c r="D506" s="3" t="s">
        <v>23</v>
      </c>
      <c r="E506" s="23" t="s">
        <v>31</v>
      </c>
      <c r="F506" s="16" t="s">
        <v>553</v>
      </c>
      <c r="G506" s="118">
        <v>14</v>
      </c>
      <c r="H506" s="119" t="s">
        <v>26</v>
      </c>
      <c r="I506" s="119" t="s">
        <v>26</v>
      </c>
      <c r="J506" s="118">
        <v>5</v>
      </c>
      <c r="K506" s="119" t="s">
        <v>26</v>
      </c>
      <c r="L506" s="119" t="s">
        <v>26</v>
      </c>
      <c r="M506" s="119" t="s">
        <v>26</v>
      </c>
      <c r="N506" s="119" t="s">
        <v>26</v>
      </c>
      <c r="O506" s="125" t="s">
        <v>26</v>
      </c>
      <c r="P506" s="119" t="s">
        <v>26</v>
      </c>
      <c r="Q506" s="119" t="s">
        <v>26</v>
      </c>
      <c r="R506" s="119" t="s">
        <v>26</v>
      </c>
      <c r="S506" s="120" t="s">
        <v>26</v>
      </c>
      <c r="T506" s="121" t="s">
        <v>26</v>
      </c>
      <c r="U506" s="123" t="s">
        <v>26</v>
      </c>
      <c r="V506" s="126" t="s">
        <v>26</v>
      </c>
      <c r="AC506" s="33"/>
      <c r="AD506" s="33"/>
      <c r="AE506" s="33"/>
    </row>
    <row r="507" spans="1:31">
      <c r="A507" s="26" t="s">
        <v>534</v>
      </c>
      <c r="B507" s="8" t="s">
        <v>381</v>
      </c>
      <c r="C507" s="8" t="s">
        <v>22</v>
      </c>
      <c r="D507" s="3" t="s">
        <v>33</v>
      </c>
      <c r="E507" s="23" t="s">
        <v>24</v>
      </c>
      <c r="F507" s="16" t="s">
        <v>554</v>
      </c>
      <c r="G507" s="118">
        <v>192</v>
      </c>
      <c r="H507" s="118">
        <v>39.200000000000003</v>
      </c>
      <c r="I507" s="119" t="s">
        <v>26</v>
      </c>
      <c r="J507" s="119" t="s">
        <v>26</v>
      </c>
      <c r="K507" s="119" t="s">
        <v>26</v>
      </c>
      <c r="L507" s="119" t="s">
        <v>26</v>
      </c>
      <c r="M507" s="119" t="s">
        <v>26</v>
      </c>
      <c r="N507" s="119" t="s">
        <v>26</v>
      </c>
      <c r="O507" s="118">
        <v>4.4000000000000004</v>
      </c>
      <c r="P507" s="119" t="s">
        <v>26</v>
      </c>
      <c r="Q507" s="119" t="s">
        <v>26</v>
      </c>
      <c r="R507" s="119" t="s">
        <v>26</v>
      </c>
      <c r="S507" s="120" t="s">
        <v>26</v>
      </c>
      <c r="T507" s="121" t="s">
        <v>26</v>
      </c>
      <c r="U507" s="123" t="s">
        <v>26</v>
      </c>
      <c r="V507" s="126" t="s">
        <v>26</v>
      </c>
      <c r="AC507" s="33"/>
      <c r="AD507" s="33"/>
      <c r="AE507" s="33"/>
    </row>
    <row r="508" spans="1:31">
      <c r="A508" s="26" t="s">
        <v>534</v>
      </c>
      <c r="B508" s="8" t="s">
        <v>381</v>
      </c>
      <c r="C508" s="8" t="s">
        <v>22</v>
      </c>
      <c r="D508" s="3" t="s">
        <v>33</v>
      </c>
      <c r="E508" s="23" t="s">
        <v>27</v>
      </c>
      <c r="F508" s="16" t="s">
        <v>555</v>
      </c>
      <c r="G508" s="118">
        <v>102</v>
      </c>
      <c r="H508" s="118">
        <v>40.5</v>
      </c>
      <c r="I508" s="119" t="s">
        <v>26</v>
      </c>
      <c r="J508" s="119" t="s">
        <v>26</v>
      </c>
      <c r="K508" s="119" t="s">
        <v>26</v>
      </c>
      <c r="L508" s="119" t="s">
        <v>26</v>
      </c>
      <c r="M508" s="119" t="s">
        <v>26</v>
      </c>
      <c r="N508" s="119" t="s">
        <v>26</v>
      </c>
      <c r="O508" s="118">
        <v>6.1</v>
      </c>
      <c r="P508" s="119" t="s">
        <v>26</v>
      </c>
      <c r="Q508" s="119" t="s">
        <v>26</v>
      </c>
      <c r="R508" s="119" t="s">
        <v>26</v>
      </c>
      <c r="S508" s="120" t="s">
        <v>26</v>
      </c>
      <c r="T508" s="121" t="s">
        <v>26</v>
      </c>
      <c r="U508" s="123" t="s">
        <v>26</v>
      </c>
      <c r="V508" s="126" t="s">
        <v>26</v>
      </c>
      <c r="AC508" s="33"/>
      <c r="AD508" s="33"/>
      <c r="AE508" s="33"/>
    </row>
    <row r="509" spans="1:31">
      <c r="A509" s="26" t="s">
        <v>534</v>
      </c>
      <c r="B509" s="8" t="s">
        <v>381</v>
      </c>
      <c r="C509" s="8" t="s">
        <v>22</v>
      </c>
      <c r="D509" s="3" t="s">
        <v>33</v>
      </c>
      <c r="E509" s="23" t="s">
        <v>29</v>
      </c>
      <c r="F509" s="16" t="s">
        <v>556</v>
      </c>
      <c r="G509" s="118">
        <v>49</v>
      </c>
      <c r="H509" s="118">
        <v>18.899999999999999</v>
      </c>
      <c r="I509" s="118">
        <v>15.1</v>
      </c>
      <c r="J509" s="119" t="s">
        <v>26</v>
      </c>
      <c r="K509" s="119" t="s">
        <v>26</v>
      </c>
      <c r="L509" s="119" t="s">
        <v>26</v>
      </c>
      <c r="M509" s="119" t="s">
        <v>26</v>
      </c>
      <c r="N509" s="119" t="s">
        <v>26</v>
      </c>
      <c r="O509" s="118">
        <v>5.9</v>
      </c>
      <c r="P509" s="119" t="s">
        <v>26</v>
      </c>
      <c r="Q509" s="119" t="s">
        <v>26</v>
      </c>
      <c r="R509" s="119" t="s">
        <v>26</v>
      </c>
      <c r="S509" s="120" t="s">
        <v>26</v>
      </c>
      <c r="T509" s="121" t="s">
        <v>26</v>
      </c>
      <c r="U509" s="123" t="s">
        <v>26</v>
      </c>
      <c r="V509" s="126" t="s">
        <v>26</v>
      </c>
      <c r="AC509" s="33"/>
      <c r="AD509" s="33"/>
      <c r="AE509" s="33"/>
    </row>
    <row r="510" spans="1:31">
      <c r="A510" s="26" t="s">
        <v>534</v>
      </c>
      <c r="B510" s="8" t="s">
        <v>381</v>
      </c>
      <c r="C510" s="8" t="s">
        <v>22</v>
      </c>
      <c r="D510" s="3" t="s">
        <v>33</v>
      </c>
      <c r="E510" s="23" t="s">
        <v>31</v>
      </c>
      <c r="F510" s="16" t="s">
        <v>160</v>
      </c>
      <c r="G510" s="118">
        <v>17</v>
      </c>
      <c r="H510" s="119" t="s">
        <v>26</v>
      </c>
      <c r="I510" s="119" t="s">
        <v>26</v>
      </c>
      <c r="J510" s="118">
        <v>5</v>
      </c>
      <c r="K510" s="119" t="s">
        <v>26</v>
      </c>
      <c r="L510" s="119" t="s">
        <v>26</v>
      </c>
      <c r="M510" s="119" t="s">
        <v>26</v>
      </c>
      <c r="N510" s="119" t="s">
        <v>26</v>
      </c>
      <c r="O510" s="118">
        <v>6.7</v>
      </c>
      <c r="P510" s="119" t="s">
        <v>26</v>
      </c>
      <c r="Q510" s="119" t="s">
        <v>26</v>
      </c>
      <c r="R510" s="119" t="s">
        <v>26</v>
      </c>
      <c r="S510" s="120" t="s">
        <v>26</v>
      </c>
      <c r="T510" s="121" t="s">
        <v>26</v>
      </c>
      <c r="U510" s="123" t="s">
        <v>26</v>
      </c>
      <c r="V510" s="126" t="s">
        <v>26</v>
      </c>
      <c r="AC510" s="33"/>
      <c r="AD510" s="33"/>
      <c r="AE510" s="33"/>
    </row>
    <row r="511" spans="1:31">
      <c r="A511" s="26" t="s">
        <v>557</v>
      </c>
      <c r="B511" s="8" t="s">
        <v>457</v>
      </c>
      <c r="C511" s="8" t="s">
        <v>22</v>
      </c>
      <c r="D511" s="8" t="s">
        <v>109</v>
      </c>
      <c r="E511" s="23" t="s">
        <v>24</v>
      </c>
      <c r="F511" s="19">
        <v>2451</v>
      </c>
      <c r="G511" s="118">
        <v>245</v>
      </c>
      <c r="H511" s="118">
        <v>17.5</v>
      </c>
      <c r="I511" s="119" t="s">
        <v>26</v>
      </c>
      <c r="J511" s="119" t="s">
        <v>26</v>
      </c>
      <c r="K511" s="119" t="s">
        <v>26</v>
      </c>
      <c r="L511" s="119" t="s">
        <v>26</v>
      </c>
      <c r="M511" s="118">
        <v>0.8</v>
      </c>
      <c r="N511" s="119" t="s">
        <v>26</v>
      </c>
      <c r="O511" s="118">
        <v>1.2</v>
      </c>
      <c r="P511" s="118">
        <v>0.5</v>
      </c>
      <c r="Q511" s="118">
        <v>5.0999999999999996</v>
      </c>
      <c r="R511" s="118">
        <v>1.5</v>
      </c>
      <c r="S511" s="120" t="s">
        <v>26</v>
      </c>
      <c r="T511" s="121" t="s">
        <v>26</v>
      </c>
      <c r="U511" s="130">
        <v>342</v>
      </c>
      <c r="V511" s="126" t="s">
        <v>26</v>
      </c>
      <c r="AC511" s="33"/>
      <c r="AD511" s="33"/>
      <c r="AE511" s="33"/>
    </row>
    <row r="512" spans="1:31">
      <c r="A512" s="26" t="s">
        <v>557</v>
      </c>
      <c r="B512" s="8" t="s">
        <v>457</v>
      </c>
      <c r="C512" s="8" t="s">
        <v>22</v>
      </c>
      <c r="D512" s="8" t="s">
        <v>109</v>
      </c>
      <c r="E512" s="23" t="s">
        <v>27</v>
      </c>
      <c r="F512" s="19">
        <v>1121</v>
      </c>
      <c r="G512" s="118">
        <v>119</v>
      </c>
      <c r="H512" s="118">
        <v>27.5</v>
      </c>
      <c r="I512" s="118">
        <v>2.5</v>
      </c>
      <c r="J512" s="118">
        <v>0.5</v>
      </c>
      <c r="K512" s="119" t="s">
        <v>26</v>
      </c>
      <c r="L512" s="119" t="s">
        <v>26</v>
      </c>
      <c r="M512" s="118">
        <v>0.5</v>
      </c>
      <c r="N512" s="119" t="s">
        <v>26</v>
      </c>
      <c r="O512" s="118">
        <v>3.5</v>
      </c>
      <c r="P512" s="118">
        <v>1.4</v>
      </c>
      <c r="Q512" s="118">
        <v>3.2</v>
      </c>
      <c r="R512" s="118">
        <v>0.9</v>
      </c>
      <c r="S512" s="127">
        <v>2.2000000000000002</v>
      </c>
      <c r="T512" s="121" t="s">
        <v>26</v>
      </c>
      <c r="U512" s="130">
        <v>75</v>
      </c>
      <c r="V512" s="126" t="s">
        <v>26</v>
      </c>
      <c r="AC512" s="33"/>
      <c r="AD512" s="33"/>
      <c r="AE512" s="33"/>
    </row>
    <row r="513" spans="1:31">
      <c r="A513" s="26" t="s">
        <v>557</v>
      </c>
      <c r="B513" s="8" t="s">
        <v>457</v>
      </c>
      <c r="C513" s="8" t="s">
        <v>22</v>
      </c>
      <c r="D513" s="8" t="s">
        <v>109</v>
      </c>
      <c r="E513" s="23" t="s">
        <v>29</v>
      </c>
      <c r="F513" s="19">
        <v>2517</v>
      </c>
      <c r="G513" s="118">
        <v>44</v>
      </c>
      <c r="H513" s="118">
        <v>23.5</v>
      </c>
      <c r="I513" s="118">
        <v>12.8</v>
      </c>
      <c r="J513" s="118">
        <v>0.9</v>
      </c>
      <c r="K513" s="119" t="s">
        <v>26</v>
      </c>
      <c r="L513" s="119" t="s">
        <v>26</v>
      </c>
      <c r="M513" s="119" t="s">
        <v>26</v>
      </c>
      <c r="N513" s="119" t="s">
        <v>26</v>
      </c>
      <c r="O513" s="118">
        <v>3.9</v>
      </c>
      <c r="P513" s="118">
        <v>1.6</v>
      </c>
      <c r="Q513" s="118">
        <v>2.5</v>
      </c>
      <c r="R513" s="119" t="s">
        <v>26</v>
      </c>
      <c r="S513" s="127">
        <v>3.4</v>
      </c>
      <c r="T513" s="121" t="s">
        <v>26</v>
      </c>
      <c r="U513" s="123" t="s">
        <v>26</v>
      </c>
      <c r="V513" s="126" t="s">
        <v>26</v>
      </c>
      <c r="AC513" s="33"/>
      <c r="AD513" s="33"/>
      <c r="AE513" s="33"/>
    </row>
    <row r="514" spans="1:31">
      <c r="A514" s="26" t="s">
        <v>557</v>
      </c>
      <c r="B514" s="8" t="s">
        <v>457</v>
      </c>
      <c r="C514" s="8" t="s">
        <v>22</v>
      </c>
      <c r="D514" s="8" t="s">
        <v>109</v>
      </c>
      <c r="E514" s="23" t="s">
        <v>31</v>
      </c>
      <c r="F514" s="19">
        <v>799</v>
      </c>
      <c r="G514" s="118">
        <v>17</v>
      </c>
      <c r="H514" s="119" t="s">
        <v>26</v>
      </c>
      <c r="I514" s="118">
        <v>3.8</v>
      </c>
      <c r="J514" s="118">
        <v>10.8</v>
      </c>
      <c r="K514" s="119" t="s">
        <v>26</v>
      </c>
      <c r="L514" s="119" t="s">
        <v>26</v>
      </c>
      <c r="M514" s="119" t="s">
        <v>26</v>
      </c>
      <c r="N514" s="119" t="s">
        <v>26</v>
      </c>
      <c r="O514" s="118">
        <v>2.4</v>
      </c>
      <c r="P514" s="118">
        <v>0.9</v>
      </c>
      <c r="Q514" s="119" t="s">
        <v>26</v>
      </c>
      <c r="R514" s="119" t="s">
        <v>26</v>
      </c>
      <c r="S514" s="127">
        <v>7.5</v>
      </c>
      <c r="T514" s="121" t="s">
        <v>26</v>
      </c>
      <c r="U514" s="130">
        <v>799</v>
      </c>
      <c r="V514" s="126" t="s">
        <v>26</v>
      </c>
      <c r="AC514" s="33"/>
      <c r="AD514" s="33"/>
      <c r="AE514" s="33"/>
    </row>
    <row r="515" spans="1:31">
      <c r="A515" s="26" t="s">
        <v>557</v>
      </c>
      <c r="B515" s="8" t="s">
        <v>349</v>
      </c>
      <c r="C515" s="8" t="s">
        <v>22</v>
      </c>
      <c r="D515" s="3" t="s">
        <v>33</v>
      </c>
      <c r="E515" s="23" t="s">
        <v>27</v>
      </c>
      <c r="F515" s="16" t="s">
        <v>558</v>
      </c>
      <c r="G515" s="118">
        <v>118</v>
      </c>
      <c r="H515" s="118">
        <v>21.5</v>
      </c>
      <c r="I515" s="118">
        <v>8.9</v>
      </c>
      <c r="J515" s="119" t="s">
        <v>26</v>
      </c>
      <c r="K515" s="119" t="s">
        <v>26</v>
      </c>
      <c r="L515" s="119" t="s">
        <v>26</v>
      </c>
      <c r="M515" s="118">
        <v>0.7</v>
      </c>
      <c r="N515" s="119" t="s">
        <v>26</v>
      </c>
      <c r="O515" s="118">
        <v>0.5</v>
      </c>
      <c r="P515" s="119" t="s">
        <v>26</v>
      </c>
      <c r="Q515" s="119" t="s">
        <v>26</v>
      </c>
      <c r="R515" s="118">
        <v>2.4</v>
      </c>
      <c r="S515" s="120" t="s">
        <v>26</v>
      </c>
      <c r="T515" s="121" t="s">
        <v>26</v>
      </c>
      <c r="U515" s="130">
        <v>38</v>
      </c>
      <c r="V515" s="126" t="s">
        <v>26</v>
      </c>
      <c r="AC515" s="33"/>
      <c r="AD515" s="33"/>
      <c r="AE515" s="33"/>
    </row>
    <row r="516" spans="1:31">
      <c r="A516" s="26" t="s">
        <v>557</v>
      </c>
      <c r="B516" s="8" t="s">
        <v>349</v>
      </c>
      <c r="C516" s="8" t="s">
        <v>22</v>
      </c>
      <c r="D516" s="3" t="s">
        <v>33</v>
      </c>
      <c r="E516" s="23" t="s">
        <v>29</v>
      </c>
      <c r="F516" s="16" t="s">
        <v>559</v>
      </c>
      <c r="G516" s="118">
        <v>49</v>
      </c>
      <c r="H516" s="118">
        <v>3.3</v>
      </c>
      <c r="I516" s="118">
        <v>21.4</v>
      </c>
      <c r="J516" s="118">
        <v>1.6</v>
      </c>
      <c r="K516" s="118">
        <v>0.5</v>
      </c>
      <c r="L516" s="119" t="s">
        <v>26</v>
      </c>
      <c r="M516" s="118">
        <v>0.8</v>
      </c>
      <c r="N516" s="119" t="s">
        <v>26</v>
      </c>
      <c r="O516" s="118">
        <v>1.4</v>
      </c>
      <c r="P516" s="119" t="s">
        <v>26</v>
      </c>
      <c r="Q516" s="119" t="s">
        <v>26</v>
      </c>
      <c r="R516" s="118">
        <v>1.5</v>
      </c>
      <c r="S516" s="127">
        <v>2.9</v>
      </c>
      <c r="T516" s="121" t="s">
        <v>26</v>
      </c>
      <c r="U516" s="130">
        <v>400</v>
      </c>
      <c r="V516" s="126" t="s">
        <v>26</v>
      </c>
      <c r="AC516" s="33"/>
      <c r="AD516" s="33"/>
      <c r="AE516" s="33"/>
    </row>
    <row r="517" spans="1:31">
      <c r="A517" s="26" t="s">
        <v>557</v>
      </c>
      <c r="B517" s="8" t="s">
        <v>349</v>
      </c>
      <c r="C517" s="8" t="s">
        <v>22</v>
      </c>
      <c r="D517" s="3" t="s">
        <v>33</v>
      </c>
      <c r="E517" s="23" t="s">
        <v>31</v>
      </c>
      <c r="F517" s="16" t="s">
        <v>560</v>
      </c>
      <c r="G517" s="118">
        <v>23</v>
      </c>
      <c r="H517" s="119" t="s">
        <v>26</v>
      </c>
      <c r="I517" s="118">
        <v>15.5</v>
      </c>
      <c r="J517" s="118">
        <v>3.96</v>
      </c>
      <c r="K517" s="119" t="s">
        <v>26</v>
      </c>
      <c r="L517" s="119" t="s">
        <v>26</v>
      </c>
      <c r="M517" s="119" t="s">
        <v>26</v>
      </c>
      <c r="N517" s="119" t="s">
        <v>26</v>
      </c>
      <c r="O517" s="118">
        <v>1.6</v>
      </c>
      <c r="P517" s="119" t="s">
        <v>26</v>
      </c>
      <c r="Q517" s="119" t="s">
        <v>26</v>
      </c>
      <c r="R517" s="119" t="s">
        <v>26</v>
      </c>
      <c r="S517" s="127">
        <v>3.1</v>
      </c>
      <c r="T517" s="121" t="s">
        <v>26</v>
      </c>
      <c r="U517" s="130">
        <v>583</v>
      </c>
      <c r="V517" s="126" t="s">
        <v>26</v>
      </c>
      <c r="AC517" s="33"/>
      <c r="AD517" s="33"/>
      <c r="AE517" s="33"/>
    </row>
    <row r="518" spans="1:31">
      <c r="A518" s="26" t="s">
        <v>557</v>
      </c>
      <c r="B518" s="8" t="s">
        <v>405</v>
      </c>
      <c r="C518" s="8" t="s">
        <v>22</v>
      </c>
      <c r="D518" s="3" t="s">
        <v>33</v>
      </c>
      <c r="E518" s="23" t="s">
        <v>24</v>
      </c>
      <c r="F518" s="16" t="s">
        <v>561</v>
      </c>
      <c r="G518" s="118">
        <v>196</v>
      </c>
      <c r="H518" s="118">
        <v>38.5</v>
      </c>
      <c r="I518" s="119" t="s">
        <v>26</v>
      </c>
      <c r="J518" s="119" t="s">
        <v>26</v>
      </c>
      <c r="K518" s="119" t="s">
        <v>26</v>
      </c>
      <c r="L518" s="119" t="s">
        <v>26</v>
      </c>
      <c r="M518" s="118">
        <v>0.8</v>
      </c>
      <c r="N518" s="119" t="s">
        <v>26</v>
      </c>
      <c r="O518" s="125" t="s">
        <v>26</v>
      </c>
      <c r="P518" s="118">
        <v>0.4</v>
      </c>
      <c r="Q518" s="118">
        <v>3.5</v>
      </c>
      <c r="R518" s="119" t="s">
        <v>26</v>
      </c>
      <c r="S518" s="127">
        <v>0.4</v>
      </c>
      <c r="T518" s="121" t="s">
        <v>26</v>
      </c>
      <c r="U518" s="130">
        <v>180</v>
      </c>
      <c r="V518" s="126" t="s">
        <v>26</v>
      </c>
      <c r="AC518" s="33"/>
      <c r="AD518" s="33"/>
      <c r="AE518" s="33"/>
    </row>
    <row r="519" spans="1:31">
      <c r="A519" s="26" t="s">
        <v>557</v>
      </c>
      <c r="B519" s="8" t="s">
        <v>405</v>
      </c>
      <c r="C519" s="8" t="s">
        <v>22</v>
      </c>
      <c r="D519" s="3" t="s">
        <v>33</v>
      </c>
      <c r="E519" s="23" t="s">
        <v>27</v>
      </c>
      <c r="F519" s="16" t="s">
        <v>562</v>
      </c>
      <c r="G519" s="118">
        <v>100</v>
      </c>
      <c r="H519" s="118">
        <v>42.5</v>
      </c>
      <c r="I519" s="119" t="s">
        <v>26</v>
      </c>
      <c r="J519" s="118">
        <v>0.7</v>
      </c>
      <c r="K519" s="119" t="s">
        <v>26</v>
      </c>
      <c r="L519" s="119" t="s">
        <v>26</v>
      </c>
      <c r="M519" s="118">
        <v>0.7</v>
      </c>
      <c r="N519" s="119" t="s">
        <v>26</v>
      </c>
      <c r="O519" s="118">
        <v>1.9</v>
      </c>
      <c r="P519" s="118">
        <v>0.6</v>
      </c>
      <c r="Q519" s="119" t="s">
        <v>26</v>
      </c>
      <c r="R519" s="119" t="s">
        <v>26</v>
      </c>
      <c r="S519" s="127">
        <v>1.6</v>
      </c>
      <c r="T519" s="121" t="s">
        <v>26</v>
      </c>
      <c r="U519" s="130">
        <v>201</v>
      </c>
      <c r="V519" s="126" t="s">
        <v>26</v>
      </c>
      <c r="AC519" s="33"/>
      <c r="AD519" s="33"/>
      <c r="AE519" s="33"/>
    </row>
    <row r="520" spans="1:31">
      <c r="A520" s="26" t="s">
        <v>557</v>
      </c>
      <c r="B520" s="8" t="s">
        <v>405</v>
      </c>
      <c r="C520" s="8" t="s">
        <v>22</v>
      </c>
      <c r="D520" s="3" t="s">
        <v>33</v>
      </c>
      <c r="E520" s="23" t="s">
        <v>29</v>
      </c>
      <c r="F520" s="16" t="s">
        <v>563</v>
      </c>
      <c r="G520" s="118">
        <v>43</v>
      </c>
      <c r="H520" s="118">
        <v>22.5</v>
      </c>
      <c r="I520" s="118">
        <v>10.5</v>
      </c>
      <c r="J520" s="118">
        <v>1.6</v>
      </c>
      <c r="K520" s="119" t="s">
        <v>26</v>
      </c>
      <c r="L520" s="119" t="s">
        <v>26</v>
      </c>
      <c r="M520" s="118">
        <v>1.2</v>
      </c>
      <c r="N520" s="119" t="s">
        <v>26</v>
      </c>
      <c r="O520" s="118">
        <v>2.4</v>
      </c>
      <c r="P520" s="118">
        <v>1.1000000000000001</v>
      </c>
      <c r="Q520" s="119" t="s">
        <v>26</v>
      </c>
      <c r="R520" s="119" t="s">
        <v>26</v>
      </c>
      <c r="S520" s="127">
        <v>2.8</v>
      </c>
      <c r="T520" s="121" t="s">
        <v>26</v>
      </c>
      <c r="U520" s="130">
        <v>180</v>
      </c>
      <c r="V520" s="126" t="s">
        <v>26</v>
      </c>
      <c r="AC520" s="33"/>
      <c r="AD520" s="33"/>
      <c r="AE520" s="33"/>
    </row>
    <row r="521" spans="1:31">
      <c r="A521" s="26" t="s">
        <v>557</v>
      </c>
      <c r="B521" s="8" t="s">
        <v>405</v>
      </c>
      <c r="C521" s="8" t="s">
        <v>22</v>
      </c>
      <c r="D521" s="3" t="s">
        <v>33</v>
      </c>
      <c r="E521" s="23" t="s">
        <v>31</v>
      </c>
      <c r="F521" s="16" t="s">
        <v>564</v>
      </c>
      <c r="G521" s="118">
        <v>14</v>
      </c>
      <c r="H521" s="119" t="s">
        <v>26</v>
      </c>
      <c r="I521" s="118">
        <v>2.6</v>
      </c>
      <c r="J521" s="118">
        <v>29</v>
      </c>
      <c r="K521" s="119" t="s">
        <v>26</v>
      </c>
      <c r="L521" s="119" t="s">
        <v>26</v>
      </c>
      <c r="M521" s="119" t="s">
        <v>26</v>
      </c>
      <c r="N521" s="119" t="s">
        <v>26</v>
      </c>
      <c r="O521" s="118">
        <v>1.2</v>
      </c>
      <c r="P521" s="119" t="s">
        <v>26</v>
      </c>
      <c r="Q521" s="119" t="s">
        <v>26</v>
      </c>
      <c r="R521" s="119" t="s">
        <v>26</v>
      </c>
      <c r="S521" s="127">
        <v>3.9</v>
      </c>
      <c r="T521" s="121" t="s">
        <v>26</v>
      </c>
      <c r="U521" s="130">
        <v>817</v>
      </c>
      <c r="V521" s="126" t="s">
        <v>26</v>
      </c>
      <c r="AC521" s="33"/>
      <c r="AD521" s="33"/>
      <c r="AE521" s="33"/>
    </row>
    <row r="522" spans="1:31">
      <c r="A522" s="26" t="s">
        <v>557</v>
      </c>
      <c r="B522" s="8" t="s">
        <v>47</v>
      </c>
      <c r="C522" s="8" t="s">
        <v>22</v>
      </c>
      <c r="D522" s="3" t="s">
        <v>23</v>
      </c>
      <c r="E522" s="23" t="s">
        <v>24</v>
      </c>
      <c r="F522" s="16" t="s">
        <v>565</v>
      </c>
      <c r="G522" s="118">
        <v>260</v>
      </c>
      <c r="H522" s="118">
        <v>8.5</v>
      </c>
      <c r="I522" s="119" t="s">
        <v>26</v>
      </c>
      <c r="J522" s="119" t="s">
        <v>26</v>
      </c>
      <c r="K522" s="119" t="s">
        <v>26</v>
      </c>
      <c r="L522" s="119" t="s">
        <v>26</v>
      </c>
      <c r="M522" s="118">
        <v>0.5</v>
      </c>
      <c r="N522" s="119" t="s">
        <v>26</v>
      </c>
      <c r="O522" s="118">
        <v>0.8</v>
      </c>
      <c r="P522" s="119" t="s">
        <v>26</v>
      </c>
      <c r="Q522" s="118">
        <v>6</v>
      </c>
      <c r="R522" s="118">
        <v>2.5</v>
      </c>
      <c r="S522" s="127">
        <v>0.5</v>
      </c>
      <c r="T522" s="121" t="s">
        <v>26</v>
      </c>
      <c r="U522" s="89">
        <v>198</v>
      </c>
      <c r="V522" s="89">
        <v>481</v>
      </c>
      <c r="AC522" s="33"/>
      <c r="AD522" s="33"/>
      <c r="AE522" s="33"/>
    </row>
    <row r="523" spans="1:31">
      <c r="A523" s="26" t="s">
        <v>557</v>
      </c>
      <c r="B523" s="8" t="s">
        <v>47</v>
      </c>
      <c r="C523" s="8" t="s">
        <v>22</v>
      </c>
      <c r="D523" s="3" t="s">
        <v>23</v>
      </c>
      <c r="E523" s="23" t="s">
        <v>27</v>
      </c>
      <c r="F523" s="16" t="s">
        <v>566</v>
      </c>
      <c r="G523" s="118">
        <v>137</v>
      </c>
      <c r="H523" s="118">
        <v>24.1</v>
      </c>
      <c r="I523" s="118">
        <v>12.5</v>
      </c>
      <c r="J523" s="118">
        <v>0.8</v>
      </c>
      <c r="K523" s="119" t="s">
        <v>26</v>
      </c>
      <c r="L523" s="119" t="s">
        <v>26</v>
      </c>
      <c r="M523" s="118">
        <v>0.8</v>
      </c>
      <c r="N523" s="119" t="s">
        <v>26</v>
      </c>
      <c r="O523" s="118">
        <v>2.2000000000000002</v>
      </c>
      <c r="P523" s="118">
        <v>1.4</v>
      </c>
      <c r="Q523" s="118">
        <v>4.0999999999999996</v>
      </c>
      <c r="R523" s="118">
        <v>1.8</v>
      </c>
      <c r="S523" s="127">
        <v>1.4</v>
      </c>
      <c r="T523" s="121" t="s">
        <v>26</v>
      </c>
      <c r="U523" s="89">
        <v>190</v>
      </c>
      <c r="V523" s="89">
        <v>170</v>
      </c>
      <c r="AC523" s="33"/>
      <c r="AD523" s="33"/>
      <c r="AE523" s="33"/>
    </row>
    <row r="524" spans="1:31">
      <c r="A524" s="26" t="s">
        <v>557</v>
      </c>
      <c r="B524" s="8" t="s">
        <v>47</v>
      </c>
      <c r="C524" s="8" t="s">
        <v>22</v>
      </c>
      <c r="D524" s="3" t="s">
        <v>23</v>
      </c>
      <c r="E524" s="23" t="s">
        <v>29</v>
      </c>
      <c r="F524" s="16" t="s">
        <v>567</v>
      </c>
      <c r="G524" s="118">
        <v>53</v>
      </c>
      <c r="H524" s="118">
        <v>3.9</v>
      </c>
      <c r="I524" s="118">
        <v>21.9</v>
      </c>
      <c r="J524" s="118">
        <v>4.5999999999999996</v>
      </c>
      <c r="K524" s="119" t="s">
        <v>26</v>
      </c>
      <c r="L524" s="119" t="s">
        <v>26</v>
      </c>
      <c r="M524" s="118">
        <v>1</v>
      </c>
      <c r="N524" s="119" t="s">
        <v>26</v>
      </c>
      <c r="O524" s="118">
        <v>2.1</v>
      </c>
      <c r="P524" s="118">
        <v>1.6</v>
      </c>
      <c r="Q524" s="118">
        <v>3.5</v>
      </c>
      <c r="R524" s="119" t="s">
        <v>26</v>
      </c>
      <c r="S524" s="127">
        <v>1.9</v>
      </c>
      <c r="T524" s="121" t="s">
        <v>26</v>
      </c>
      <c r="U524" s="89">
        <v>500</v>
      </c>
      <c r="V524" s="89">
        <v>485</v>
      </c>
      <c r="AC524" s="33"/>
      <c r="AD524" s="33"/>
      <c r="AE524" s="33"/>
    </row>
    <row r="525" spans="1:31">
      <c r="A525" s="26" t="s">
        <v>557</v>
      </c>
      <c r="B525" s="8" t="s">
        <v>47</v>
      </c>
      <c r="C525" s="8" t="s">
        <v>22</v>
      </c>
      <c r="D525" s="3" t="s">
        <v>23</v>
      </c>
      <c r="E525" s="23" t="s">
        <v>31</v>
      </c>
      <c r="F525" s="16" t="s">
        <v>568</v>
      </c>
      <c r="G525" s="118">
        <v>19</v>
      </c>
      <c r="H525" s="119" t="s">
        <v>26</v>
      </c>
      <c r="I525" s="118">
        <v>8.5</v>
      </c>
      <c r="J525" s="118">
        <v>18.5</v>
      </c>
      <c r="K525" s="119" t="s">
        <v>26</v>
      </c>
      <c r="L525" s="119" t="s">
        <v>26</v>
      </c>
      <c r="M525" s="119" t="s">
        <v>26</v>
      </c>
      <c r="N525" s="119" t="s">
        <v>26</v>
      </c>
      <c r="O525" s="118">
        <v>0.9</v>
      </c>
      <c r="P525" s="118">
        <v>2</v>
      </c>
      <c r="Q525" s="119" t="s">
        <v>26</v>
      </c>
      <c r="R525" s="119" t="s">
        <v>26</v>
      </c>
      <c r="S525" s="127">
        <v>3.4</v>
      </c>
      <c r="T525" s="121" t="s">
        <v>26</v>
      </c>
      <c r="U525" s="89">
        <v>1070</v>
      </c>
      <c r="V525" s="89">
        <v>211</v>
      </c>
      <c r="AC525" s="33"/>
      <c r="AD525" s="33"/>
      <c r="AE525" s="33"/>
    </row>
    <row r="526" spans="1:31">
      <c r="A526" s="26" t="s">
        <v>557</v>
      </c>
      <c r="B526" s="8" t="s">
        <v>179</v>
      </c>
      <c r="C526" s="8" t="s">
        <v>22</v>
      </c>
      <c r="D526" s="3" t="s">
        <v>23</v>
      </c>
      <c r="E526" s="23" t="s">
        <v>24</v>
      </c>
      <c r="F526" s="16" t="s">
        <v>569</v>
      </c>
      <c r="G526" s="118">
        <v>203</v>
      </c>
      <c r="H526" s="118">
        <v>34.5</v>
      </c>
      <c r="I526" s="119" t="s">
        <v>26</v>
      </c>
      <c r="J526" s="119" t="s">
        <v>26</v>
      </c>
      <c r="K526" s="119" t="s">
        <v>26</v>
      </c>
      <c r="L526" s="118">
        <v>0.4</v>
      </c>
      <c r="M526" s="118">
        <v>0.6</v>
      </c>
      <c r="N526" s="119" t="s">
        <v>26</v>
      </c>
      <c r="O526" s="125" t="s">
        <v>26</v>
      </c>
      <c r="P526" s="119" t="s">
        <v>26</v>
      </c>
      <c r="Q526" s="118">
        <v>5.5</v>
      </c>
      <c r="R526" s="118">
        <v>2.4</v>
      </c>
      <c r="S526" s="120" t="s">
        <v>26</v>
      </c>
      <c r="T526" s="121" t="s">
        <v>26</v>
      </c>
      <c r="U526" s="89">
        <v>972</v>
      </c>
      <c r="V526" s="126" t="s">
        <v>26</v>
      </c>
      <c r="AC526" s="33"/>
      <c r="AD526" s="33"/>
      <c r="AE526" s="33"/>
    </row>
    <row r="527" spans="1:31">
      <c r="A527" s="26" t="s">
        <v>557</v>
      </c>
      <c r="B527" s="8" t="s">
        <v>179</v>
      </c>
      <c r="C527" s="8" t="s">
        <v>22</v>
      </c>
      <c r="D527" s="3" t="s">
        <v>23</v>
      </c>
      <c r="E527" s="23" t="s">
        <v>27</v>
      </c>
      <c r="F527" s="16" t="s">
        <v>570</v>
      </c>
      <c r="G527" s="118">
        <v>109</v>
      </c>
      <c r="H527" s="118">
        <v>37.5</v>
      </c>
      <c r="I527" s="118">
        <v>1.8</v>
      </c>
      <c r="J527" s="118">
        <v>0.6</v>
      </c>
      <c r="K527" s="119" t="s">
        <v>26</v>
      </c>
      <c r="L527" s="119" t="s">
        <v>26</v>
      </c>
      <c r="M527" s="118">
        <v>0.9</v>
      </c>
      <c r="N527" s="119" t="s">
        <v>26</v>
      </c>
      <c r="O527" s="118">
        <v>1.8</v>
      </c>
      <c r="P527" s="118">
        <v>0.4</v>
      </c>
      <c r="Q527" s="118">
        <v>2.4</v>
      </c>
      <c r="R527" s="118">
        <v>2</v>
      </c>
      <c r="S527" s="120" t="s">
        <v>26</v>
      </c>
      <c r="T527" s="121" t="s">
        <v>26</v>
      </c>
      <c r="U527" s="89">
        <v>238</v>
      </c>
      <c r="V527" s="126" t="s">
        <v>26</v>
      </c>
      <c r="AC527" s="33"/>
      <c r="AD527" s="33"/>
      <c r="AE527" s="33"/>
    </row>
    <row r="528" spans="1:31">
      <c r="A528" s="26" t="s">
        <v>557</v>
      </c>
      <c r="B528" s="8" t="s">
        <v>179</v>
      </c>
      <c r="C528" s="8" t="s">
        <v>22</v>
      </c>
      <c r="D528" s="3" t="s">
        <v>23</v>
      </c>
      <c r="E528" s="23" t="s">
        <v>29</v>
      </c>
      <c r="F528" s="16" t="s">
        <v>571</v>
      </c>
      <c r="G528" s="118">
        <v>45</v>
      </c>
      <c r="H528" s="118">
        <v>8.5</v>
      </c>
      <c r="I528" s="118">
        <v>10.5</v>
      </c>
      <c r="J528" s="118">
        <v>1.8</v>
      </c>
      <c r="K528" s="119" t="s">
        <v>26</v>
      </c>
      <c r="L528" s="119" t="s">
        <v>26</v>
      </c>
      <c r="M528" s="118">
        <v>0.8</v>
      </c>
      <c r="N528" s="119" t="s">
        <v>26</v>
      </c>
      <c r="O528" s="118">
        <v>1.9</v>
      </c>
      <c r="P528" s="118">
        <v>0.6</v>
      </c>
      <c r="Q528" s="119" t="s">
        <v>26</v>
      </c>
      <c r="R528" s="119" t="s">
        <v>26</v>
      </c>
      <c r="S528" s="127">
        <v>2.2999999999999998</v>
      </c>
      <c r="T528" s="121" t="s">
        <v>26</v>
      </c>
      <c r="U528" s="89">
        <v>900</v>
      </c>
      <c r="V528" s="126" t="s">
        <v>26</v>
      </c>
      <c r="AC528" s="33"/>
      <c r="AD528" s="33"/>
      <c r="AE528" s="33"/>
    </row>
    <row r="529" spans="1:31">
      <c r="A529" s="26" t="s">
        <v>557</v>
      </c>
      <c r="B529" s="8" t="s">
        <v>179</v>
      </c>
      <c r="C529" s="8" t="s">
        <v>22</v>
      </c>
      <c r="D529" s="3" t="s">
        <v>23</v>
      </c>
      <c r="E529" s="23" t="s">
        <v>31</v>
      </c>
      <c r="F529" s="16" t="s">
        <v>265</v>
      </c>
      <c r="G529" s="118">
        <v>19</v>
      </c>
      <c r="H529" s="119" t="s">
        <v>26</v>
      </c>
      <c r="I529" s="118">
        <v>3.4</v>
      </c>
      <c r="J529" s="118">
        <v>19.399999999999999</v>
      </c>
      <c r="K529" s="119" t="s">
        <v>26</v>
      </c>
      <c r="L529" s="119" t="s">
        <v>26</v>
      </c>
      <c r="M529" s="119" t="s">
        <v>26</v>
      </c>
      <c r="N529" s="119" t="s">
        <v>26</v>
      </c>
      <c r="O529" s="125" t="s">
        <v>26</v>
      </c>
      <c r="P529" s="119" t="s">
        <v>26</v>
      </c>
      <c r="Q529" s="119" t="s">
        <v>26</v>
      </c>
      <c r="R529" s="119" t="s">
        <v>26</v>
      </c>
      <c r="S529" s="127">
        <v>3.9</v>
      </c>
      <c r="T529" s="121" t="s">
        <v>26</v>
      </c>
      <c r="U529" s="89">
        <v>500</v>
      </c>
      <c r="V529" s="126" t="s">
        <v>26</v>
      </c>
      <c r="AC529" s="33"/>
      <c r="AD529" s="33"/>
      <c r="AE529" s="33"/>
    </row>
    <row r="530" spans="1:31">
      <c r="A530" s="26" t="s">
        <v>572</v>
      </c>
      <c r="B530" s="8" t="s">
        <v>344</v>
      </c>
      <c r="C530" s="8" t="s">
        <v>22</v>
      </c>
      <c r="D530" s="3" t="s">
        <v>33</v>
      </c>
      <c r="E530" s="23" t="s">
        <v>27</v>
      </c>
      <c r="F530" s="16" t="s">
        <v>573</v>
      </c>
      <c r="G530" s="118">
        <v>115</v>
      </c>
      <c r="H530" s="118">
        <v>19</v>
      </c>
      <c r="I530" s="118">
        <v>15.7</v>
      </c>
      <c r="J530" s="118">
        <v>0.4</v>
      </c>
      <c r="K530" s="119" t="s">
        <v>26</v>
      </c>
      <c r="L530" s="119" t="s">
        <v>26</v>
      </c>
      <c r="M530" s="118">
        <v>2.7</v>
      </c>
      <c r="N530" s="119" t="s">
        <v>26</v>
      </c>
      <c r="O530" s="118">
        <v>3.9</v>
      </c>
      <c r="P530" s="118">
        <v>0.6</v>
      </c>
      <c r="Q530" s="119" t="s">
        <v>26</v>
      </c>
      <c r="R530" s="118">
        <v>1.7</v>
      </c>
      <c r="S530" s="120" t="s">
        <v>26</v>
      </c>
      <c r="T530" s="121" t="s">
        <v>26</v>
      </c>
      <c r="U530" s="130">
        <v>173</v>
      </c>
      <c r="V530" s="126" t="s">
        <v>26</v>
      </c>
      <c r="AC530" s="33"/>
      <c r="AD530" s="33"/>
      <c r="AE530" s="33"/>
    </row>
    <row r="531" spans="1:31">
      <c r="A531" s="26" t="s">
        <v>572</v>
      </c>
      <c r="B531" s="8" t="s">
        <v>344</v>
      </c>
      <c r="C531" s="8" t="s">
        <v>22</v>
      </c>
      <c r="D531" s="3" t="s">
        <v>33</v>
      </c>
      <c r="E531" s="23" t="s">
        <v>29</v>
      </c>
      <c r="F531" s="16" t="s">
        <v>574</v>
      </c>
      <c r="G531" s="118">
        <v>49</v>
      </c>
      <c r="H531" s="118">
        <v>8.1999999999999993</v>
      </c>
      <c r="I531" s="118">
        <v>16.7</v>
      </c>
      <c r="J531" s="118">
        <v>1.7</v>
      </c>
      <c r="K531" s="119" t="s">
        <v>26</v>
      </c>
      <c r="L531" s="119" t="s">
        <v>26</v>
      </c>
      <c r="M531" s="119" t="s">
        <v>26</v>
      </c>
      <c r="N531" s="119" t="s">
        <v>26</v>
      </c>
      <c r="O531" s="118">
        <v>4.9000000000000004</v>
      </c>
      <c r="P531" s="118">
        <v>0.9</v>
      </c>
      <c r="Q531" s="119" t="s">
        <v>26</v>
      </c>
      <c r="R531" s="118">
        <v>1.7</v>
      </c>
      <c r="S531" s="127">
        <v>3.4</v>
      </c>
      <c r="T531" s="121" t="s">
        <v>26</v>
      </c>
      <c r="U531" s="130">
        <v>400</v>
      </c>
      <c r="V531" s="126" t="s">
        <v>26</v>
      </c>
      <c r="AC531" s="33"/>
      <c r="AD531" s="33"/>
      <c r="AE531" s="33"/>
    </row>
    <row r="532" spans="1:31">
      <c r="A532" s="26" t="s">
        <v>572</v>
      </c>
      <c r="B532" s="8" t="s">
        <v>344</v>
      </c>
      <c r="C532" s="8" t="s">
        <v>22</v>
      </c>
      <c r="D532" s="3" t="s">
        <v>33</v>
      </c>
      <c r="E532" s="23" t="s">
        <v>31</v>
      </c>
      <c r="F532" s="16" t="s">
        <v>575</v>
      </c>
      <c r="G532" s="118">
        <v>14</v>
      </c>
      <c r="H532" s="119" t="s">
        <v>26</v>
      </c>
      <c r="I532" s="118">
        <v>3.7</v>
      </c>
      <c r="J532" s="118">
        <v>3.5</v>
      </c>
      <c r="K532" s="119" t="s">
        <v>26</v>
      </c>
      <c r="L532" s="119" t="s">
        <v>26</v>
      </c>
      <c r="M532" s="119" t="s">
        <v>26</v>
      </c>
      <c r="N532" s="119" t="s">
        <v>26</v>
      </c>
      <c r="O532" s="118">
        <v>4.2</v>
      </c>
      <c r="P532" s="119" t="s">
        <v>26</v>
      </c>
      <c r="Q532" s="119" t="s">
        <v>26</v>
      </c>
      <c r="R532" s="119" t="s">
        <v>26</v>
      </c>
      <c r="S532" s="127">
        <v>3.9</v>
      </c>
      <c r="T532" s="121" t="s">
        <v>26</v>
      </c>
      <c r="U532" s="130">
        <v>528</v>
      </c>
      <c r="V532" s="126" t="s">
        <v>26</v>
      </c>
      <c r="AC532" s="33"/>
      <c r="AD532" s="33"/>
      <c r="AE532" s="33"/>
    </row>
    <row r="533" spans="1:31">
      <c r="A533" s="26" t="s">
        <v>572</v>
      </c>
      <c r="B533" s="8" t="s">
        <v>68</v>
      </c>
      <c r="C533" s="8" t="s">
        <v>22</v>
      </c>
      <c r="D533" s="8" t="s">
        <v>109</v>
      </c>
      <c r="E533" s="23" t="s">
        <v>24</v>
      </c>
      <c r="F533" s="16" t="s">
        <v>576</v>
      </c>
      <c r="G533" s="118">
        <v>234</v>
      </c>
      <c r="H533" s="118">
        <v>20.5</v>
      </c>
      <c r="I533" s="119" t="s">
        <v>26</v>
      </c>
      <c r="J533" s="119" t="s">
        <v>26</v>
      </c>
      <c r="K533" s="119" t="s">
        <v>26</v>
      </c>
      <c r="L533" s="119" t="s">
        <v>26</v>
      </c>
      <c r="M533" s="118">
        <v>0.8</v>
      </c>
      <c r="N533" s="119" t="s">
        <v>26</v>
      </c>
      <c r="O533" s="125" t="s">
        <v>26</v>
      </c>
      <c r="P533" s="119" t="s">
        <v>26</v>
      </c>
      <c r="Q533" s="118">
        <v>3.1</v>
      </c>
      <c r="R533" s="118">
        <v>0.9</v>
      </c>
      <c r="S533" s="120" t="s">
        <v>26</v>
      </c>
      <c r="T533" s="121" t="s">
        <v>26</v>
      </c>
      <c r="U533" s="130">
        <f>141+70</f>
        <v>211</v>
      </c>
      <c r="V533" s="89">
        <v>750</v>
      </c>
      <c r="AC533" s="33"/>
      <c r="AD533" s="33"/>
      <c r="AE533" s="33"/>
    </row>
    <row r="534" spans="1:31">
      <c r="A534" s="26" t="s">
        <v>572</v>
      </c>
      <c r="B534" s="8" t="s">
        <v>68</v>
      </c>
      <c r="C534" s="8" t="s">
        <v>22</v>
      </c>
      <c r="D534" s="8" t="s">
        <v>109</v>
      </c>
      <c r="E534" s="23" t="s">
        <v>27</v>
      </c>
      <c r="F534" s="16" t="s">
        <v>577</v>
      </c>
      <c r="G534" s="118">
        <v>116</v>
      </c>
      <c r="H534" s="118">
        <v>37.200000000000003</v>
      </c>
      <c r="I534" s="118">
        <v>1.8</v>
      </c>
      <c r="J534" s="118">
        <v>0.4</v>
      </c>
      <c r="K534" s="119" t="s">
        <v>26</v>
      </c>
      <c r="L534" s="119" t="s">
        <v>26</v>
      </c>
      <c r="M534" s="119" t="s">
        <v>26</v>
      </c>
      <c r="N534" s="119" t="s">
        <v>26</v>
      </c>
      <c r="O534" s="118">
        <v>1.9</v>
      </c>
      <c r="P534" s="118">
        <v>0.3</v>
      </c>
      <c r="Q534" s="118">
        <v>2.6</v>
      </c>
      <c r="R534" s="118">
        <v>1.4</v>
      </c>
      <c r="S534" s="127">
        <v>1.8</v>
      </c>
      <c r="T534" s="121" t="s">
        <v>26</v>
      </c>
      <c r="U534" s="130">
        <v>102</v>
      </c>
      <c r="V534" s="89">
        <v>309</v>
      </c>
      <c r="AC534" s="33"/>
      <c r="AD534" s="33"/>
      <c r="AE534" s="33"/>
    </row>
    <row r="535" spans="1:31">
      <c r="A535" s="26" t="s">
        <v>572</v>
      </c>
      <c r="B535" s="8" t="s">
        <v>68</v>
      </c>
      <c r="C535" s="8" t="s">
        <v>22</v>
      </c>
      <c r="D535" s="8" t="s">
        <v>109</v>
      </c>
      <c r="E535" s="23" t="s">
        <v>29</v>
      </c>
      <c r="F535" s="16" t="s">
        <v>578</v>
      </c>
      <c r="G535" s="118">
        <v>42</v>
      </c>
      <c r="H535" s="118">
        <v>19.8</v>
      </c>
      <c r="I535" s="118">
        <v>8.5</v>
      </c>
      <c r="J535" s="118">
        <v>1.6</v>
      </c>
      <c r="K535" s="119" t="s">
        <v>26</v>
      </c>
      <c r="L535" s="119" t="s">
        <v>26</v>
      </c>
      <c r="M535" s="119" t="s">
        <v>26</v>
      </c>
      <c r="N535" s="119" t="s">
        <v>26</v>
      </c>
      <c r="O535" s="118">
        <v>2.5</v>
      </c>
      <c r="P535" s="118">
        <v>0.6</v>
      </c>
      <c r="Q535" s="118">
        <v>1.8</v>
      </c>
      <c r="R535" s="118">
        <v>2</v>
      </c>
      <c r="S535" s="127">
        <v>2.2999999999999998</v>
      </c>
      <c r="T535" s="121" t="s">
        <v>26</v>
      </c>
      <c r="U535" s="130">
        <v>2725</v>
      </c>
      <c r="V535" s="89">
        <v>1135</v>
      </c>
      <c r="AC535" s="33"/>
      <c r="AD535" s="33"/>
      <c r="AE535" s="33"/>
    </row>
    <row r="536" spans="1:31">
      <c r="A536" s="26" t="s">
        <v>572</v>
      </c>
      <c r="B536" s="8" t="s">
        <v>68</v>
      </c>
      <c r="C536" s="8" t="s">
        <v>22</v>
      </c>
      <c r="D536" s="8" t="s">
        <v>109</v>
      </c>
      <c r="E536" s="23" t="s">
        <v>31</v>
      </c>
      <c r="F536" s="16" t="s">
        <v>579</v>
      </c>
      <c r="G536" s="118">
        <v>14</v>
      </c>
      <c r="H536" s="119" t="s">
        <v>26</v>
      </c>
      <c r="I536" s="119" t="s">
        <v>26</v>
      </c>
      <c r="J536" s="118">
        <v>6.2</v>
      </c>
      <c r="K536" s="119" t="s">
        <v>26</v>
      </c>
      <c r="L536" s="119" t="s">
        <v>26</v>
      </c>
      <c r="M536" s="119" t="s">
        <v>26</v>
      </c>
      <c r="N536" s="119" t="s">
        <v>26</v>
      </c>
      <c r="O536" s="118">
        <v>1.4</v>
      </c>
      <c r="P536" s="119" t="s">
        <v>26</v>
      </c>
      <c r="Q536" s="119" t="s">
        <v>26</v>
      </c>
      <c r="R536" s="119" t="s">
        <v>26</v>
      </c>
      <c r="S536" s="127">
        <v>3.6</v>
      </c>
      <c r="T536" s="121" t="s">
        <v>26</v>
      </c>
      <c r="U536" s="130">
        <v>1442</v>
      </c>
      <c r="V536" s="89">
        <v>88</v>
      </c>
      <c r="AC536" s="33"/>
      <c r="AD536" s="33"/>
      <c r="AE536" s="33"/>
    </row>
    <row r="537" spans="1:31">
      <c r="A537" s="26" t="s">
        <v>572</v>
      </c>
      <c r="B537" s="8" t="s">
        <v>580</v>
      </c>
      <c r="C537" s="8" t="s">
        <v>22</v>
      </c>
      <c r="D537" s="3" t="s">
        <v>23</v>
      </c>
      <c r="E537" s="23" t="s">
        <v>24</v>
      </c>
      <c r="F537" s="16" t="s">
        <v>581</v>
      </c>
      <c r="G537" s="118">
        <v>256</v>
      </c>
      <c r="H537" s="118">
        <v>11</v>
      </c>
      <c r="I537" s="119" t="s">
        <v>26</v>
      </c>
      <c r="J537" s="119" t="s">
        <v>26</v>
      </c>
      <c r="K537" s="119" t="s">
        <v>26</v>
      </c>
      <c r="L537" s="119" t="s">
        <v>26</v>
      </c>
      <c r="M537" s="118">
        <v>0.8</v>
      </c>
      <c r="N537" s="119" t="s">
        <v>26</v>
      </c>
      <c r="O537" s="118">
        <v>0.9</v>
      </c>
      <c r="P537" s="119" t="s">
        <v>26</v>
      </c>
      <c r="Q537" s="118">
        <v>6.5</v>
      </c>
      <c r="R537" s="118">
        <v>2.2000000000000002</v>
      </c>
      <c r="S537" s="127">
        <v>0.4</v>
      </c>
      <c r="T537" s="121" t="s">
        <v>26</v>
      </c>
      <c r="U537" s="89">
        <v>306</v>
      </c>
      <c r="V537" s="126" t="s">
        <v>26</v>
      </c>
      <c r="AC537" s="33"/>
      <c r="AD537" s="33"/>
      <c r="AE537" s="33"/>
    </row>
    <row r="538" spans="1:31">
      <c r="A538" s="26" t="s">
        <v>572</v>
      </c>
      <c r="B538" s="8" t="s">
        <v>580</v>
      </c>
      <c r="C538" s="8" t="s">
        <v>22</v>
      </c>
      <c r="D538" s="3" t="s">
        <v>23</v>
      </c>
      <c r="E538" s="23" t="s">
        <v>27</v>
      </c>
      <c r="F538" s="16" t="s">
        <v>582</v>
      </c>
      <c r="G538" s="118">
        <v>108</v>
      </c>
      <c r="H538" s="118">
        <v>34.5</v>
      </c>
      <c r="I538" s="118">
        <v>1.5</v>
      </c>
      <c r="J538" s="118">
        <v>0.6</v>
      </c>
      <c r="K538" s="119" t="s">
        <v>26</v>
      </c>
      <c r="L538" s="119" t="s">
        <v>26</v>
      </c>
      <c r="M538" s="118">
        <v>0.9</v>
      </c>
      <c r="N538" s="119" t="s">
        <v>26</v>
      </c>
      <c r="O538" s="118">
        <v>2.5</v>
      </c>
      <c r="P538" s="119" t="s">
        <v>26</v>
      </c>
      <c r="Q538" s="118">
        <v>4.2</v>
      </c>
      <c r="R538" s="118">
        <v>1.5</v>
      </c>
      <c r="S538" s="127">
        <v>1.2</v>
      </c>
      <c r="T538" s="121" t="s">
        <v>26</v>
      </c>
      <c r="U538" s="89">
        <v>57</v>
      </c>
      <c r="V538" s="126" t="s">
        <v>26</v>
      </c>
      <c r="AC538" s="33"/>
      <c r="AD538" s="33"/>
      <c r="AE538" s="33"/>
    </row>
    <row r="539" spans="1:31">
      <c r="A539" s="26" t="s">
        <v>572</v>
      </c>
      <c r="B539" s="8" t="s">
        <v>580</v>
      </c>
      <c r="C539" s="8" t="s">
        <v>22</v>
      </c>
      <c r="D539" s="3" t="s">
        <v>23</v>
      </c>
      <c r="E539" s="23" t="s">
        <v>29</v>
      </c>
      <c r="F539" s="16" t="s">
        <v>583</v>
      </c>
      <c r="G539" s="118">
        <v>49</v>
      </c>
      <c r="H539" s="118">
        <v>8.5</v>
      </c>
      <c r="I539" s="118">
        <v>12.4</v>
      </c>
      <c r="J539" s="118">
        <v>3.5</v>
      </c>
      <c r="K539" s="119" t="s">
        <v>26</v>
      </c>
      <c r="L539" s="119" t="s">
        <v>26</v>
      </c>
      <c r="M539" s="118">
        <v>1</v>
      </c>
      <c r="N539" s="119" t="s">
        <v>26</v>
      </c>
      <c r="O539" s="118">
        <v>2.7</v>
      </c>
      <c r="P539" s="119" t="s">
        <v>26</v>
      </c>
      <c r="Q539" s="118">
        <v>3.5</v>
      </c>
      <c r="R539" s="118">
        <v>1.1000000000000001</v>
      </c>
      <c r="S539" s="127">
        <v>2</v>
      </c>
      <c r="T539" s="121" t="s">
        <v>26</v>
      </c>
      <c r="U539" s="89">
        <v>800</v>
      </c>
      <c r="V539" s="126" t="s">
        <v>26</v>
      </c>
      <c r="AC539" s="33"/>
      <c r="AD539" s="33"/>
      <c r="AE539" s="33"/>
    </row>
    <row r="540" spans="1:31">
      <c r="A540" s="26" t="s">
        <v>572</v>
      </c>
      <c r="B540" s="8" t="s">
        <v>580</v>
      </c>
      <c r="C540" s="8" t="s">
        <v>22</v>
      </c>
      <c r="D540" s="3" t="s">
        <v>23</v>
      </c>
      <c r="E540" s="23" t="s">
        <v>31</v>
      </c>
      <c r="F540" s="16" t="s">
        <v>584</v>
      </c>
      <c r="G540" s="118">
        <v>16</v>
      </c>
      <c r="H540" s="119" t="s">
        <v>26</v>
      </c>
      <c r="I540" s="118">
        <v>4.5</v>
      </c>
      <c r="J540" s="118">
        <v>10.9</v>
      </c>
      <c r="K540" s="119" t="s">
        <v>26</v>
      </c>
      <c r="L540" s="119" t="s">
        <v>26</v>
      </c>
      <c r="M540" s="119" t="s">
        <v>26</v>
      </c>
      <c r="N540" s="119" t="s">
        <v>26</v>
      </c>
      <c r="O540" s="118">
        <v>1.5</v>
      </c>
      <c r="P540" s="119" t="s">
        <v>26</v>
      </c>
      <c r="Q540" s="119" t="s">
        <v>26</v>
      </c>
      <c r="R540" s="119" t="s">
        <v>26</v>
      </c>
      <c r="S540" s="127">
        <v>2.4</v>
      </c>
      <c r="T540" s="121" t="s">
        <v>26</v>
      </c>
      <c r="U540" s="89">
        <v>1119</v>
      </c>
      <c r="V540" s="126" t="s">
        <v>26</v>
      </c>
      <c r="AC540" s="33"/>
      <c r="AD540" s="33"/>
      <c r="AE540" s="33"/>
    </row>
    <row r="541" spans="1:31">
      <c r="A541" s="26" t="s">
        <v>572</v>
      </c>
      <c r="B541" s="8" t="s">
        <v>21</v>
      </c>
      <c r="C541" s="8" t="s">
        <v>22</v>
      </c>
      <c r="D541" s="3" t="s">
        <v>33</v>
      </c>
      <c r="E541" s="23" t="s">
        <v>24</v>
      </c>
      <c r="F541" s="16" t="s">
        <v>585</v>
      </c>
      <c r="G541" s="118">
        <v>205</v>
      </c>
      <c r="H541" s="118">
        <v>24.5</v>
      </c>
      <c r="I541" s="119" t="s">
        <v>26</v>
      </c>
      <c r="J541" s="119" t="s">
        <v>26</v>
      </c>
      <c r="K541" s="119" t="s">
        <v>26</v>
      </c>
      <c r="L541" s="119" t="s">
        <v>26</v>
      </c>
      <c r="M541" s="118">
        <v>0.6</v>
      </c>
      <c r="N541" s="119" t="s">
        <v>26</v>
      </c>
      <c r="O541" s="125" t="s">
        <v>26</v>
      </c>
      <c r="P541" s="119" t="s">
        <v>26</v>
      </c>
      <c r="Q541" s="118">
        <v>1.5</v>
      </c>
      <c r="R541" s="118">
        <v>2</v>
      </c>
      <c r="S541" s="120" t="s">
        <v>26</v>
      </c>
      <c r="T541" s="121" t="s">
        <v>26</v>
      </c>
      <c r="U541" s="130">
        <v>288</v>
      </c>
      <c r="V541" s="126" t="s">
        <v>26</v>
      </c>
      <c r="AC541" s="33"/>
      <c r="AD541" s="33"/>
      <c r="AE541" s="33"/>
    </row>
    <row r="542" spans="1:31">
      <c r="A542" s="26" t="s">
        <v>572</v>
      </c>
      <c r="B542" s="8" t="s">
        <v>21</v>
      </c>
      <c r="C542" s="8" t="s">
        <v>22</v>
      </c>
      <c r="D542" s="3" t="s">
        <v>33</v>
      </c>
      <c r="E542" s="23" t="s">
        <v>27</v>
      </c>
      <c r="F542" s="16" t="s">
        <v>586</v>
      </c>
      <c r="G542" s="118">
        <v>103</v>
      </c>
      <c r="H542" s="118">
        <v>38.5</v>
      </c>
      <c r="I542" s="118">
        <v>2.5</v>
      </c>
      <c r="J542" s="118">
        <v>0.7</v>
      </c>
      <c r="K542" s="118">
        <v>0.4</v>
      </c>
      <c r="L542" s="119" t="s">
        <v>26</v>
      </c>
      <c r="M542" s="118">
        <v>0.7</v>
      </c>
      <c r="N542" s="119" t="s">
        <v>26</v>
      </c>
      <c r="O542" s="118">
        <v>2.5</v>
      </c>
      <c r="P542" s="118">
        <v>1.2</v>
      </c>
      <c r="Q542" s="119" t="s">
        <v>26</v>
      </c>
      <c r="R542" s="118">
        <v>1.5</v>
      </c>
      <c r="S542" s="120" t="s">
        <v>26</v>
      </c>
      <c r="T542" s="121" t="s">
        <v>26</v>
      </c>
      <c r="U542" s="130">
        <v>38</v>
      </c>
      <c r="V542" s="126" t="s">
        <v>26</v>
      </c>
      <c r="AC542" s="33"/>
      <c r="AD542" s="33"/>
      <c r="AE542" s="33"/>
    </row>
    <row r="543" spans="1:31">
      <c r="A543" s="26" t="s">
        <v>572</v>
      </c>
      <c r="B543" s="8" t="s">
        <v>21</v>
      </c>
      <c r="C543" s="8" t="s">
        <v>22</v>
      </c>
      <c r="D543" s="3" t="s">
        <v>33</v>
      </c>
      <c r="E543" s="23" t="s">
        <v>29</v>
      </c>
      <c r="F543" s="16" t="s">
        <v>587</v>
      </c>
      <c r="G543" s="118">
        <v>46</v>
      </c>
      <c r="H543" s="118">
        <v>8.9</v>
      </c>
      <c r="I543" s="118">
        <v>10.4</v>
      </c>
      <c r="J543" s="118">
        <v>1.4</v>
      </c>
      <c r="K543" s="118">
        <v>0.7</v>
      </c>
      <c r="L543" s="119" t="s">
        <v>26</v>
      </c>
      <c r="M543" s="118">
        <v>0.5</v>
      </c>
      <c r="N543" s="119" t="s">
        <v>26</v>
      </c>
      <c r="O543" s="118">
        <v>3.1</v>
      </c>
      <c r="P543" s="118">
        <v>2</v>
      </c>
      <c r="Q543" s="119" t="s">
        <v>26</v>
      </c>
      <c r="R543" s="118">
        <v>1.4</v>
      </c>
      <c r="S543" s="120" t="s">
        <v>26</v>
      </c>
      <c r="T543" s="121" t="s">
        <v>26</v>
      </c>
      <c r="U543" s="123" t="s">
        <v>26</v>
      </c>
      <c r="V543" s="126" t="s">
        <v>26</v>
      </c>
      <c r="AC543" s="33"/>
      <c r="AD543" s="33"/>
      <c r="AE543" s="33"/>
    </row>
    <row r="544" spans="1:31">
      <c r="A544" s="26" t="s">
        <v>572</v>
      </c>
      <c r="B544" s="8" t="s">
        <v>21</v>
      </c>
      <c r="C544" s="8" t="s">
        <v>22</v>
      </c>
      <c r="D544" s="3" t="s">
        <v>33</v>
      </c>
      <c r="E544" s="23" t="s">
        <v>31</v>
      </c>
      <c r="F544" s="16" t="s">
        <v>588</v>
      </c>
      <c r="G544" s="118">
        <v>17</v>
      </c>
      <c r="H544" s="119" t="s">
        <v>26</v>
      </c>
      <c r="I544" s="118">
        <v>3.3</v>
      </c>
      <c r="J544" s="118">
        <v>7.5</v>
      </c>
      <c r="K544" s="119" t="s">
        <v>26</v>
      </c>
      <c r="L544" s="119" t="s">
        <v>26</v>
      </c>
      <c r="M544" s="119" t="s">
        <v>26</v>
      </c>
      <c r="N544" s="119" t="s">
        <v>26</v>
      </c>
      <c r="O544" s="118">
        <v>2.4</v>
      </c>
      <c r="P544" s="119" t="s">
        <v>26</v>
      </c>
      <c r="Q544" s="119" t="s">
        <v>26</v>
      </c>
      <c r="R544" s="119" t="s">
        <v>26</v>
      </c>
      <c r="S544" s="127">
        <v>2</v>
      </c>
      <c r="T544" s="121" t="s">
        <v>26</v>
      </c>
      <c r="U544" s="130">
        <v>956</v>
      </c>
      <c r="V544" s="126" t="s">
        <v>26</v>
      </c>
      <c r="AC544" s="33"/>
      <c r="AD544" s="33"/>
      <c r="AE544" s="33"/>
    </row>
    <row r="545" spans="1:31">
      <c r="A545" s="26" t="s">
        <v>572</v>
      </c>
      <c r="B545" s="8" t="s">
        <v>98</v>
      </c>
      <c r="C545" s="8" t="s">
        <v>22</v>
      </c>
      <c r="D545" s="3" t="s">
        <v>142</v>
      </c>
      <c r="E545" s="23" t="s">
        <v>24</v>
      </c>
      <c r="F545" s="16" t="s">
        <v>589</v>
      </c>
      <c r="G545" s="118">
        <v>235</v>
      </c>
      <c r="H545" s="118">
        <v>14.5</v>
      </c>
      <c r="I545" s="119" t="s">
        <v>26</v>
      </c>
      <c r="J545" s="119" t="s">
        <v>26</v>
      </c>
      <c r="K545" s="119" t="s">
        <v>26</v>
      </c>
      <c r="L545" s="118">
        <v>0.4</v>
      </c>
      <c r="M545" s="118">
        <v>0.6</v>
      </c>
      <c r="N545" s="119" t="s">
        <v>26</v>
      </c>
      <c r="O545" s="118">
        <v>1.1000000000000001</v>
      </c>
      <c r="P545" s="118">
        <v>0.6</v>
      </c>
      <c r="Q545" s="118">
        <v>6.5</v>
      </c>
      <c r="R545" s="118">
        <v>1.5</v>
      </c>
      <c r="S545" s="127">
        <v>0.9</v>
      </c>
      <c r="T545" s="121" t="s">
        <v>26</v>
      </c>
      <c r="U545" s="89">
        <v>732</v>
      </c>
      <c r="V545" s="126" t="s">
        <v>26</v>
      </c>
      <c r="AC545" s="33"/>
      <c r="AD545" s="33"/>
      <c r="AE545" s="33"/>
    </row>
    <row r="546" spans="1:31">
      <c r="A546" s="26" t="s">
        <v>572</v>
      </c>
      <c r="B546" s="8" t="s">
        <v>98</v>
      </c>
      <c r="C546" s="8" t="s">
        <v>22</v>
      </c>
      <c r="D546" s="3" t="s">
        <v>142</v>
      </c>
      <c r="E546" s="23" t="s">
        <v>27</v>
      </c>
      <c r="F546" s="16" t="s">
        <v>590</v>
      </c>
      <c r="G546" s="118">
        <v>109</v>
      </c>
      <c r="H546" s="118">
        <v>32.5</v>
      </c>
      <c r="I546" s="118">
        <v>3.2</v>
      </c>
      <c r="J546" s="118">
        <v>0.7</v>
      </c>
      <c r="K546" s="119" t="s">
        <v>26</v>
      </c>
      <c r="L546" s="119" t="s">
        <v>26</v>
      </c>
      <c r="M546" s="118">
        <v>0.9</v>
      </c>
      <c r="N546" s="119" t="s">
        <v>26</v>
      </c>
      <c r="O546" s="118">
        <v>3.2</v>
      </c>
      <c r="P546" s="118">
        <v>0.9</v>
      </c>
      <c r="Q546" s="118">
        <v>4.5</v>
      </c>
      <c r="R546" s="118">
        <v>2</v>
      </c>
      <c r="S546" s="127">
        <v>1.4</v>
      </c>
      <c r="T546" s="121" t="s">
        <v>26</v>
      </c>
      <c r="U546" s="89">
        <v>532</v>
      </c>
      <c r="V546" s="126" t="s">
        <v>26</v>
      </c>
      <c r="AC546" s="33"/>
      <c r="AD546" s="33"/>
      <c r="AE546" s="33"/>
    </row>
    <row r="547" spans="1:31">
      <c r="A547" s="26" t="s">
        <v>572</v>
      </c>
      <c r="B547" s="8" t="s">
        <v>98</v>
      </c>
      <c r="C547" s="8" t="s">
        <v>22</v>
      </c>
      <c r="D547" s="3" t="s">
        <v>142</v>
      </c>
      <c r="E547" s="23" t="s">
        <v>29</v>
      </c>
      <c r="F547" s="16" t="s">
        <v>591</v>
      </c>
      <c r="G547" s="118">
        <v>44</v>
      </c>
      <c r="H547" s="118">
        <v>10.9</v>
      </c>
      <c r="I547" s="118">
        <v>13.2</v>
      </c>
      <c r="J547" s="118">
        <v>8.5</v>
      </c>
      <c r="K547" s="118">
        <v>0.6</v>
      </c>
      <c r="L547" s="119" t="s">
        <v>26</v>
      </c>
      <c r="M547" s="118">
        <v>1</v>
      </c>
      <c r="N547" s="119" t="s">
        <v>26</v>
      </c>
      <c r="O547" s="118">
        <v>4.5</v>
      </c>
      <c r="P547" s="118">
        <v>1.4</v>
      </c>
      <c r="Q547" s="118">
        <v>5.6</v>
      </c>
      <c r="R547" s="119" t="s">
        <v>26</v>
      </c>
      <c r="S547" s="127">
        <v>3</v>
      </c>
      <c r="T547" s="121" t="s">
        <v>26</v>
      </c>
      <c r="U547" s="89">
        <v>2160</v>
      </c>
      <c r="V547" s="126" t="s">
        <v>26</v>
      </c>
      <c r="AC547" s="33"/>
      <c r="AD547" s="33"/>
      <c r="AE547" s="33"/>
    </row>
    <row r="548" spans="1:31">
      <c r="A548" s="26" t="s">
        <v>572</v>
      </c>
      <c r="B548" s="8" t="s">
        <v>98</v>
      </c>
      <c r="C548" s="8" t="s">
        <v>22</v>
      </c>
      <c r="D548" s="3" t="s">
        <v>142</v>
      </c>
      <c r="E548" s="23" t="s">
        <v>31</v>
      </c>
      <c r="F548" s="16" t="s">
        <v>592</v>
      </c>
      <c r="G548" s="118">
        <v>18</v>
      </c>
      <c r="H548" s="119" t="s">
        <v>26</v>
      </c>
      <c r="I548" s="118">
        <v>4.0999999999999996</v>
      </c>
      <c r="J548" s="118">
        <v>28.5</v>
      </c>
      <c r="K548" s="119" t="s">
        <v>26</v>
      </c>
      <c r="L548" s="119" t="s">
        <v>26</v>
      </c>
      <c r="M548" s="119" t="s">
        <v>26</v>
      </c>
      <c r="N548" s="119" t="s">
        <v>26</v>
      </c>
      <c r="O548" s="118">
        <v>3.6</v>
      </c>
      <c r="P548" s="119" t="s">
        <v>26</v>
      </c>
      <c r="Q548" s="119" t="s">
        <v>26</v>
      </c>
      <c r="R548" s="119" t="s">
        <v>26</v>
      </c>
      <c r="S548" s="127">
        <v>3.5</v>
      </c>
      <c r="T548" s="121" t="s">
        <v>26</v>
      </c>
      <c r="U548" s="133">
        <v>646</v>
      </c>
      <c r="V548" s="126" t="s">
        <v>26</v>
      </c>
      <c r="AC548" s="33"/>
      <c r="AD548" s="33"/>
      <c r="AE548" s="33"/>
    </row>
    <row r="549" spans="1:31">
      <c r="A549" s="26" t="s">
        <v>572</v>
      </c>
      <c r="B549" s="8" t="s">
        <v>119</v>
      </c>
      <c r="C549" s="8" t="s">
        <v>22</v>
      </c>
      <c r="D549" s="3" t="s">
        <v>23</v>
      </c>
      <c r="E549" s="23" t="s">
        <v>24</v>
      </c>
      <c r="F549" s="16" t="s">
        <v>593</v>
      </c>
      <c r="G549" s="118">
        <v>256</v>
      </c>
      <c r="H549" s="118">
        <v>8.5</v>
      </c>
      <c r="I549" s="119" t="s">
        <v>26</v>
      </c>
      <c r="J549" s="119" t="s">
        <v>26</v>
      </c>
      <c r="K549" s="119" t="s">
        <v>26</v>
      </c>
      <c r="L549" s="119" t="s">
        <v>26</v>
      </c>
      <c r="M549" s="118">
        <v>0.7</v>
      </c>
      <c r="N549" s="119" t="s">
        <v>26</v>
      </c>
      <c r="O549" s="125" t="s">
        <v>26</v>
      </c>
      <c r="P549" s="119" t="s">
        <v>26</v>
      </c>
      <c r="Q549" s="118">
        <v>4.5</v>
      </c>
      <c r="R549" s="118">
        <v>1.6</v>
      </c>
      <c r="S549" s="127">
        <v>0.4</v>
      </c>
      <c r="T549" s="121" t="s">
        <v>26</v>
      </c>
      <c r="U549" s="89">
        <v>558</v>
      </c>
      <c r="V549" s="126" t="s">
        <v>26</v>
      </c>
      <c r="AC549" s="33"/>
      <c r="AD549" s="33"/>
      <c r="AE549" s="33"/>
    </row>
    <row r="550" spans="1:31">
      <c r="A550" s="26" t="s">
        <v>572</v>
      </c>
      <c r="B550" s="8" t="s">
        <v>119</v>
      </c>
      <c r="C550" s="8" t="s">
        <v>22</v>
      </c>
      <c r="D550" s="3" t="s">
        <v>23</v>
      </c>
      <c r="E550" s="23" t="s">
        <v>27</v>
      </c>
      <c r="F550" s="16" t="s">
        <v>594</v>
      </c>
      <c r="G550" s="118">
        <v>128</v>
      </c>
      <c r="H550" s="118">
        <v>24.5</v>
      </c>
      <c r="I550" s="118">
        <v>10.5</v>
      </c>
      <c r="J550" s="119" t="s">
        <v>26</v>
      </c>
      <c r="K550" s="119" t="s">
        <v>26</v>
      </c>
      <c r="L550" s="119" t="s">
        <v>26</v>
      </c>
      <c r="M550" s="118">
        <v>0.5</v>
      </c>
      <c r="N550" s="119" t="s">
        <v>26</v>
      </c>
      <c r="O550" s="118">
        <v>4.5</v>
      </c>
      <c r="P550" s="118">
        <v>1.8</v>
      </c>
      <c r="Q550" s="118">
        <v>2.6</v>
      </c>
      <c r="R550" s="119" t="s">
        <v>26</v>
      </c>
      <c r="S550" s="127">
        <v>3.5</v>
      </c>
      <c r="T550" s="121" t="s">
        <v>26</v>
      </c>
      <c r="U550" s="89">
        <v>171</v>
      </c>
      <c r="V550" s="126" t="s">
        <v>26</v>
      </c>
      <c r="AC550" s="33"/>
      <c r="AD550" s="33"/>
      <c r="AE550" s="33"/>
    </row>
    <row r="551" spans="1:31">
      <c r="A551" s="26" t="s">
        <v>572</v>
      </c>
      <c r="B551" s="8" t="s">
        <v>119</v>
      </c>
      <c r="C551" s="8" t="s">
        <v>22</v>
      </c>
      <c r="D551" s="3" t="s">
        <v>23</v>
      </c>
      <c r="E551" s="23" t="s">
        <v>29</v>
      </c>
      <c r="F551" s="16" t="s">
        <v>595</v>
      </c>
      <c r="G551" s="118">
        <v>49</v>
      </c>
      <c r="H551" s="118">
        <v>5.6</v>
      </c>
      <c r="I551" s="118">
        <v>18.5</v>
      </c>
      <c r="J551" s="118">
        <v>1.8</v>
      </c>
      <c r="K551" s="118">
        <v>0.5</v>
      </c>
      <c r="L551" s="119" t="s">
        <v>26</v>
      </c>
      <c r="M551" s="118">
        <v>0.9</v>
      </c>
      <c r="N551" s="119" t="s">
        <v>26</v>
      </c>
      <c r="O551" s="118">
        <v>4.4000000000000004</v>
      </c>
      <c r="P551" s="118">
        <v>3</v>
      </c>
      <c r="Q551" s="119" t="s">
        <v>26</v>
      </c>
      <c r="R551" s="119" t="s">
        <v>26</v>
      </c>
      <c r="S551" s="127">
        <v>3.8</v>
      </c>
      <c r="T551" s="121" t="s">
        <v>26</v>
      </c>
      <c r="U551" s="89">
        <v>380</v>
      </c>
      <c r="V551" s="126" t="s">
        <v>26</v>
      </c>
      <c r="AC551" s="33"/>
      <c r="AD551" s="33"/>
      <c r="AE551" s="33"/>
    </row>
    <row r="552" spans="1:31">
      <c r="A552" s="26" t="s">
        <v>572</v>
      </c>
      <c r="B552" s="8" t="s">
        <v>119</v>
      </c>
      <c r="C552" s="8" t="s">
        <v>22</v>
      </c>
      <c r="D552" s="3" t="s">
        <v>23</v>
      </c>
      <c r="E552" s="23" t="s">
        <v>31</v>
      </c>
      <c r="F552" s="16" t="s">
        <v>596</v>
      </c>
      <c r="G552" s="118">
        <v>19</v>
      </c>
      <c r="H552" s="119" t="s">
        <v>26</v>
      </c>
      <c r="I552" s="118">
        <v>8.1</v>
      </c>
      <c r="J552" s="118">
        <v>12.5</v>
      </c>
      <c r="K552" s="119" t="s">
        <v>26</v>
      </c>
      <c r="L552" s="119" t="s">
        <v>26</v>
      </c>
      <c r="M552" s="119" t="s">
        <v>26</v>
      </c>
      <c r="N552" s="119" t="s">
        <v>26</v>
      </c>
      <c r="O552" s="118">
        <v>3.1</v>
      </c>
      <c r="P552" s="118">
        <v>3.1</v>
      </c>
      <c r="Q552" s="119" t="s">
        <v>26</v>
      </c>
      <c r="R552" s="119" t="s">
        <v>26</v>
      </c>
      <c r="S552" s="127">
        <v>3.9</v>
      </c>
      <c r="T552" s="121" t="s">
        <v>26</v>
      </c>
      <c r="U552" s="123" t="s">
        <v>26</v>
      </c>
      <c r="V552" s="126" t="s">
        <v>26</v>
      </c>
      <c r="AC552" s="33"/>
      <c r="AD552" s="33"/>
      <c r="AE552" s="33"/>
    </row>
    <row r="553" spans="1:31">
      <c r="A553" s="26" t="s">
        <v>572</v>
      </c>
      <c r="B553" s="8" t="s">
        <v>108</v>
      </c>
      <c r="C553" s="8" t="s">
        <v>22</v>
      </c>
      <c r="D553" s="8" t="s">
        <v>109</v>
      </c>
      <c r="E553" s="23" t="s">
        <v>24</v>
      </c>
      <c r="F553" s="16" t="s">
        <v>597</v>
      </c>
      <c r="G553" s="118">
        <v>2110</v>
      </c>
      <c r="H553" s="118">
        <v>27.5</v>
      </c>
      <c r="I553" s="119" t="s">
        <v>26</v>
      </c>
      <c r="J553" s="119" t="s">
        <v>26</v>
      </c>
      <c r="K553" s="119" t="s">
        <v>26</v>
      </c>
      <c r="L553" s="118">
        <v>0.3</v>
      </c>
      <c r="M553" s="118">
        <v>0.6</v>
      </c>
      <c r="N553" s="119" t="s">
        <v>26</v>
      </c>
      <c r="O553" s="118">
        <v>0.7</v>
      </c>
      <c r="P553" s="119" t="s">
        <v>26</v>
      </c>
      <c r="Q553" s="118">
        <v>5.9</v>
      </c>
      <c r="R553" s="118">
        <v>1.5</v>
      </c>
      <c r="S553" s="127">
        <v>0.8</v>
      </c>
      <c r="T553" s="121" t="s">
        <v>26</v>
      </c>
      <c r="U553" s="130">
        <v>162</v>
      </c>
      <c r="V553" s="126" t="s">
        <v>26</v>
      </c>
      <c r="AC553" s="33"/>
      <c r="AD553" s="33"/>
      <c r="AE553" s="33"/>
    </row>
    <row r="554" spans="1:31">
      <c r="A554" s="26" t="s">
        <v>572</v>
      </c>
      <c r="B554" s="8" t="s">
        <v>108</v>
      </c>
      <c r="C554" s="8" t="s">
        <v>22</v>
      </c>
      <c r="D554" s="8" t="s">
        <v>109</v>
      </c>
      <c r="E554" s="23" t="s">
        <v>27</v>
      </c>
      <c r="F554" s="16" t="s">
        <v>598</v>
      </c>
      <c r="G554" s="118">
        <v>102</v>
      </c>
      <c r="H554" s="118">
        <v>39.5</v>
      </c>
      <c r="I554" s="118">
        <v>0.8</v>
      </c>
      <c r="J554" s="118">
        <v>0.8</v>
      </c>
      <c r="K554" s="118">
        <v>0.5</v>
      </c>
      <c r="L554" s="119" t="s">
        <v>26</v>
      </c>
      <c r="M554" s="118">
        <v>0.7</v>
      </c>
      <c r="N554" s="119" t="s">
        <v>26</v>
      </c>
      <c r="O554" s="118">
        <v>0.9</v>
      </c>
      <c r="P554" s="119" t="s">
        <v>26</v>
      </c>
      <c r="Q554" s="118">
        <v>3.8</v>
      </c>
      <c r="R554" s="119" t="s">
        <v>26</v>
      </c>
      <c r="S554" s="127">
        <v>1.5</v>
      </c>
      <c r="T554" s="121" t="s">
        <v>26</v>
      </c>
      <c r="U554" s="130">
        <v>78</v>
      </c>
      <c r="V554" s="126" t="s">
        <v>26</v>
      </c>
      <c r="AC554" s="33"/>
      <c r="AD554" s="33"/>
      <c r="AE554" s="33"/>
    </row>
    <row r="555" spans="1:31">
      <c r="A555" s="26" t="s">
        <v>572</v>
      </c>
      <c r="B555" s="8" t="s">
        <v>108</v>
      </c>
      <c r="C555" s="8" t="s">
        <v>22</v>
      </c>
      <c r="D555" s="8" t="s">
        <v>109</v>
      </c>
      <c r="E555" s="23" t="s">
        <v>29</v>
      </c>
      <c r="F555" s="16" t="s">
        <v>599</v>
      </c>
      <c r="G555" s="118">
        <v>34</v>
      </c>
      <c r="H555" s="118">
        <v>40.5</v>
      </c>
      <c r="I555" s="118">
        <v>4.5</v>
      </c>
      <c r="J555" s="118">
        <v>7.1</v>
      </c>
      <c r="K555" s="118">
        <v>0.7</v>
      </c>
      <c r="L555" s="119" t="s">
        <v>26</v>
      </c>
      <c r="M555" s="118">
        <v>1.3</v>
      </c>
      <c r="N555" s="119" t="s">
        <v>26</v>
      </c>
      <c r="O555" s="118">
        <v>1.6</v>
      </c>
      <c r="P555" s="119" t="s">
        <v>26</v>
      </c>
      <c r="Q555" s="119" t="s">
        <v>26</v>
      </c>
      <c r="R555" s="119" t="s">
        <v>26</v>
      </c>
      <c r="S555" s="127">
        <v>3.6</v>
      </c>
      <c r="T555" s="121" t="s">
        <v>26</v>
      </c>
      <c r="U555" s="123" t="s">
        <v>26</v>
      </c>
      <c r="V555" s="126" t="s">
        <v>26</v>
      </c>
      <c r="AC555" s="33"/>
      <c r="AD555" s="33"/>
      <c r="AE555" s="33"/>
    </row>
    <row r="556" spans="1:31">
      <c r="A556" s="26" t="s">
        <v>572</v>
      </c>
      <c r="B556" s="8" t="s">
        <v>108</v>
      </c>
      <c r="C556" s="8" t="s">
        <v>22</v>
      </c>
      <c r="D556" s="8" t="s">
        <v>109</v>
      </c>
      <c r="E556" s="23" t="s">
        <v>31</v>
      </c>
      <c r="F556" s="16" t="s">
        <v>600</v>
      </c>
      <c r="G556" s="118">
        <v>13</v>
      </c>
      <c r="H556" s="119" t="s">
        <v>26</v>
      </c>
      <c r="I556" s="119" t="s">
        <v>26</v>
      </c>
      <c r="J556" s="118">
        <v>29.5</v>
      </c>
      <c r="K556" s="119" t="s">
        <v>26</v>
      </c>
      <c r="L556" s="119" t="s">
        <v>26</v>
      </c>
      <c r="M556" s="119" t="s">
        <v>26</v>
      </c>
      <c r="N556" s="119" t="s">
        <v>26</v>
      </c>
      <c r="O556" s="118">
        <v>2</v>
      </c>
      <c r="P556" s="119" t="s">
        <v>26</v>
      </c>
      <c r="Q556" s="119" t="s">
        <v>26</v>
      </c>
      <c r="R556" s="119" t="s">
        <v>26</v>
      </c>
      <c r="S556" s="127">
        <v>3.9</v>
      </c>
      <c r="T556" s="121" t="s">
        <v>26</v>
      </c>
      <c r="U556" s="130">
        <v>739</v>
      </c>
      <c r="V556" s="126" t="s">
        <v>26</v>
      </c>
      <c r="AC556" s="33"/>
      <c r="AD556" s="33"/>
      <c r="AE556" s="33"/>
    </row>
    <row r="557" spans="1:31">
      <c r="A557" s="26" t="s">
        <v>572</v>
      </c>
      <c r="B557" s="8" t="s">
        <v>373</v>
      </c>
      <c r="C557" s="8" t="s">
        <v>22</v>
      </c>
      <c r="D557" s="8" t="s">
        <v>109</v>
      </c>
      <c r="E557" s="23" t="s">
        <v>24</v>
      </c>
      <c r="F557" s="16" t="s">
        <v>601</v>
      </c>
      <c r="G557" s="118">
        <v>232</v>
      </c>
      <c r="H557" s="118">
        <v>22</v>
      </c>
      <c r="I557" s="119" t="s">
        <v>26</v>
      </c>
      <c r="J557" s="119" t="s">
        <v>26</v>
      </c>
      <c r="K557" s="119" t="s">
        <v>26</v>
      </c>
      <c r="L557" s="119" t="s">
        <v>26</v>
      </c>
      <c r="M557" s="118">
        <v>0.7</v>
      </c>
      <c r="N557" s="119" t="s">
        <v>26</v>
      </c>
      <c r="O557" s="118">
        <v>0.7</v>
      </c>
      <c r="P557" s="119" t="s">
        <v>26</v>
      </c>
      <c r="Q557" s="118">
        <v>4.5</v>
      </c>
      <c r="R557" s="118">
        <v>0.5</v>
      </c>
      <c r="S557" s="127">
        <v>0.5</v>
      </c>
      <c r="T557" s="121" t="s">
        <v>26</v>
      </c>
      <c r="U557" s="130">
        <v>972</v>
      </c>
      <c r="V557" s="126" t="s">
        <v>26</v>
      </c>
      <c r="AC557" s="33"/>
      <c r="AD557" s="33"/>
      <c r="AE557" s="33"/>
    </row>
    <row r="558" spans="1:31">
      <c r="A558" s="26" t="s">
        <v>572</v>
      </c>
      <c r="B558" s="8" t="s">
        <v>373</v>
      </c>
      <c r="C558" s="8" t="s">
        <v>22</v>
      </c>
      <c r="D558" s="8" t="s">
        <v>109</v>
      </c>
      <c r="E558" s="23" t="s">
        <v>27</v>
      </c>
      <c r="F558" s="16" t="s">
        <v>602</v>
      </c>
      <c r="G558" s="118">
        <v>109</v>
      </c>
      <c r="H558" s="118">
        <v>32.5</v>
      </c>
      <c r="I558" s="118">
        <v>2.5</v>
      </c>
      <c r="J558" s="118">
        <v>0.5</v>
      </c>
      <c r="K558" s="119" t="s">
        <v>26</v>
      </c>
      <c r="L558" s="119" t="s">
        <v>26</v>
      </c>
      <c r="M558" s="118">
        <v>0.5</v>
      </c>
      <c r="N558" s="119" t="s">
        <v>26</v>
      </c>
      <c r="O558" s="118">
        <v>2.2000000000000002</v>
      </c>
      <c r="P558" s="118">
        <v>0.7</v>
      </c>
      <c r="Q558" s="118">
        <v>3.4</v>
      </c>
      <c r="R558" s="118">
        <v>0.4</v>
      </c>
      <c r="S558" s="127">
        <v>1.9</v>
      </c>
      <c r="T558" s="121" t="s">
        <v>26</v>
      </c>
      <c r="U558" s="130">
        <v>185</v>
      </c>
      <c r="V558" s="126" t="s">
        <v>26</v>
      </c>
      <c r="AC558" s="33"/>
      <c r="AD558" s="33"/>
      <c r="AE558" s="33"/>
    </row>
    <row r="559" spans="1:31">
      <c r="A559" s="26" t="s">
        <v>572</v>
      </c>
      <c r="B559" s="8" t="s">
        <v>373</v>
      </c>
      <c r="C559" s="8" t="s">
        <v>22</v>
      </c>
      <c r="D559" s="8" t="s">
        <v>109</v>
      </c>
      <c r="E559" s="23" t="s">
        <v>29</v>
      </c>
      <c r="F559" s="16" t="s">
        <v>603</v>
      </c>
      <c r="G559" s="118">
        <v>40</v>
      </c>
      <c r="H559" s="118">
        <v>15.5</v>
      </c>
      <c r="I559" s="118">
        <v>9.1999999999999993</v>
      </c>
      <c r="J559" s="118">
        <v>1.7</v>
      </c>
      <c r="K559" s="119" t="s">
        <v>26</v>
      </c>
      <c r="L559" s="119" t="s">
        <v>26</v>
      </c>
      <c r="M559" s="118">
        <v>0.9</v>
      </c>
      <c r="N559" s="119" t="s">
        <v>26</v>
      </c>
      <c r="O559" s="118">
        <v>2.9</v>
      </c>
      <c r="P559" s="118">
        <v>0.8</v>
      </c>
      <c r="Q559" s="118">
        <v>1.5</v>
      </c>
      <c r="R559" s="118">
        <v>2</v>
      </c>
      <c r="S559" s="127">
        <v>2.1</v>
      </c>
      <c r="T559" s="121" t="s">
        <v>26</v>
      </c>
      <c r="U559" s="130">
        <v>3513</v>
      </c>
      <c r="V559" s="126" t="s">
        <v>26</v>
      </c>
      <c r="AC559" s="33"/>
      <c r="AD559" s="33"/>
      <c r="AE559" s="33"/>
    </row>
    <row r="560" spans="1:31">
      <c r="A560" s="26" t="s">
        <v>572</v>
      </c>
      <c r="B560" s="8" t="s">
        <v>373</v>
      </c>
      <c r="C560" s="8" t="s">
        <v>22</v>
      </c>
      <c r="D560" s="8" t="s">
        <v>109</v>
      </c>
      <c r="E560" s="23" t="s">
        <v>31</v>
      </c>
      <c r="F560" s="16" t="s">
        <v>604</v>
      </c>
      <c r="G560" s="118">
        <v>15</v>
      </c>
      <c r="H560" s="119" t="s">
        <v>26</v>
      </c>
      <c r="I560" s="118">
        <v>2.6</v>
      </c>
      <c r="J560" s="118">
        <v>17.5</v>
      </c>
      <c r="K560" s="119" t="s">
        <v>26</v>
      </c>
      <c r="L560" s="119" t="s">
        <v>26</v>
      </c>
      <c r="M560" s="119" t="s">
        <v>26</v>
      </c>
      <c r="N560" s="119" t="s">
        <v>26</v>
      </c>
      <c r="O560" s="118">
        <v>2</v>
      </c>
      <c r="P560" s="119" t="s">
        <v>26</v>
      </c>
      <c r="Q560" s="119" t="s">
        <v>26</v>
      </c>
      <c r="R560" s="119" t="s">
        <v>26</v>
      </c>
      <c r="S560" s="127">
        <v>3.8</v>
      </c>
      <c r="T560" s="121" t="s">
        <v>26</v>
      </c>
      <c r="U560" s="130">
        <v>1144</v>
      </c>
      <c r="V560" s="126" t="s">
        <v>26</v>
      </c>
      <c r="AC560" s="33"/>
      <c r="AD560" s="33"/>
      <c r="AE560" s="33"/>
    </row>
    <row r="561" spans="1:31">
      <c r="A561" s="26" t="s">
        <v>605</v>
      </c>
      <c r="B561" s="8" t="s">
        <v>606</v>
      </c>
      <c r="C561" s="8" t="s">
        <v>22</v>
      </c>
      <c r="D561" s="3" t="s">
        <v>23</v>
      </c>
      <c r="E561" s="23" t="s">
        <v>24</v>
      </c>
      <c r="F561" s="16" t="s">
        <v>607</v>
      </c>
      <c r="G561" s="118">
        <v>237</v>
      </c>
      <c r="H561" s="118">
        <v>18.5</v>
      </c>
      <c r="I561" s="119" t="s">
        <v>26</v>
      </c>
      <c r="J561" s="119" t="s">
        <v>26</v>
      </c>
      <c r="K561" s="118">
        <v>0.3</v>
      </c>
      <c r="L561" s="118">
        <v>0.3</v>
      </c>
      <c r="M561" s="118">
        <v>0.6</v>
      </c>
      <c r="N561" s="119" t="s">
        <v>26</v>
      </c>
      <c r="O561" s="118">
        <v>1.6</v>
      </c>
      <c r="P561" s="118">
        <v>1.2</v>
      </c>
      <c r="Q561" s="118">
        <v>4</v>
      </c>
      <c r="R561" s="118">
        <v>2.4</v>
      </c>
      <c r="S561" s="127">
        <v>0.9</v>
      </c>
      <c r="T561" s="121" t="s">
        <v>26</v>
      </c>
      <c r="U561" s="89">
        <v>90</v>
      </c>
      <c r="V561" s="89">
        <v>621</v>
      </c>
      <c r="AC561" s="33"/>
      <c r="AD561" s="33"/>
      <c r="AE561" s="33"/>
    </row>
    <row r="562" spans="1:31">
      <c r="A562" s="26" t="s">
        <v>605</v>
      </c>
      <c r="B562" s="8" t="s">
        <v>606</v>
      </c>
      <c r="C562" s="8" t="s">
        <v>22</v>
      </c>
      <c r="D562" s="3" t="s">
        <v>23</v>
      </c>
      <c r="E562" s="23" t="s">
        <v>27</v>
      </c>
      <c r="F562" s="16" t="s">
        <v>608</v>
      </c>
      <c r="G562" s="118">
        <v>107</v>
      </c>
      <c r="H562" s="118">
        <v>32.5</v>
      </c>
      <c r="I562" s="118">
        <v>1.5</v>
      </c>
      <c r="J562" s="118">
        <v>0.8</v>
      </c>
      <c r="K562" s="119" t="s">
        <v>26</v>
      </c>
      <c r="L562" s="118">
        <v>0.5</v>
      </c>
      <c r="M562" s="118">
        <v>0.8</v>
      </c>
      <c r="N562" s="119" t="s">
        <v>26</v>
      </c>
      <c r="O562" s="118">
        <v>5.2</v>
      </c>
      <c r="P562" s="118">
        <v>2.9</v>
      </c>
      <c r="Q562" s="118">
        <v>2.5</v>
      </c>
      <c r="R562" s="118">
        <v>1.2</v>
      </c>
      <c r="S562" s="127">
        <v>3.2</v>
      </c>
      <c r="T562" s="121" t="s">
        <v>26</v>
      </c>
      <c r="U562" s="89">
        <v>57</v>
      </c>
      <c r="V562" s="89">
        <v>249</v>
      </c>
      <c r="AC562" s="33"/>
      <c r="AD562" s="33"/>
      <c r="AE562" s="33"/>
    </row>
    <row r="563" spans="1:31">
      <c r="A563" s="26" t="s">
        <v>605</v>
      </c>
      <c r="B563" s="8" t="s">
        <v>606</v>
      </c>
      <c r="C563" s="8" t="s">
        <v>22</v>
      </c>
      <c r="D563" s="3" t="s">
        <v>23</v>
      </c>
      <c r="E563" s="23" t="s">
        <v>29</v>
      </c>
      <c r="F563" s="16" t="s">
        <v>609</v>
      </c>
      <c r="G563" s="118">
        <v>48</v>
      </c>
      <c r="H563" s="118">
        <v>7.9</v>
      </c>
      <c r="I563" s="118">
        <v>13.2</v>
      </c>
      <c r="J563" s="118">
        <v>5.76</v>
      </c>
      <c r="K563" s="118">
        <v>0.5</v>
      </c>
      <c r="L563" s="118">
        <v>0.8</v>
      </c>
      <c r="M563" s="118">
        <v>1</v>
      </c>
      <c r="N563" s="119" t="s">
        <v>26</v>
      </c>
      <c r="O563" s="118">
        <v>5.6</v>
      </c>
      <c r="P563" s="118">
        <v>3.2</v>
      </c>
      <c r="Q563" s="118">
        <v>1.4</v>
      </c>
      <c r="R563" s="119" t="s">
        <v>26</v>
      </c>
      <c r="S563" s="127">
        <v>4.5</v>
      </c>
      <c r="T563" s="121" t="s">
        <v>26</v>
      </c>
      <c r="U563" s="89">
        <v>2658</v>
      </c>
      <c r="V563" s="89">
        <v>975</v>
      </c>
      <c r="AC563" s="33"/>
      <c r="AD563" s="33"/>
      <c r="AE563" s="33"/>
    </row>
    <row r="564" spans="1:31">
      <c r="A564" s="26" t="s">
        <v>605</v>
      </c>
      <c r="B564" s="8" t="s">
        <v>606</v>
      </c>
      <c r="C564" s="8" t="s">
        <v>22</v>
      </c>
      <c r="D564" s="3" t="s">
        <v>23</v>
      </c>
      <c r="E564" s="23" t="s">
        <v>31</v>
      </c>
      <c r="F564" s="16" t="s">
        <v>610</v>
      </c>
      <c r="G564" s="118">
        <v>17</v>
      </c>
      <c r="H564" s="119" t="s">
        <v>26</v>
      </c>
      <c r="I564" s="118">
        <v>4.5</v>
      </c>
      <c r="J564" s="118">
        <v>18.3</v>
      </c>
      <c r="K564" s="119" t="s">
        <v>26</v>
      </c>
      <c r="L564" s="119" t="s">
        <v>26</v>
      </c>
      <c r="M564" s="119" t="s">
        <v>26</v>
      </c>
      <c r="N564" s="119" t="s">
        <v>26</v>
      </c>
      <c r="O564" s="118">
        <v>4.5999999999999996</v>
      </c>
      <c r="P564" s="118">
        <v>3.5</v>
      </c>
      <c r="Q564" s="119" t="s">
        <v>26</v>
      </c>
      <c r="R564" s="119" t="s">
        <v>26</v>
      </c>
      <c r="S564" s="127">
        <v>7.2</v>
      </c>
      <c r="T564" s="121" t="s">
        <v>26</v>
      </c>
      <c r="U564" s="89">
        <v>1215</v>
      </c>
      <c r="V564" s="89">
        <v>210</v>
      </c>
      <c r="AC564" s="33"/>
      <c r="AD564" s="33"/>
      <c r="AE564" s="33"/>
    </row>
    <row r="565" spans="1:31">
      <c r="A565" s="26" t="s">
        <v>605</v>
      </c>
      <c r="B565" s="8" t="s">
        <v>457</v>
      </c>
      <c r="C565" s="8" t="s">
        <v>22</v>
      </c>
      <c r="D565" s="3" t="s">
        <v>33</v>
      </c>
      <c r="E565" s="23" t="s">
        <v>24</v>
      </c>
      <c r="F565" s="16" t="s">
        <v>611</v>
      </c>
      <c r="G565" s="118">
        <v>219</v>
      </c>
      <c r="H565" s="118">
        <v>20.5</v>
      </c>
      <c r="I565" s="119" t="s">
        <v>26</v>
      </c>
      <c r="J565" s="119" t="s">
        <v>26</v>
      </c>
      <c r="K565" s="119" t="s">
        <v>26</v>
      </c>
      <c r="L565" s="119" t="s">
        <v>26</v>
      </c>
      <c r="M565" s="118">
        <v>0.4</v>
      </c>
      <c r="N565" s="119" t="s">
        <v>26</v>
      </c>
      <c r="O565" s="125" t="s">
        <v>26</v>
      </c>
      <c r="P565" s="119" t="s">
        <v>26</v>
      </c>
      <c r="Q565" s="118">
        <v>1.7</v>
      </c>
      <c r="R565" s="118">
        <v>2.1</v>
      </c>
      <c r="S565" s="127">
        <v>0.6</v>
      </c>
      <c r="T565" s="121" t="s">
        <v>26</v>
      </c>
      <c r="U565" s="130">
        <v>90</v>
      </c>
      <c r="V565" s="126" t="s">
        <v>26</v>
      </c>
      <c r="AC565" s="33"/>
      <c r="AD565" s="33"/>
      <c r="AE565" s="33"/>
    </row>
    <row r="566" spans="1:31">
      <c r="A566" s="26" t="s">
        <v>605</v>
      </c>
      <c r="B566" s="8" t="s">
        <v>457</v>
      </c>
      <c r="C566" s="8" t="s">
        <v>22</v>
      </c>
      <c r="D566" s="3" t="s">
        <v>33</v>
      </c>
      <c r="E566" s="23" t="s">
        <v>27</v>
      </c>
      <c r="F566" s="16" t="s">
        <v>612</v>
      </c>
      <c r="G566" s="118">
        <v>105</v>
      </c>
      <c r="H566" s="118">
        <v>38.5</v>
      </c>
      <c r="I566" s="118">
        <v>1.8</v>
      </c>
      <c r="J566" s="118">
        <v>0.6</v>
      </c>
      <c r="K566" s="118">
        <v>0.5</v>
      </c>
      <c r="L566" s="119" t="s">
        <v>26</v>
      </c>
      <c r="M566" s="118">
        <v>0.8</v>
      </c>
      <c r="N566" s="119" t="s">
        <v>26</v>
      </c>
      <c r="O566" s="118">
        <v>1.4</v>
      </c>
      <c r="P566" s="119" t="s">
        <v>26</v>
      </c>
      <c r="Q566" s="119" t="s">
        <v>26</v>
      </c>
      <c r="R566" s="118">
        <v>1.5</v>
      </c>
      <c r="S566" s="127">
        <v>0.5</v>
      </c>
      <c r="T566" s="121" t="s">
        <v>26</v>
      </c>
      <c r="U566" s="130">
        <v>114</v>
      </c>
      <c r="V566" s="126" t="s">
        <v>26</v>
      </c>
      <c r="AC566" s="33"/>
      <c r="AD566" s="33"/>
      <c r="AE566" s="33"/>
    </row>
    <row r="567" spans="1:31">
      <c r="A567" s="26" t="s">
        <v>605</v>
      </c>
      <c r="B567" s="8" t="s">
        <v>457</v>
      </c>
      <c r="C567" s="8" t="s">
        <v>22</v>
      </c>
      <c r="D567" s="3" t="s">
        <v>33</v>
      </c>
      <c r="E567" s="23" t="s">
        <v>29</v>
      </c>
      <c r="F567" s="16" t="s">
        <v>613</v>
      </c>
      <c r="G567" s="118">
        <v>40</v>
      </c>
      <c r="H567" s="118">
        <v>13.5</v>
      </c>
      <c r="I567" s="118">
        <v>8.4</v>
      </c>
      <c r="J567" s="118">
        <v>1.76</v>
      </c>
      <c r="K567" s="118">
        <v>0.6</v>
      </c>
      <c r="L567" s="119" t="s">
        <v>26</v>
      </c>
      <c r="M567" s="118">
        <v>0.5</v>
      </c>
      <c r="N567" s="119" t="s">
        <v>26</v>
      </c>
      <c r="O567" s="118">
        <v>2.1</v>
      </c>
      <c r="P567" s="119" t="s">
        <v>26</v>
      </c>
      <c r="Q567" s="119" t="s">
        <v>26</v>
      </c>
      <c r="R567" s="119" t="s">
        <v>26</v>
      </c>
      <c r="S567" s="127">
        <v>1.7</v>
      </c>
      <c r="T567" s="121" t="s">
        <v>26</v>
      </c>
      <c r="U567" s="130">
        <v>240</v>
      </c>
      <c r="V567" s="126" t="s">
        <v>26</v>
      </c>
      <c r="AC567" s="33"/>
      <c r="AD567" s="33"/>
      <c r="AE567" s="33"/>
    </row>
    <row r="568" spans="1:31">
      <c r="A568" s="26" t="s">
        <v>605</v>
      </c>
      <c r="B568" s="8" t="s">
        <v>457</v>
      </c>
      <c r="C568" s="8" t="s">
        <v>22</v>
      </c>
      <c r="D568" s="3" t="s">
        <v>33</v>
      </c>
      <c r="E568" s="23" t="s">
        <v>31</v>
      </c>
      <c r="F568" s="16" t="s">
        <v>44</v>
      </c>
      <c r="G568" s="118">
        <v>16</v>
      </c>
      <c r="H568" s="119" t="s">
        <v>26</v>
      </c>
      <c r="I568" s="118">
        <v>3.1</v>
      </c>
      <c r="J568" s="118">
        <v>18.3</v>
      </c>
      <c r="K568" s="119" t="s">
        <v>26</v>
      </c>
      <c r="L568" s="119" t="s">
        <v>26</v>
      </c>
      <c r="M568" s="119" t="s">
        <v>26</v>
      </c>
      <c r="N568" s="119" t="s">
        <v>26</v>
      </c>
      <c r="O568" s="118">
        <v>1.5</v>
      </c>
      <c r="P568" s="119" t="s">
        <v>26</v>
      </c>
      <c r="Q568" s="119" t="s">
        <v>26</v>
      </c>
      <c r="R568" s="119" t="s">
        <v>26</v>
      </c>
      <c r="S568" s="127">
        <v>2.9</v>
      </c>
      <c r="T568" s="121" t="s">
        <v>26</v>
      </c>
      <c r="U568" s="130">
        <v>748</v>
      </c>
      <c r="V568" s="126" t="s">
        <v>26</v>
      </c>
      <c r="AC568" s="33"/>
      <c r="AD568" s="33"/>
      <c r="AE568" s="33"/>
    </row>
    <row r="569" spans="1:31">
      <c r="A569" s="26" t="s">
        <v>605</v>
      </c>
      <c r="B569" s="8" t="s">
        <v>614</v>
      </c>
      <c r="C569" s="8" t="s">
        <v>22</v>
      </c>
      <c r="D569" s="3" t="s">
        <v>23</v>
      </c>
      <c r="E569" s="23" t="s">
        <v>24</v>
      </c>
      <c r="F569" s="16" t="s">
        <v>615</v>
      </c>
      <c r="G569" s="118">
        <v>256</v>
      </c>
      <c r="H569" s="118">
        <v>9.5</v>
      </c>
      <c r="I569" s="119" t="s">
        <v>26</v>
      </c>
      <c r="J569" s="119" t="s">
        <v>26</v>
      </c>
      <c r="K569" s="119" t="s">
        <v>26</v>
      </c>
      <c r="L569" s="119" t="s">
        <v>26</v>
      </c>
      <c r="M569" s="118">
        <v>0.5</v>
      </c>
      <c r="N569" s="119" t="s">
        <v>26</v>
      </c>
      <c r="O569" s="125" t="s">
        <v>26</v>
      </c>
      <c r="P569" s="119" t="s">
        <v>26</v>
      </c>
      <c r="Q569" s="118">
        <v>3.5</v>
      </c>
      <c r="R569" s="118">
        <v>1.4</v>
      </c>
      <c r="S569" s="120" t="s">
        <v>26</v>
      </c>
      <c r="T569" s="121" t="s">
        <v>26</v>
      </c>
      <c r="U569" s="89">
        <v>594</v>
      </c>
      <c r="V569" s="126" t="s">
        <v>26</v>
      </c>
      <c r="AC569" s="33"/>
      <c r="AD569" s="33"/>
      <c r="AE569" s="33"/>
    </row>
    <row r="570" spans="1:31">
      <c r="A570" s="26" t="s">
        <v>605</v>
      </c>
      <c r="B570" s="8" t="s">
        <v>614</v>
      </c>
      <c r="C570" s="8" t="s">
        <v>22</v>
      </c>
      <c r="D570" s="3" t="s">
        <v>23</v>
      </c>
      <c r="E570" s="23" t="s">
        <v>27</v>
      </c>
      <c r="F570" s="16" t="s">
        <v>616</v>
      </c>
      <c r="G570" s="118">
        <v>114</v>
      </c>
      <c r="H570" s="118">
        <v>30.5</v>
      </c>
      <c r="I570" s="118">
        <v>2</v>
      </c>
      <c r="J570" s="118">
        <v>0.5</v>
      </c>
      <c r="K570" s="119" t="s">
        <v>26</v>
      </c>
      <c r="L570" s="119" t="s">
        <v>26</v>
      </c>
      <c r="M570" s="118">
        <v>0.6</v>
      </c>
      <c r="N570" s="119" t="s">
        <v>26</v>
      </c>
      <c r="O570" s="118">
        <v>2.8</v>
      </c>
      <c r="P570" s="119" t="s">
        <v>26</v>
      </c>
      <c r="Q570" s="118">
        <v>2.4</v>
      </c>
      <c r="R570" s="118">
        <v>1.1000000000000001</v>
      </c>
      <c r="S570" s="127">
        <v>0.9</v>
      </c>
      <c r="T570" s="121" t="s">
        <v>26</v>
      </c>
      <c r="U570" s="89">
        <v>228</v>
      </c>
      <c r="V570" s="126" t="s">
        <v>26</v>
      </c>
      <c r="AC570" s="33"/>
      <c r="AD570" s="33"/>
      <c r="AE570" s="33"/>
    </row>
    <row r="571" spans="1:31">
      <c r="A571" s="26" t="s">
        <v>605</v>
      </c>
      <c r="B571" s="8" t="s">
        <v>614</v>
      </c>
      <c r="C571" s="8" t="s">
        <v>22</v>
      </c>
      <c r="D571" s="3" t="s">
        <v>23</v>
      </c>
      <c r="E571" s="23" t="s">
        <v>29</v>
      </c>
      <c r="F571" s="16" t="s">
        <v>617</v>
      </c>
      <c r="G571" s="118">
        <v>50</v>
      </c>
      <c r="H571" s="118">
        <v>4.5</v>
      </c>
      <c r="I571" s="118">
        <v>19.5</v>
      </c>
      <c r="J571" s="118">
        <v>1.74</v>
      </c>
      <c r="K571" s="118">
        <v>0.4</v>
      </c>
      <c r="L571" s="119" t="s">
        <v>26</v>
      </c>
      <c r="M571" s="118">
        <v>0.9</v>
      </c>
      <c r="N571" s="119" t="s">
        <v>26</v>
      </c>
      <c r="O571" s="118">
        <v>2.6</v>
      </c>
      <c r="P571" s="118">
        <v>1.1000000000000001</v>
      </c>
      <c r="Q571" s="119" t="s">
        <v>26</v>
      </c>
      <c r="R571" s="119" t="s">
        <v>26</v>
      </c>
      <c r="S571" s="127">
        <v>1.4</v>
      </c>
      <c r="T571" s="121" t="s">
        <v>26</v>
      </c>
      <c r="U571" s="89">
        <v>260</v>
      </c>
      <c r="V571" s="126" t="s">
        <v>26</v>
      </c>
      <c r="AC571" s="33"/>
      <c r="AD571" s="33"/>
      <c r="AE571" s="33"/>
    </row>
    <row r="572" spans="1:31">
      <c r="A572" s="26" t="s">
        <v>605</v>
      </c>
      <c r="B572" s="8" t="s">
        <v>614</v>
      </c>
      <c r="C572" s="8" t="s">
        <v>22</v>
      </c>
      <c r="D572" s="3" t="s">
        <v>23</v>
      </c>
      <c r="E572" s="23" t="s">
        <v>31</v>
      </c>
      <c r="F572" s="16" t="s">
        <v>618</v>
      </c>
      <c r="G572" s="118">
        <v>19</v>
      </c>
      <c r="H572" s="119" t="s">
        <v>26</v>
      </c>
      <c r="I572" s="118">
        <v>6.5</v>
      </c>
      <c r="J572" s="118">
        <v>12.5</v>
      </c>
      <c r="K572" s="119" t="s">
        <v>26</v>
      </c>
      <c r="L572" s="119" t="s">
        <v>26</v>
      </c>
      <c r="M572" s="119" t="s">
        <v>26</v>
      </c>
      <c r="N572" s="119" t="s">
        <v>26</v>
      </c>
      <c r="O572" s="118">
        <v>1.5</v>
      </c>
      <c r="P572" s="119" t="s">
        <v>26</v>
      </c>
      <c r="Q572" s="119" t="s">
        <v>26</v>
      </c>
      <c r="R572" s="119" t="s">
        <v>26</v>
      </c>
      <c r="S572" s="127">
        <v>2.4</v>
      </c>
      <c r="T572" s="121" t="s">
        <v>26</v>
      </c>
      <c r="U572" s="89">
        <v>1554</v>
      </c>
      <c r="V572" s="126" t="s">
        <v>26</v>
      </c>
      <c r="AC572" s="33"/>
      <c r="AD572" s="33"/>
      <c r="AE572" s="33"/>
    </row>
    <row r="573" spans="1:31">
      <c r="A573" s="26" t="s">
        <v>605</v>
      </c>
      <c r="B573" s="8" t="s">
        <v>63</v>
      </c>
      <c r="C573" s="8" t="s">
        <v>22</v>
      </c>
      <c r="D573" s="8" t="s">
        <v>109</v>
      </c>
      <c r="E573" s="23" t="s">
        <v>24</v>
      </c>
      <c r="F573" s="16" t="s">
        <v>619</v>
      </c>
      <c r="G573" s="118">
        <v>220</v>
      </c>
      <c r="H573" s="118">
        <v>16.899999999999999</v>
      </c>
      <c r="I573" s="119" t="s">
        <v>26</v>
      </c>
      <c r="J573" s="119" t="s">
        <v>26</v>
      </c>
      <c r="K573" s="119" t="s">
        <v>26</v>
      </c>
      <c r="L573" s="119" t="s">
        <v>26</v>
      </c>
      <c r="M573" s="118">
        <v>0.6</v>
      </c>
      <c r="N573" s="119" t="s">
        <v>26</v>
      </c>
      <c r="O573" s="118">
        <v>0.9</v>
      </c>
      <c r="P573" s="118">
        <v>0.5</v>
      </c>
      <c r="Q573" s="118">
        <v>3.5</v>
      </c>
      <c r="R573" s="118">
        <v>2.4</v>
      </c>
      <c r="S573" s="127">
        <v>0.4</v>
      </c>
      <c r="T573" s="121" t="s">
        <v>26</v>
      </c>
      <c r="U573" s="130">
        <v>360</v>
      </c>
      <c r="V573" s="126" t="s">
        <v>26</v>
      </c>
      <c r="AC573" s="33"/>
      <c r="AD573" s="33"/>
      <c r="AE573" s="33"/>
    </row>
    <row r="574" spans="1:31">
      <c r="A574" s="26" t="s">
        <v>605</v>
      </c>
      <c r="B574" s="8" t="s">
        <v>63</v>
      </c>
      <c r="C574" s="8" t="s">
        <v>22</v>
      </c>
      <c r="D574" s="8" t="s">
        <v>109</v>
      </c>
      <c r="E574" s="23" t="s">
        <v>27</v>
      </c>
      <c r="F574" s="16" t="s">
        <v>620</v>
      </c>
      <c r="G574" s="118">
        <v>113</v>
      </c>
      <c r="H574" s="118">
        <v>34.5</v>
      </c>
      <c r="I574" s="118">
        <v>0.8</v>
      </c>
      <c r="J574" s="118">
        <v>0.4</v>
      </c>
      <c r="K574" s="118">
        <v>0.4</v>
      </c>
      <c r="L574" s="119" t="s">
        <v>26</v>
      </c>
      <c r="M574" s="118">
        <v>0.5</v>
      </c>
      <c r="N574" s="119" t="s">
        <v>26</v>
      </c>
      <c r="O574" s="118">
        <v>2.8</v>
      </c>
      <c r="P574" s="118">
        <v>0.8</v>
      </c>
      <c r="Q574" s="118">
        <v>3.9</v>
      </c>
      <c r="R574" s="118">
        <v>1.1000000000000001</v>
      </c>
      <c r="S574" s="120" t="s">
        <v>26</v>
      </c>
      <c r="T574" s="121" t="s">
        <v>26</v>
      </c>
      <c r="U574" s="130">
        <v>187</v>
      </c>
      <c r="V574" s="126" t="s">
        <v>26</v>
      </c>
      <c r="AC574" s="33"/>
      <c r="AD574" s="33"/>
      <c r="AE574" s="33"/>
    </row>
    <row r="575" spans="1:31">
      <c r="A575" s="26" t="s">
        <v>605</v>
      </c>
      <c r="B575" s="8" t="s">
        <v>63</v>
      </c>
      <c r="C575" s="8" t="s">
        <v>22</v>
      </c>
      <c r="D575" s="8" t="s">
        <v>109</v>
      </c>
      <c r="E575" s="23" t="s">
        <v>29</v>
      </c>
      <c r="F575" s="16" t="s">
        <v>621</v>
      </c>
      <c r="G575" s="118">
        <v>34</v>
      </c>
      <c r="H575" s="118">
        <v>33.5</v>
      </c>
      <c r="I575" s="118">
        <v>6.1</v>
      </c>
      <c r="J575" s="118">
        <v>6</v>
      </c>
      <c r="K575" s="118">
        <v>0.6</v>
      </c>
      <c r="L575" s="119" t="s">
        <v>26</v>
      </c>
      <c r="M575" s="118">
        <v>1.3</v>
      </c>
      <c r="N575" s="119" t="s">
        <v>26</v>
      </c>
      <c r="O575" s="118">
        <v>3.5</v>
      </c>
      <c r="P575" s="118">
        <v>1.4</v>
      </c>
      <c r="Q575" s="118">
        <v>4.2</v>
      </c>
      <c r="R575" s="118">
        <v>0.8</v>
      </c>
      <c r="S575" s="120" t="s">
        <v>26</v>
      </c>
      <c r="T575" s="121" t="s">
        <v>26</v>
      </c>
      <c r="U575" s="130">
        <v>2801</v>
      </c>
      <c r="V575" s="126" t="s">
        <v>26</v>
      </c>
      <c r="AC575" s="33"/>
      <c r="AD575" s="33"/>
      <c r="AE575" s="33"/>
    </row>
    <row r="576" spans="1:31">
      <c r="A576" s="26" t="s">
        <v>605</v>
      </c>
      <c r="B576" s="8" t="s">
        <v>63</v>
      </c>
      <c r="C576" s="8" t="s">
        <v>22</v>
      </c>
      <c r="D576" s="8" t="s">
        <v>109</v>
      </c>
      <c r="E576" s="23" t="s">
        <v>31</v>
      </c>
      <c r="F576" s="16" t="s">
        <v>622</v>
      </c>
      <c r="G576" s="118">
        <v>15</v>
      </c>
      <c r="H576" s="119" t="s">
        <v>26</v>
      </c>
      <c r="I576" s="118">
        <v>1.2</v>
      </c>
      <c r="J576" s="118">
        <v>26.5</v>
      </c>
      <c r="K576" s="119" t="s">
        <v>26</v>
      </c>
      <c r="L576" s="119" t="s">
        <v>26</v>
      </c>
      <c r="M576" s="119" t="s">
        <v>26</v>
      </c>
      <c r="N576" s="119" t="s">
        <v>26</v>
      </c>
      <c r="O576" s="118">
        <v>2.6</v>
      </c>
      <c r="P576" s="118">
        <v>1.6</v>
      </c>
      <c r="Q576" s="119" t="s">
        <v>26</v>
      </c>
      <c r="R576" s="119" t="s">
        <v>26</v>
      </c>
      <c r="S576" s="127">
        <v>1.5</v>
      </c>
      <c r="T576" s="121" t="s">
        <v>26</v>
      </c>
      <c r="U576" s="130">
        <v>1394</v>
      </c>
      <c r="V576" s="126" t="s">
        <v>26</v>
      </c>
      <c r="AC576" s="33"/>
      <c r="AD576" s="33"/>
      <c r="AE576" s="33"/>
    </row>
    <row r="577" spans="1:31">
      <c r="A577" s="26" t="s">
        <v>605</v>
      </c>
      <c r="B577" s="8" t="s">
        <v>623</v>
      </c>
      <c r="C577" s="8" t="s">
        <v>22</v>
      </c>
      <c r="D577" s="3" t="s">
        <v>142</v>
      </c>
      <c r="E577" s="23" t="s">
        <v>24</v>
      </c>
      <c r="F577" s="16" t="s">
        <v>624</v>
      </c>
      <c r="G577" s="118">
        <v>242</v>
      </c>
      <c r="H577" s="118">
        <v>12.5</v>
      </c>
      <c r="I577" s="119" t="s">
        <v>26</v>
      </c>
      <c r="J577" s="119" t="s">
        <v>26</v>
      </c>
      <c r="K577" s="119" t="s">
        <v>26</v>
      </c>
      <c r="L577" s="119" t="s">
        <v>26</v>
      </c>
      <c r="M577" s="118">
        <v>0.8</v>
      </c>
      <c r="N577" s="119" t="s">
        <v>26</v>
      </c>
      <c r="O577" s="118">
        <v>0.6</v>
      </c>
      <c r="P577" s="118">
        <v>0.9</v>
      </c>
      <c r="Q577" s="118">
        <v>6</v>
      </c>
      <c r="R577" s="118">
        <v>1.9</v>
      </c>
      <c r="S577" s="127">
        <v>0.5</v>
      </c>
      <c r="T577" s="121" t="s">
        <v>26</v>
      </c>
      <c r="U577" s="89">
        <v>756</v>
      </c>
      <c r="V577" s="126" t="s">
        <v>26</v>
      </c>
      <c r="AC577" s="33"/>
      <c r="AD577" s="33"/>
      <c r="AE577" s="33"/>
    </row>
    <row r="578" spans="1:31">
      <c r="A578" s="26" t="s">
        <v>605</v>
      </c>
      <c r="B578" s="8" t="s">
        <v>623</v>
      </c>
      <c r="C578" s="8" t="s">
        <v>22</v>
      </c>
      <c r="D578" s="3" t="s">
        <v>142</v>
      </c>
      <c r="E578" s="23" t="s">
        <v>27</v>
      </c>
      <c r="F578" s="16" t="s">
        <v>413</v>
      </c>
      <c r="G578" s="118">
        <v>109</v>
      </c>
      <c r="H578" s="118">
        <v>33.5</v>
      </c>
      <c r="I578" s="118">
        <v>2.4</v>
      </c>
      <c r="J578" s="118">
        <v>0.7</v>
      </c>
      <c r="K578" s="119" t="s">
        <v>26</v>
      </c>
      <c r="L578" s="119" t="s">
        <v>26</v>
      </c>
      <c r="M578" s="118">
        <v>0.7</v>
      </c>
      <c r="N578" s="119" t="s">
        <v>26</v>
      </c>
      <c r="O578" s="118">
        <v>2.9</v>
      </c>
      <c r="P578" s="118">
        <v>1.4</v>
      </c>
      <c r="Q578" s="118">
        <v>2.5</v>
      </c>
      <c r="R578" s="118">
        <v>2.1</v>
      </c>
      <c r="S578" s="127">
        <v>1.4</v>
      </c>
      <c r="T578" s="121" t="s">
        <v>26</v>
      </c>
      <c r="U578" s="89">
        <v>473</v>
      </c>
      <c r="V578" s="126" t="s">
        <v>26</v>
      </c>
      <c r="AC578" s="33"/>
      <c r="AD578" s="33"/>
      <c r="AE578" s="33"/>
    </row>
    <row r="579" spans="1:31">
      <c r="A579" s="26" t="s">
        <v>605</v>
      </c>
      <c r="B579" s="8" t="s">
        <v>623</v>
      </c>
      <c r="C579" s="8" t="s">
        <v>22</v>
      </c>
      <c r="D579" s="3" t="s">
        <v>142</v>
      </c>
      <c r="E579" s="23" t="s">
        <v>29</v>
      </c>
      <c r="F579" s="16" t="s">
        <v>625</v>
      </c>
      <c r="G579" s="118">
        <v>49</v>
      </c>
      <c r="H579" s="118">
        <v>7.8</v>
      </c>
      <c r="I579" s="118">
        <v>12.5</v>
      </c>
      <c r="J579" s="118">
        <v>7.5</v>
      </c>
      <c r="K579" s="119" t="s">
        <v>26</v>
      </c>
      <c r="L579" s="119" t="s">
        <v>26</v>
      </c>
      <c r="M579" s="118">
        <v>0.8</v>
      </c>
      <c r="N579" s="119" t="s">
        <v>26</v>
      </c>
      <c r="O579" s="118">
        <v>3.1</v>
      </c>
      <c r="P579" s="118">
        <v>2.1</v>
      </c>
      <c r="Q579" s="118">
        <v>2.4</v>
      </c>
      <c r="R579" s="118">
        <v>1.4</v>
      </c>
      <c r="S579" s="127">
        <v>2.5</v>
      </c>
      <c r="T579" s="121" t="s">
        <v>26</v>
      </c>
      <c r="U579" s="89">
        <v>1700</v>
      </c>
      <c r="V579" s="126" t="s">
        <v>26</v>
      </c>
      <c r="AC579" s="33"/>
      <c r="AD579" s="33"/>
      <c r="AE579" s="33"/>
    </row>
    <row r="580" spans="1:31">
      <c r="A580" s="26" t="s">
        <v>605</v>
      </c>
      <c r="B580" s="8" t="s">
        <v>623</v>
      </c>
      <c r="C580" s="8" t="s">
        <v>22</v>
      </c>
      <c r="D580" s="3" t="s">
        <v>142</v>
      </c>
      <c r="E580" s="23" t="s">
        <v>31</v>
      </c>
      <c r="F580" s="16" t="s">
        <v>626</v>
      </c>
      <c r="G580" s="118">
        <v>18</v>
      </c>
      <c r="H580" s="119" t="s">
        <v>26</v>
      </c>
      <c r="I580" s="118">
        <v>4.9000000000000004</v>
      </c>
      <c r="J580" s="118">
        <v>28.5</v>
      </c>
      <c r="K580" s="119" t="s">
        <v>26</v>
      </c>
      <c r="L580" s="119" t="s">
        <v>26</v>
      </c>
      <c r="M580" s="119" t="s">
        <v>26</v>
      </c>
      <c r="N580" s="119" t="s">
        <v>26</v>
      </c>
      <c r="O580" s="118">
        <v>2.5</v>
      </c>
      <c r="P580" s="118">
        <v>1.5</v>
      </c>
      <c r="Q580" s="119" t="s">
        <v>26</v>
      </c>
      <c r="R580" s="119" t="s">
        <v>26</v>
      </c>
      <c r="S580" s="127">
        <v>2.9</v>
      </c>
      <c r="T580" s="121" t="s">
        <v>26</v>
      </c>
      <c r="U580" s="89">
        <v>1320</v>
      </c>
      <c r="V580" s="126" t="s">
        <v>26</v>
      </c>
      <c r="AC580" s="33"/>
      <c r="AD580" s="33"/>
      <c r="AE580" s="33"/>
    </row>
    <row r="581" spans="1:31">
      <c r="A581" s="26" t="s">
        <v>605</v>
      </c>
      <c r="B581" s="8" t="s">
        <v>349</v>
      </c>
      <c r="C581" s="8" t="s">
        <v>22</v>
      </c>
      <c r="D581" s="8" t="s">
        <v>109</v>
      </c>
      <c r="E581" s="23" t="s">
        <v>24</v>
      </c>
      <c r="F581" s="16" t="s">
        <v>627</v>
      </c>
      <c r="G581" s="118">
        <v>228</v>
      </c>
      <c r="H581" s="118">
        <v>14.5</v>
      </c>
      <c r="I581" s="119" t="s">
        <v>26</v>
      </c>
      <c r="J581" s="119" t="s">
        <v>26</v>
      </c>
      <c r="K581" s="119" t="s">
        <v>26</v>
      </c>
      <c r="L581" s="119" t="s">
        <v>26</v>
      </c>
      <c r="M581" s="118">
        <v>0.6</v>
      </c>
      <c r="N581" s="119" t="s">
        <v>26</v>
      </c>
      <c r="O581" s="118">
        <v>0.5</v>
      </c>
      <c r="P581" s="119" t="s">
        <v>26</v>
      </c>
      <c r="Q581" s="118">
        <v>4.2</v>
      </c>
      <c r="R581" s="118">
        <v>1.4</v>
      </c>
      <c r="S581" s="127">
        <v>0.7</v>
      </c>
      <c r="T581" s="121" t="s">
        <v>26</v>
      </c>
      <c r="U581" s="130">
        <v>648</v>
      </c>
      <c r="V581" s="126" t="s">
        <v>26</v>
      </c>
      <c r="AC581" s="33"/>
      <c r="AD581" s="33"/>
      <c r="AE581" s="33"/>
    </row>
    <row r="582" spans="1:31">
      <c r="A582" s="26" t="s">
        <v>605</v>
      </c>
      <c r="B582" s="8" t="s">
        <v>349</v>
      </c>
      <c r="C582" s="8" t="s">
        <v>22</v>
      </c>
      <c r="D582" s="8" t="s">
        <v>109</v>
      </c>
      <c r="E582" s="23" t="s">
        <v>27</v>
      </c>
      <c r="F582" s="16" t="s">
        <v>628</v>
      </c>
      <c r="G582" s="118">
        <v>106</v>
      </c>
      <c r="H582" s="118">
        <v>34.200000000000003</v>
      </c>
      <c r="I582" s="118">
        <v>1.5</v>
      </c>
      <c r="J582" s="118">
        <v>0.8</v>
      </c>
      <c r="K582" s="118">
        <v>0.8</v>
      </c>
      <c r="L582" s="119" t="s">
        <v>26</v>
      </c>
      <c r="M582" s="118">
        <v>0.5</v>
      </c>
      <c r="N582" s="119" t="s">
        <v>26</v>
      </c>
      <c r="O582" s="118">
        <v>2.8</v>
      </c>
      <c r="P582" s="118">
        <v>0.9</v>
      </c>
      <c r="Q582" s="118">
        <v>3.5</v>
      </c>
      <c r="R582" s="119" t="s">
        <v>26</v>
      </c>
      <c r="S582" s="127">
        <v>2.9</v>
      </c>
      <c r="T582" s="121" t="s">
        <v>26</v>
      </c>
      <c r="U582" s="130">
        <v>200</v>
      </c>
      <c r="V582" s="126" t="s">
        <v>26</v>
      </c>
      <c r="AC582" s="33"/>
      <c r="AD582" s="33"/>
      <c r="AE582" s="33"/>
    </row>
    <row r="583" spans="1:31">
      <c r="A583" s="26" t="s">
        <v>605</v>
      </c>
      <c r="B583" s="8" t="s">
        <v>349</v>
      </c>
      <c r="C583" s="8" t="s">
        <v>22</v>
      </c>
      <c r="D583" s="8" t="s">
        <v>109</v>
      </c>
      <c r="E583" s="23" t="s">
        <v>29</v>
      </c>
      <c r="F583" s="16" t="s">
        <v>629</v>
      </c>
      <c r="G583" s="118">
        <v>33</v>
      </c>
      <c r="H583" s="118">
        <v>38.5</v>
      </c>
      <c r="I583" s="118">
        <v>6.5</v>
      </c>
      <c r="J583" s="118">
        <v>8.1999999999999993</v>
      </c>
      <c r="K583" s="119" t="s">
        <v>26</v>
      </c>
      <c r="L583" s="119" t="s">
        <v>26</v>
      </c>
      <c r="M583" s="118">
        <v>0.9</v>
      </c>
      <c r="N583" s="119" t="s">
        <v>26</v>
      </c>
      <c r="O583" s="118">
        <v>3.8</v>
      </c>
      <c r="P583" s="118">
        <v>1.5</v>
      </c>
      <c r="Q583" s="118">
        <v>1.4</v>
      </c>
      <c r="R583" s="118">
        <v>1.5</v>
      </c>
      <c r="S583" s="127">
        <v>3.5</v>
      </c>
      <c r="T583" s="121" t="s">
        <v>26</v>
      </c>
      <c r="U583" s="130">
        <v>3310</v>
      </c>
      <c r="V583" s="126" t="s">
        <v>26</v>
      </c>
      <c r="AC583" s="33"/>
      <c r="AD583" s="33"/>
      <c r="AE583" s="33"/>
    </row>
    <row r="584" spans="1:31">
      <c r="A584" s="26" t="s">
        <v>605</v>
      </c>
      <c r="B584" s="8" t="s">
        <v>349</v>
      </c>
      <c r="C584" s="8" t="s">
        <v>22</v>
      </c>
      <c r="D584" s="8" t="s">
        <v>109</v>
      </c>
      <c r="E584" s="23" t="s">
        <v>31</v>
      </c>
      <c r="F584" s="16" t="s">
        <v>630</v>
      </c>
      <c r="G584" s="118">
        <v>15</v>
      </c>
      <c r="H584" s="119" t="s">
        <v>26</v>
      </c>
      <c r="I584" s="118">
        <v>2</v>
      </c>
      <c r="J584" s="118">
        <v>27.5</v>
      </c>
      <c r="K584" s="119" t="s">
        <v>26</v>
      </c>
      <c r="L584" s="119" t="s">
        <v>26</v>
      </c>
      <c r="M584" s="119" t="s">
        <v>26</v>
      </c>
      <c r="N584" s="119" t="s">
        <v>26</v>
      </c>
      <c r="O584" s="118">
        <v>2.6</v>
      </c>
      <c r="P584" s="118">
        <v>2.1</v>
      </c>
      <c r="Q584" s="119" t="s">
        <v>26</v>
      </c>
      <c r="R584" s="119" t="s">
        <v>26</v>
      </c>
      <c r="S584" s="127">
        <v>4.0999999999999996</v>
      </c>
      <c r="T584" s="121" t="s">
        <v>26</v>
      </c>
      <c r="U584" s="130">
        <v>1177</v>
      </c>
      <c r="V584" s="126" t="s">
        <v>26</v>
      </c>
      <c r="AC584" s="33"/>
      <c r="AD584" s="33"/>
      <c r="AE584" s="33"/>
    </row>
    <row r="585" spans="1:31">
      <c r="A585" s="26" t="s">
        <v>631</v>
      </c>
      <c r="B585" s="8" t="s">
        <v>39</v>
      </c>
      <c r="C585" s="8" t="s">
        <v>22</v>
      </c>
      <c r="D585" s="3" t="s">
        <v>23</v>
      </c>
      <c r="E585" s="23" t="s">
        <v>24</v>
      </c>
      <c r="F585" s="16" t="s">
        <v>632</v>
      </c>
      <c r="G585" s="118">
        <v>195</v>
      </c>
      <c r="H585" s="118">
        <v>24.7</v>
      </c>
      <c r="I585" s="119" t="s">
        <v>26</v>
      </c>
      <c r="J585" s="119" t="s">
        <v>26</v>
      </c>
      <c r="K585" s="119" t="s">
        <v>26</v>
      </c>
      <c r="L585" s="119" t="s">
        <v>26</v>
      </c>
      <c r="M585" s="119" t="s">
        <v>26</v>
      </c>
      <c r="N585" s="119" t="s">
        <v>26</v>
      </c>
      <c r="O585" s="118">
        <v>6.2</v>
      </c>
      <c r="P585" s="118">
        <v>0.4</v>
      </c>
      <c r="Q585" s="118">
        <v>3.2</v>
      </c>
      <c r="R585" s="118">
        <v>1.1000000000000001</v>
      </c>
      <c r="S585" s="127">
        <v>1.9</v>
      </c>
      <c r="T585" s="121" t="s">
        <v>26</v>
      </c>
      <c r="U585" s="123" t="s">
        <v>26</v>
      </c>
      <c r="V585" s="89">
        <v>560</v>
      </c>
      <c r="AC585" s="33"/>
      <c r="AD585" s="33"/>
      <c r="AE585" s="33"/>
    </row>
    <row r="586" spans="1:31">
      <c r="A586" s="26" t="s">
        <v>631</v>
      </c>
      <c r="B586" s="8" t="s">
        <v>39</v>
      </c>
      <c r="C586" s="8" t="s">
        <v>22</v>
      </c>
      <c r="D586" s="3" t="s">
        <v>23</v>
      </c>
      <c r="E586" s="23" t="s">
        <v>27</v>
      </c>
      <c r="F586" s="16" t="s">
        <v>633</v>
      </c>
      <c r="G586" s="118">
        <v>115</v>
      </c>
      <c r="H586" s="118">
        <v>12.7</v>
      </c>
      <c r="I586" s="118">
        <v>7.7</v>
      </c>
      <c r="J586" s="118">
        <v>3.1</v>
      </c>
      <c r="K586" s="119" t="s">
        <v>26</v>
      </c>
      <c r="L586" s="119" t="s">
        <v>26</v>
      </c>
      <c r="M586" s="119" t="s">
        <v>26</v>
      </c>
      <c r="N586" s="119" t="s">
        <v>26</v>
      </c>
      <c r="O586" s="118">
        <v>4.2</v>
      </c>
      <c r="P586" s="118">
        <v>1</v>
      </c>
      <c r="Q586" s="118">
        <v>3.5</v>
      </c>
      <c r="R586" s="118">
        <v>1.7</v>
      </c>
      <c r="S586" s="120" t="s">
        <v>26</v>
      </c>
      <c r="T586" s="121" t="s">
        <v>26</v>
      </c>
      <c r="U586" s="89">
        <v>641</v>
      </c>
      <c r="V586" s="89">
        <v>210</v>
      </c>
      <c r="AC586" s="33"/>
      <c r="AD586" s="33"/>
      <c r="AE586" s="33"/>
    </row>
    <row r="587" spans="1:31">
      <c r="A587" s="26" t="s">
        <v>631</v>
      </c>
      <c r="B587" s="8" t="s">
        <v>39</v>
      </c>
      <c r="C587" s="8" t="s">
        <v>22</v>
      </c>
      <c r="D587" s="3" t="s">
        <v>23</v>
      </c>
      <c r="E587" s="23" t="s">
        <v>29</v>
      </c>
      <c r="F587" s="16" t="s">
        <v>634</v>
      </c>
      <c r="G587" s="118">
        <v>44</v>
      </c>
      <c r="H587" s="118">
        <v>8.6999999999999993</v>
      </c>
      <c r="I587" s="118">
        <v>16.399999999999999</v>
      </c>
      <c r="J587" s="118">
        <v>4</v>
      </c>
      <c r="K587" s="119" t="s">
        <v>26</v>
      </c>
      <c r="L587" s="119" t="s">
        <v>26</v>
      </c>
      <c r="M587" s="119" t="s">
        <v>26</v>
      </c>
      <c r="N587" s="119" t="s">
        <v>26</v>
      </c>
      <c r="O587" s="118">
        <v>5.7</v>
      </c>
      <c r="P587" s="118">
        <v>1.9</v>
      </c>
      <c r="Q587" s="119" t="s">
        <v>26</v>
      </c>
      <c r="R587" s="118">
        <v>1.6</v>
      </c>
      <c r="S587" s="127">
        <v>3.5</v>
      </c>
      <c r="T587" s="121" t="s">
        <v>26</v>
      </c>
      <c r="U587" s="89">
        <v>1147</v>
      </c>
      <c r="V587" s="89">
        <v>822</v>
      </c>
      <c r="AC587" s="33"/>
      <c r="AD587" s="33"/>
      <c r="AE587" s="33"/>
    </row>
    <row r="588" spans="1:31">
      <c r="A588" s="26" t="s">
        <v>631</v>
      </c>
      <c r="B588" s="8" t="s">
        <v>39</v>
      </c>
      <c r="C588" s="8" t="s">
        <v>22</v>
      </c>
      <c r="D588" s="3" t="s">
        <v>23</v>
      </c>
      <c r="E588" s="23" t="s">
        <v>31</v>
      </c>
      <c r="F588" s="16" t="s">
        <v>635</v>
      </c>
      <c r="G588" s="118">
        <v>16</v>
      </c>
      <c r="H588" s="119" t="s">
        <v>26</v>
      </c>
      <c r="I588" s="118">
        <v>7.2</v>
      </c>
      <c r="J588" s="118">
        <v>5.4</v>
      </c>
      <c r="K588" s="119" t="s">
        <v>26</v>
      </c>
      <c r="L588" s="119" t="s">
        <v>26</v>
      </c>
      <c r="M588" s="119" t="s">
        <v>26</v>
      </c>
      <c r="N588" s="119" t="s">
        <v>26</v>
      </c>
      <c r="O588" s="118">
        <v>3.4</v>
      </c>
      <c r="P588" s="118">
        <v>1.6</v>
      </c>
      <c r="Q588" s="119" t="s">
        <v>26</v>
      </c>
      <c r="R588" s="118">
        <v>1.1000000000000001</v>
      </c>
      <c r="S588" s="127">
        <v>2.7</v>
      </c>
      <c r="T588" s="121" t="s">
        <v>26</v>
      </c>
      <c r="U588" s="89">
        <v>681</v>
      </c>
      <c r="V588" s="89">
        <v>71</v>
      </c>
      <c r="AC588" s="33"/>
      <c r="AD588" s="33"/>
      <c r="AE588" s="33"/>
    </row>
    <row r="589" spans="1:31">
      <c r="A589" s="26" t="s">
        <v>631</v>
      </c>
      <c r="B589" s="8" t="s">
        <v>580</v>
      </c>
      <c r="C589" s="8" t="s">
        <v>22</v>
      </c>
      <c r="D589" s="3" t="s">
        <v>23</v>
      </c>
      <c r="E589" s="23" t="s">
        <v>24</v>
      </c>
      <c r="F589" s="16" t="s">
        <v>636</v>
      </c>
      <c r="G589" s="118">
        <v>205</v>
      </c>
      <c r="H589" s="118">
        <v>20.5</v>
      </c>
      <c r="I589" s="119" t="s">
        <v>26</v>
      </c>
      <c r="J589" s="119" t="s">
        <v>26</v>
      </c>
      <c r="K589" s="119" t="s">
        <v>26</v>
      </c>
      <c r="L589" s="119" t="s">
        <v>26</v>
      </c>
      <c r="M589" s="119" t="s">
        <v>26</v>
      </c>
      <c r="N589" s="119" t="s">
        <v>26</v>
      </c>
      <c r="O589" s="118">
        <v>5.7</v>
      </c>
      <c r="P589" s="118">
        <v>1.8</v>
      </c>
      <c r="Q589" s="119" t="s">
        <v>26</v>
      </c>
      <c r="R589" s="119" t="s">
        <v>26</v>
      </c>
      <c r="S589" s="127">
        <v>2.6</v>
      </c>
      <c r="T589" s="121" t="s">
        <v>26</v>
      </c>
      <c r="U589" s="89">
        <v>889</v>
      </c>
      <c r="V589" s="126" t="s">
        <v>26</v>
      </c>
      <c r="AC589" s="33"/>
      <c r="AD589" s="33"/>
      <c r="AE589" s="33"/>
    </row>
    <row r="590" spans="1:31">
      <c r="A590" s="26" t="s">
        <v>631</v>
      </c>
      <c r="B590" s="8" t="s">
        <v>580</v>
      </c>
      <c r="C590" s="8" t="s">
        <v>22</v>
      </c>
      <c r="D590" s="3" t="s">
        <v>23</v>
      </c>
      <c r="E590" s="23" t="s">
        <v>27</v>
      </c>
      <c r="F590" s="16" t="s">
        <v>637</v>
      </c>
      <c r="G590" s="118">
        <v>118</v>
      </c>
      <c r="H590" s="118">
        <v>13.5</v>
      </c>
      <c r="I590" s="118">
        <v>6.5</v>
      </c>
      <c r="J590" s="118">
        <v>0.6</v>
      </c>
      <c r="K590" s="119" t="s">
        <v>26</v>
      </c>
      <c r="L590" s="119" t="s">
        <v>26</v>
      </c>
      <c r="M590" s="119" t="s">
        <v>26</v>
      </c>
      <c r="N590" s="119" t="s">
        <v>26</v>
      </c>
      <c r="O590" s="118">
        <v>5.4</v>
      </c>
      <c r="P590" s="118">
        <v>1.3</v>
      </c>
      <c r="Q590" s="119" t="s">
        <v>26</v>
      </c>
      <c r="R590" s="119" t="s">
        <v>26</v>
      </c>
      <c r="S590" s="120" t="s">
        <v>26</v>
      </c>
      <c r="T590" s="121" t="s">
        <v>26</v>
      </c>
      <c r="U590" s="89">
        <v>81</v>
      </c>
      <c r="V590" s="126" t="s">
        <v>26</v>
      </c>
      <c r="AC590" s="33"/>
      <c r="AD590" s="33"/>
      <c r="AE590" s="33"/>
    </row>
    <row r="591" spans="1:31">
      <c r="A591" s="26" t="s">
        <v>631</v>
      </c>
      <c r="B591" s="8" t="s">
        <v>580</v>
      </c>
      <c r="C591" s="8" t="s">
        <v>22</v>
      </c>
      <c r="D591" s="3" t="s">
        <v>23</v>
      </c>
      <c r="E591" s="23" t="s">
        <v>29</v>
      </c>
      <c r="F591" s="16" t="s">
        <v>495</v>
      </c>
      <c r="G591" s="118">
        <v>45</v>
      </c>
      <c r="H591" s="118">
        <v>9.6</v>
      </c>
      <c r="I591" s="118">
        <v>17.899999999999999</v>
      </c>
      <c r="J591" s="118">
        <v>5.0999999999999996</v>
      </c>
      <c r="K591" s="119" t="s">
        <v>26</v>
      </c>
      <c r="L591" s="119" t="s">
        <v>26</v>
      </c>
      <c r="M591" s="119" t="s">
        <v>26</v>
      </c>
      <c r="N591" s="119" t="s">
        <v>26</v>
      </c>
      <c r="O591" s="118">
        <v>6.4</v>
      </c>
      <c r="P591" s="118">
        <v>1.7</v>
      </c>
      <c r="Q591" s="119" t="s">
        <v>26</v>
      </c>
      <c r="R591" s="118">
        <v>1.8</v>
      </c>
      <c r="S591" s="127">
        <v>2.7</v>
      </c>
      <c r="T591" s="121" t="s">
        <v>26</v>
      </c>
      <c r="U591" s="89">
        <v>2294</v>
      </c>
      <c r="V591" s="126" t="s">
        <v>26</v>
      </c>
      <c r="AC591" s="33"/>
      <c r="AD591" s="33"/>
      <c r="AE591" s="33"/>
    </row>
    <row r="592" spans="1:31">
      <c r="A592" s="26" t="s">
        <v>631</v>
      </c>
      <c r="B592" s="8" t="s">
        <v>580</v>
      </c>
      <c r="C592" s="8" t="s">
        <v>22</v>
      </c>
      <c r="D592" s="3" t="s">
        <v>23</v>
      </c>
      <c r="E592" s="23" t="s">
        <v>31</v>
      </c>
      <c r="F592" s="16" t="s">
        <v>638</v>
      </c>
      <c r="G592" s="118">
        <v>15</v>
      </c>
      <c r="H592" s="119" t="s">
        <v>26</v>
      </c>
      <c r="I592" s="118">
        <v>6.4</v>
      </c>
      <c r="J592" s="118">
        <v>7.2</v>
      </c>
      <c r="K592" s="119" t="s">
        <v>26</v>
      </c>
      <c r="L592" s="119" t="s">
        <v>26</v>
      </c>
      <c r="M592" s="119" t="s">
        <v>26</v>
      </c>
      <c r="N592" s="119" t="s">
        <v>26</v>
      </c>
      <c r="O592" s="118">
        <v>5.7</v>
      </c>
      <c r="P592" s="118">
        <v>1.8</v>
      </c>
      <c r="Q592" s="119" t="s">
        <v>26</v>
      </c>
      <c r="R592" s="118">
        <v>1.7</v>
      </c>
      <c r="S592" s="127">
        <v>3.4</v>
      </c>
      <c r="T592" s="121" t="s">
        <v>26</v>
      </c>
      <c r="U592" s="89">
        <v>1282</v>
      </c>
      <c r="V592" s="126" t="s">
        <v>26</v>
      </c>
      <c r="AC592" s="33"/>
      <c r="AD592" s="33"/>
      <c r="AE592" s="33"/>
    </row>
    <row r="593" spans="1:31">
      <c r="A593" s="26" t="s">
        <v>631</v>
      </c>
      <c r="B593" s="8" t="s">
        <v>535</v>
      </c>
      <c r="C593" s="8" t="s">
        <v>22</v>
      </c>
      <c r="D593" s="8" t="s">
        <v>109</v>
      </c>
      <c r="E593" s="23" t="s">
        <v>24</v>
      </c>
      <c r="F593" s="8">
        <v>2511</v>
      </c>
      <c r="G593" s="118">
        <v>220</v>
      </c>
      <c r="H593" s="118">
        <v>16.399999999999999</v>
      </c>
      <c r="I593" s="119" t="s">
        <v>26</v>
      </c>
      <c r="J593" s="119" t="s">
        <v>26</v>
      </c>
      <c r="K593" s="119" t="s">
        <v>26</v>
      </c>
      <c r="L593" s="119" t="s">
        <v>26</v>
      </c>
      <c r="M593" s="119" t="s">
        <v>26</v>
      </c>
      <c r="N593" s="119" t="s">
        <v>26</v>
      </c>
      <c r="O593" s="118">
        <v>4.2</v>
      </c>
      <c r="P593" s="118">
        <v>1.6</v>
      </c>
      <c r="Q593" s="118">
        <v>5.2</v>
      </c>
      <c r="R593" s="118">
        <v>1.4</v>
      </c>
      <c r="S593" s="120" t="s">
        <v>26</v>
      </c>
      <c r="T593" s="121" t="s">
        <v>26</v>
      </c>
      <c r="U593" s="130">
        <v>456</v>
      </c>
      <c r="V593" s="126" t="s">
        <v>26</v>
      </c>
      <c r="AC593" s="33"/>
      <c r="AD593" s="33"/>
      <c r="AE593" s="33"/>
    </row>
    <row r="594" spans="1:31">
      <c r="A594" s="26" t="s">
        <v>631</v>
      </c>
      <c r="B594" s="8" t="s">
        <v>535</v>
      </c>
      <c r="C594" s="8" t="s">
        <v>22</v>
      </c>
      <c r="D594" s="8" t="s">
        <v>109</v>
      </c>
      <c r="E594" s="23" t="s">
        <v>27</v>
      </c>
      <c r="F594" s="8">
        <v>479</v>
      </c>
      <c r="G594" s="118">
        <v>120</v>
      </c>
      <c r="H594" s="118">
        <v>25.4</v>
      </c>
      <c r="I594" s="118">
        <v>5.0999999999999996</v>
      </c>
      <c r="J594" s="118">
        <v>0.5</v>
      </c>
      <c r="K594" s="119" t="s">
        <v>26</v>
      </c>
      <c r="L594" s="119" t="s">
        <v>26</v>
      </c>
      <c r="M594" s="119" t="s">
        <v>26</v>
      </c>
      <c r="N594" s="119" t="s">
        <v>26</v>
      </c>
      <c r="O594" s="118">
        <v>6.2</v>
      </c>
      <c r="P594" s="118">
        <v>1.9</v>
      </c>
      <c r="Q594" s="119" t="s">
        <v>26</v>
      </c>
      <c r="R594" s="118">
        <v>1.6</v>
      </c>
      <c r="S594" s="127">
        <v>1.7</v>
      </c>
      <c r="T594" s="121" t="s">
        <v>26</v>
      </c>
      <c r="U594" s="123" t="s">
        <v>26</v>
      </c>
      <c r="V594" s="126" t="s">
        <v>26</v>
      </c>
      <c r="AC594" s="33"/>
      <c r="AD594" s="33"/>
      <c r="AE594" s="33"/>
    </row>
    <row r="595" spans="1:31">
      <c r="A595" s="26" t="s">
        <v>631</v>
      </c>
      <c r="B595" s="8" t="s">
        <v>535</v>
      </c>
      <c r="C595" s="8" t="s">
        <v>22</v>
      </c>
      <c r="D595" s="8" t="s">
        <v>109</v>
      </c>
      <c r="E595" s="23" t="s">
        <v>29</v>
      </c>
      <c r="F595" s="16" t="s">
        <v>639</v>
      </c>
      <c r="G595" s="118">
        <v>42</v>
      </c>
      <c r="H595" s="118">
        <v>15.8</v>
      </c>
      <c r="I595" s="118">
        <v>20.399999999999999</v>
      </c>
      <c r="J595" s="118">
        <v>6.1</v>
      </c>
      <c r="K595" s="119" t="s">
        <v>26</v>
      </c>
      <c r="L595" s="119" t="s">
        <v>26</v>
      </c>
      <c r="M595" s="119" t="s">
        <v>26</v>
      </c>
      <c r="N595" s="119" t="s">
        <v>26</v>
      </c>
      <c r="O595" s="118">
        <v>5.6</v>
      </c>
      <c r="P595" s="118">
        <v>2.1</v>
      </c>
      <c r="Q595" s="119" t="s">
        <v>26</v>
      </c>
      <c r="R595" s="118">
        <v>1.3</v>
      </c>
      <c r="S595" s="127">
        <v>3.4</v>
      </c>
      <c r="T595" s="121" t="s">
        <v>26</v>
      </c>
      <c r="U595" s="130">
        <v>3369</v>
      </c>
      <c r="V595" s="126" t="s">
        <v>26</v>
      </c>
      <c r="AC595" s="33"/>
      <c r="AD595" s="33"/>
      <c r="AE595" s="33"/>
    </row>
    <row r="596" spans="1:31">
      <c r="A596" s="26" t="s">
        <v>631</v>
      </c>
      <c r="B596" s="8" t="s">
        <v>535</v>
      </c>
      <c r="C596" s="8" t="s">
        <v>22</v>
      </c>
      <c r="D596" s="8" t="s">
        <v>109</v>
      </c>
      <c r="E596" s="23" t="s">
        <v>31</v>
      </c>
      <c r="F596" s="16" t="s">
        <v>640</v>
      </c>
      <c r="G596" s="118">
        <v>8</v>
      </c>
      <c r="H596" s="118">
        <v>12.4</v>
      </c>
      <c r="I596" s="119" t="s">
        <v>26</v>
      </c>
      <c r="J596" s="118">
        <v>12.6</v>
      </c>
      <c r="K596" s="119" t="s">
        <v>26</v>
      </c>
      <c r="L596" s="119" t="s">
        <v>26</v>
      </c>
      <c r="M596" s="119" t="s">
        <v>26</v>
      </c>
      <c r="N596" s="119" t="s">
        <v>26</v>
      </c>
      <c r="O596" s="118">
        <v>5.0999999999999996</v>
      </c>
      <c r="P596" s="118">
        <v>1.1000000000000001</v>
      </c>
      <c r="Q596" s="119" t="s">
        <v>26</v>
      </c>
      <c r="R596" s="119" t="s">
        <v>26</v>
      </c>
      <c r="S596" s="127">
        <v>4.2</v>
      </c>
      <c r="T596" s="121" t="s">
        <v>26</v>
      </c>
      <c r="U596" s="130">
        <v>1035</v>
      </c>
      <c r="V596" s="126" t="s">
        <v>26</v>
      </c>
      <c r="AC596" s="33"/>
      <c r="AD596" s="33"/>
      <c r="AE596" s="33"/>
    </row>
    <row r="597" spans="1:31">
      <c r="A597" s="26" t="s">
        <v>631</v>
      </c>
      <c r="B597" s="8" t="s">
        <v>68</v>
      </c>
      <c r="C597" s="8" t="s">
        <v>22</v>
      </c>
      <c r="D597" s="3" t="s">
        <v>33</v>
      </c>
      <c r="E597" s="23" t="s">
        <v>24</v>
      </c>
      <c r="F597" s="16" t="s">
        <v>641</v>
      </c>
      <c r="G597" s="118">
        <v>225</v>
      </c>
      <c r="H597" s="118">
        <v>13.7</v>
      </c>
      <c r="I597" s="119" t="s">
        <v>26</v>
      </c>
      <c r="J597" s="119" t="s">
        <v>26</v>
      </c>
      <c r="K597" s="119" t="s">
        <v>26</v>
      </c>
      <c r="L597" s="119" t="s">
        <v>26</v>
      </c>
      <c r="M597" s="119" t="s">
        <v>26</v>
      </c>
      <c r="N597" s="119" t="s">
        <v>26</v>
      </c>
      <c r="O597" s="118">
        <v>3.5</v>
      </c>
      <c r="P597" s="118">
        <v>0.8</v>
      </c>
      <c r="Q597" s="119" t="s">
        <v>26</v>
      </c>
      <c r="R597" s="119" t="s">
        <v>26</v>
      </c>
      <c r="S597" s="127">
        <v>2.1</v>
      </c>
      <c r="T597" s="121" t="s">
        <v>26</v>
      </c>
      <c r="U597" s="123" t="s">
        <v>26</v>
      </c>
      <c r="V597" s="126" t="s">
        <v>26</v>
      </c>
      <c r="AC597" s="33"/>
      <c r="AD597" s="33"/>
      <c r="AE597" s="33"/>
    </row>
    <row r="598" spans="1:31">
      <c r="A598" s="26" t="s">
        <v>631</v>
      </c>
      <c r="B598" s="8" t="s">
        <v>68</v>
      </c>
      <c r="C598" s="8" t="s">
        <v>22</v>
      </c>
      <c r="D598" s="3" t="s">
        <v>33</v>
      </c>
      <c r="E598" s="23" t="s">
        <v>27</v>
      </c>
      <c r="F598" s="16" t="s">
        <v>642</v>
      </c>
      <c r="G598" s="118">
        <v>110</v>
      </c>
      <c r="H598" s="118">
        <v>28</v>
      </c>
      <c r="I598" s="118">
        <v>5.2</v>
      </c>
      <c r="J598" s="118">
        <v>0.5</v>
      </c>
      <c r="K598" s="119" t="s">
        <v>26</v>
      </c>
      <c r="L598" s="119" t="s">
        <v>26</v>
      </c>
      <c r="M598" s="119" t="s">
        <v>26</v>
      </c>
      <c r="N598" s="119" t="s">
        <v>26</v>
      </c>
      <c r="O598" s="118">
        <v>5.7</v>
      </c>
      <c r="P598" s="118">
        <v>1.3</v>
      </c>
      <c r="Q598" s="119" t="s">
        <v>26</v>
      </c>
      <c r="R598" s="118">
        <v>0.4</v>
      </c>
      <c r="S598" s="127">
        <v>2.1</v>
      </c>
      <c r="T598" s="128">
        <v>2</v>
      </c>
      <c r="U598" s="130">
        <v>578</v>
      </c>
      <c r="V598" s="126" t="s">
        <v>26</v>
      </c>
      <c r="AC598" s="33"/>
      <c r="AD598" s="33"/>
      <c r="AE598" s="33"/>
    </row>
    <row r="599" spans="1:31">
      <c r="A599" s="26" t="s">
        <v>631</v>
      </c>
      <c r="B599" s="8" t="s">
        <v>68</v>
      </c>
      <c r="C599" s="8" t="s">
        <v>22</v>
      </c>
      <c r="D599" s="3" t="s">
        <v>33</v>
      </c>
      <c r="E599" s="23" t="s">
        <v>29</v>
      </c>
      <c r="F599" s="16" t="s">
        <v>643</v>
      </c>
      <c r="G599" s="118">
        <v>45</v>
      </c>
      <c r="H599" s="118">
        <v>9.6</v>
      </c>
      <c r="I599" s="118">
        <v>29.6</v>
      </c>
      <c r="J599" s="118">
        <v>1.5</v>
      </c>
      <c r="K599" s="119" t="s">
        <v>26</v>
      </c>
      <c r="L599" s="119" t="s">
        <v>26</v>
      </c>
      <c r="M599" s="119" t="s">
        <v>26</v>
      </c>
      <c r="N599" s="119" t="s">
        <v>26</v>
      </c>
      <c r="O599" s="118">
        <v>1.6</v>
      </c>
      <c r="P599" s="118">
        <v>1.4</v>
      </c>
      <c r="Q599" s="119" t="s">
        <v>26</v>
      </c>
      <c r="R599" s="119" t="s">
        <v>26</v>
      </c>
      <c r="S599" s="127">
        <v>5.8</v>
      </c>
      <c r="T599" s="121" t="s">
        <v>26</v>
      </c>
      <c r="U599" s="123" t="s">
        <v>26</v>
      </c>
      <c r="V599" s="126" t="s">
        <v>26</v>
      </c>
      <c r="AC599" s="33"/>
      <c r="AD599" s="33"/>
      <c r="AE599" s="33"/>
    </row>
    <row r="600" spans="1:31">
      <c r="A600" s="26" t="s">
        <v>631</v>
      </c>
      <c r="B600" s="8" t="s">
        <v>68</v>
      </c>
      <c r="C600" s="8" t="s">
        <v>22</v>
      </c>
      <c r="D600" s="3" t="s">
        <v>33</v>
      </c>
      <c r="E600" s="23" t="s">
        <v>31</v>
      </c>
      <c r="F600" s="16" t="s">
        <v>644</v>
      </c>
      <c r="G600" s="118">
        <v>15</v>
      </c>
      <c r="H600" s="119" t="s">
        <v>26</v>
      </c>
      <c r="I600" s="118">
        <v>8.4</v>
      </c>
      <c r="J600" s="118">
        <v>4</v>
      </c>
      <c r="K600" s="119" t="s">
        <v>26</v>
      </c>
      <c r="L600" s="119" t="s">
        <v>26</v>
      </c>
      <c r="M600" s="119" t="s">
        <v>26</v>
      </c>
      <c r="N600" s="119" t="s">
        <v>26</v>
      </c>
      <c r="O600" s="118">
        <v>5.8</v>
      </c>
      <c r="P600" s="118">
        <v>1.6</v>
      </c>
      <c r="Q600" s="119" t="s">
        <v>26</v>
      </c>
      <c r="R600" s="119" t="s">
        <v>26</v>
      </c>
      <c r="S600" s="127">
        <v>4.7</v>
      </c>
      <c r="T600" s="121" t="s">
        <v>26</v>
      </c>
      <c r="U600" s="130">
        <v>1096</v>
      </c>
      <c r="V600" s="126" t="s">
        <v>26</v>
      </c>
      <c r="AC600" s="33"/>
      <c r="AD600" s="33"/>
      <c r="AE600" s="33"/>
    </row>
    <row r="601" spans="1:31">
      <c r="A601" s="26" t="s">
        <v>631</v>
      </c>
      <c r="B601" s="8" t="s">
        <v>119</v>
      </c>
      <c r="C601" s="8" t="s">
        <v>22</v>
      </c>
      <c r="D601" s="8" t="s">
        <v>109</v>
      </c>
      <c r="E601" s="23" t="s">
        <v>24</v>
      </c>
      <c r="F601" s="16" t="s">
        <v>84</v>
      </c>
      <c r="G601" s="118">
        <v>221</v>
      </c>
      <c r="H601" s="118">
        <v>26</v>
      </c>
      <c r="I601" s="119" t="s">
        <v>26</v>
      </c>
      <c r="J601" s="119" t="s">
        <v>26</v>
      </c>
      <c r="K601" s="119" t="s">
        <v>26</v>
      </c>
      <c r="L601" s="119" t="s">
        <v>26</v>
      </c>
      <c r="M601" s="119" t="s">
        <v>26</v>
      </c>
      <c r="N601" s="119" t="s">
        <v>26</v>
      </c>
      <c r="O601" s="118">
        <v>3.7</v>
      </c>
      <c r="P601" s="119" t="s">
        <v>26</v>
      </c>
      <c r="Q601" s="118">
        <v>4.0999999999999996</v>
      </c>
      <c r="R601" s="119" t="s">
        <v>26</v>
      </c>
      <c r="S601" s="127">
        <v>1.4</v>
      </c>
      <c r="T601" s="121" t="s">
        <v>26</v>
      </c>
      <c r="U601" s="130">
        <v>578</v>
      </c>
      <c r="V601" s="126" t="s">
        <v>26</v>
      </c>
      <c r="AC601" s="33"/>
      <c r="AD601" s="33"/>
      <c r="AE601" s="33"/>
    </row>
    <row r="602" spans="1:31">
      <c r="A602" s="26" t="s">
        <v>631</v>
      </c>
      <c r="B602" s="8" t="s">
        <v>119</v>
      </c>
      <c r="C602" s="8" t="s">
        <v>22</v>
      </c>
      <c r="D602" s="8" t="s">
        <v>109</v>
      </c>
      <c r="E602" s="23" t="s">
        <v>27</v>
      </c>
      <c r="F602" s="16" t="s">
        <v>645</v>
      </c>
      <c r="G602" s="118">
        <v>97</v>
      </c>
      <c r="H602" s="118">
        <v>40.6</v>
      </c>
      <c r="I602" s="119" t="s">
        <v>26</v>
      </c>
      <c r="J602" s="119" t="s">
        <v>26</v>
      </c>
      <c r="K602" s="119" t="s">
        <v>26</v>
      </c>
      <c r="L602" s="119" t="s">
        <v>26</v>
      </c>
      <c r="M602" s="119" t="s">
        <v>26</v>
      </c>
      <c r="N602" s="119" t="s">
        <v>26</v>
      </c>
      <c r="O602" s="118">
        <v>6.2</v>
      </c>
      <c r="P602" s="119" t="s">
        <v>26</v>
      </c>
      <c r="Q602" s="119" t="s">
        <v>26</v>
      </c>
      <c r="R602" s="119" t="s">
        <v>26</v>
      </c>
      <c r="S602" s="120" t="s">
        <v>26</v>
      </c>
      <c r="T602" s="121" t="s">
        <v>26</v>
      </c>
      <c r="U602" s="130">
        <v>36</v>
      </c>
      <c r="V602" s="126" t="s">
        <v>26</v>
      </c>
      <c r="AC602" s="33"/>
      <c r="AD602" s="33"/>
      <c r="AE602" s="33"/>
    </row>
    <row r="603" spans="1:31">
      <c r="A603" s="26" t="s">
        <v>631</v>
      </c>
      <c r="B603" s="8" t="s">
        <v>119</v>
      </c>
      <c r="C603" s="8" t="s">
        <v>22</v>
      </c>
      <c r="D603" s="8" t="s">
        <v>109</v>
      </c>
      <c r="E603" s="23" t="s">
        <v>29</v>
      </c>
      <c r="F603" s="16" t="s">
        <v>646</v>
      </c>
      <c r="G603" s="118">
        <v>38</v>
      </c>
      <c r="H603" s="118">
        <v>34.200000000000003</v>
      </c>
      <c r="I603" s="119" t="s">
        <v>26</v>
      </c>
      <c r="J603" s="118">
        <v>2.1</v>
      </c>
      <c r="K603" s="119" t="s">
        <v>26</v>
      </c>
      <c r="L603" s="119" t="s">
        <v>26</v>
      </c>
      <c r="M603" s="119" t="s">
        <v>26</v>
      </c>
      <c r="N603" s="119" t="s">
        <v>26</v>
      </c>
      <c r="O603" s="118">
        <v>7.8</v>
      </c>
      <c r="P603" s="119" t="s">
        <v>26</v>
      </c>
      <c r="Q603" s="118">
        <v>3.4</v>
      </c>
      <c r="R603" s="119" t="s">
        <v>26</v>
      </c>
      <c r="S603" s="120" t="s">
        <v>26</v>
      </c>
      <c r="T603" s="121" t="s">
        <v>26</v>
      </c>
      <c r="U603" s="123" t="s">
        <v>26</v>
      </c>
      <c r="V603" s="126" t="s">
        <v>26</v>
      </c>
      <c r="AC603" s="33"/>
      <c r="AD603" s="33"/>
      <c r="AE603" s="33"/>
    </row>
    <row r="604" spans="1:31">
      <c r="A604" s="26" t="s">
        <v>631</v>
      </c>
      <c r="B604" s="8" t="s">
        <v>119</v>
      </c>
      <c r="C604" s="8" t="s">
        <v>22</v>
      </c>
      <c r="D604" s="8" t="s">
        <v>109</v>
      </c>
      <c r="E604" s="23" t="s">
        <v>31</v>
      </c>
      <c r="F604" s="16" t="s">
        <v>647</v>
      </c>
      <c r="G604" s="118">
        <v>15</v>
      </c>
      <c r="H604" s="119" t="s">
        <v>26</v>
      </c>
      <c r="I604" s="119" t="s">
        <v>26</v>
      </c>
      <c r="J604" s="118">
        <v>9.5</v>
      </c>
      <c r="K604" s="119" t="s">
        <v>26</v>
      </c>
      <c r="L604" s="119" t="s">
        <v>26</v>
      </c>
      <c r="M604" s="119" t="s">
        <v>26</v>
      </c>
      <c r="N604" s="119" t="s">
        <v>26</v>
      </c>
      <c r="O604" s="125" t="s">
        <v>26</v>
      </c>
      <c r="P604" s="119" t="s">
        <v>26</v>
      </c>
      <c r="Q604" s="119" t="s">
        <v>26</v>
      </c>
      <c r="R604" s="119" t="s">
        <v>26</v>
      </c>
      <c r="S604" s="120" t="s">
        <v>26</v>
      </c>
      <c r="T604" s="121" t="s">
        <v>26</v>
      </c>
      <c r="U604" s="130">
        <v>2052</v>
      </c>
      <c r="V604" s="126" t="s">
        <v>26</v>
      </c>
      <c r="AC604" s="33"/>
      <c r="AD604" s="33"/>
      <c r="AE604" s="33"/>
    </row>
    <row r="605" spans="1:31">
      <c r="A605" s="26" t="s">
        <v>631</v>
      </c>
      <c r="B605" s="8" t="s">
        <v>119</v>
      </c>
      <c r="C605" s="8" t="s">
        <v>22</v>
      </c>
      <c r="D605" s="3" t="s">
        <v>23</v>
      </c>
      <c r="E605" s="23" t="s">
        <v>24</v>
      </c>
      <c r="F605" s="16" t="s">
        <v>648</v>
      </c>
      <c r="G605" s="118">
        <v>215</v>
      </c>
      <c r="H605" s="118">
        <v>30.5</v>
      </c>
      <c r="I605" s="119" t="s">
        <v>26</v>
      </c>
      <c r="J605" s="119" t="s">
        <v>26</v>
      </c>
      <c r="K605" s="119" t="s">
        <v>26</v>
      </c>
      <c r="L605" s="119" t="s">
        <v>26</v>
      </c>
      <c r="M605" s="118">
        <v>0.5</v>
      </c>
      <c r="N605" s="119" t="s">
        <v>26</v>
      </c>
      <c r="O605" s="118">
        <v>3.2</v>
      </c>
      <c r="P605" s="119" t="s">
        <v>26</v>
      </c>
      <c r="Q605" s="119" t="s">
        <v>26</v>
      </c>
      <c r="R605" s="119" t="s">
        <v>26</v>
      </c>
      <c r="S605" s="120" t="s">
        <v>26</v>
      </c>
      <c r="T605" s="121" t="s">
        <v>26</v>
      </c>
      <c r="U605" s="89">
        <v>332</v>
      </c>
      <c r="V605" s="126" t="s">
        <v>26</v>
      </c>
      <c r="AC605" s="33"/>
      <c r="AD605" s="33"/>
      <c r="AE605" s="33"/>
    </row>
    <row r="606" spans="1:31">
      <c r="A606" s="26" t="s">
        <v>631</v>
      </c>
      <c r="B606" s="8" t="s">
        <v>119</v>
      </c>
      <c r="C606" s="8" t="s">
        <v>22</v>
      </c>
      <c r="D606" s="3" t="s">
        <v>23</v>
      </c>
      <c r="E606" s="23" t="s">
        <v>27</v>
      </c>
      <c r="F606" s="16" t="s">
        <v>62</v>
      </c>
      <c r="G606" s="118">
        <v>109</v>
      </c>
      <c r="H606" s="118">
        <v>31.4</v>
      </c>
      <c r="I606" s="119" t="s">
        <v>26</v>
      </c>
      <c r="J606" s="119" t="s">
        <v>26</v>
      </c>
      <c r="K606" s="119" t="s">
        <v>26</v>
      </c>
      <c r="L606" s="119" t="s">
        <v>26</v>
      </c>
      <c r="M606" s="119" t="s">
        <v>26</v>
      </c>
      <c r="N606" s="119" t="s">
        <v>26</v>
      </c>
      <c r="O606" s="118">
        <v>4.0999999999999996</v>
      </c>
      <c r="P606" s="119" t="s">
        <v>26</v>
      </c>
      <c r="Q606" s="119" t="s">
        <v>26</v>
      </c>
      <c r="R606" s="119" t="s">
        <v>26</v>
      </c>
      <c r="S606" s="120" t="s">
        <v>26</v>
      </c>
      <c r="T606" s="121" t="s">
        <v>26</v>
      </c>
      <c r="U606" s="89">
        <v>89</v>
      </c>
      <c r="V606" s="126" t="s">
        <v>26</v>
      </c>
      <c r="AC606" s="33"/>
      <c r="AD606" s="33"/>
      <c r="AE606" s="33"/>
    </row>
    <row r="607" spans="1:31">
      <c r="A607" s="26" t="s">
        <v>631</v>
      </c>
      <c r="B607" s="8" t="s">
        <v>119</v>
      </c>
      <c r="C607" s="8" t="s">
        <v>22</v>
      </c>
      <c r="D607" s="3" t="s">
        <v>23</v>
      </c>
      <c r="E607" s="23" t="s">
        <v>29</v>
      </c>
      <c r="F607" s="16" t="s">
        <v>649</v>
      </c>
      <c r="G607" s="118">
        <v>54</v>
      </c>
      <c r="H607" s="118">
        <v>10.8</v>
      </c>
      <c r="I607" s="118">
        <v>25.6</v>
      </c>
      <c r="J607" s="119" t="s">
        <v>26</v>
      </c>
      <c r="K607" s="119" t="s">
        <v>26</v>
      </c>
      <c r="L607" s="119" t="s">
        <v>26</v>
      </c>
      <c r="M607" s="119" t="s">
        <v>26</v>
      </c>
      <c r="N607" s="119" t="s">
        <v>26</v>
      </c>
      <c r="O607" s="118">
        <v>4.8</v>
      </c>
      <c r="P607" s="119" t="s">
        <v>26</v>
      </c>
      <c r="Q607" s="119" t="s">
        <v>26</v>
      </c>
      <c r="R607" s="119" t="s">
        <v>26</v>
      </c>
      <c r="S607" s="120" t="s">
        <v>26</v>
      </c>
      <c r="T607" s="121" t="s">
        <v>26</v>
      </c>
      <c r="U607" s="89">
        <v>1146</v>
      </c>
      <c r="V607" s="126" t="s">
        <v>26</v>
      </c>
      <c r="AC607" s="33"/>
      <c r="AD607" s="33"/>
      <c r="AE607" s="33"/>
    </row>
    <row r="608" spans="1:31">
      <c r="A608" s="26" t="s">
        <v>631</v>
      </c>
      <c r="B608" s="8" t="s">
        <v>119</v>
      </c>
      <c r="C608" s="8" t="s">
        <v>22</v>
      </c>
      <c r="D608" s="3" t="s">
        <v>23</v>
      </c>
      <c r="E608" s="23" t="s">
        <v>31</v>
      </c>
      <c r="F608" s="16" t="s">
        <v>650</v>
      </c>
      <c r="G608" s="118">
        <v>14</v>
      </c>
      <c r="H608" s="118">
        <v>10</v>
      </c>
      <c r="I608" s="119" t="s">
        <v>26</v>
      </c>
      <c r="J608" s="118">
        <v>2.7</v>
      </c>
      <c r="K608" s="119" t="s">
        <v>26</v>
      </c>
      <c r="L608" s="119" t="s">
        <v>26</v>
      </c>
      <c r="M608" s="119" t="s">
        <v>26</v>
      </c>
      <c r="N608" s="119" t="s">
        <v>26</v>
      </c>
      <c r="O608" s="125" t="s">
        <v>26</v>
      </c>
      <c r="P608" s="119" t="s">
        <v>26</v>
      </c>
      <c r="Q608" s="119" t="s">
        <v>26</v>
      </c>
      <c r="R608" s="119" t="s">
        <v>26</v>
      </c>
      <c r="S608" s="120" t="s">
        <v>26</v>
      </c>
      <c r="T608" s="121" t="s">
        <v>26</v>
      </c>
      <c r="U608" s="89">
        <v>92</v>
      </c>
      <c r="V608" s="126" t="s">
        <v>26</v>
      </c>
      <c r="AC608" s="33"/>
      <c r="AD608" s="33"/>
      <c r="AE608" s="33"/>
    </row>
    <row r="609" spans="1:31">
      <c r="A609" s="26" t="s">
        <v>651</v>
      </c>
      <c r="B609" s="8" t="s">
        <v>405</v>
      </c>
      <c r="C609" s="8" t="s">
        <v>22</v>
      </c>
      <c r="D609" s="3" t="s">
        <v>23</v>
      </c>
      <c r="E609" s="23" t="s">
        <v>24</v>
      </c>
      <c r="F609" s="16" t="s">
        <v>652</v>
      </c>
      <c r="G609" s="118">
        <v>180</v>
      </c>
      <c r="H609" s="118">
        <v>36.4</v>
      </c>
      <c r="I609" s="119" t="s">
        <v>26</v>
      </c>
      <c r="J609" s="119" t="s">
        <v>26</v>
      </c>
      <c r="K609" s="119" t="s">
        <v>26</v>
      </c>
      <c r="L609" s="119" t="s">
        <v>26</v>
      </c>
      <c r="M609" s="118">
        <v>0.5</v>
      </c>
      <c r="N609" s="119" t="s">
        <v>26</v>
      </c>
      <c r="O609" s="118">
        <v>4.2</v>
      </c>
      <c r="P609" s="118">
        <v>1.4</v>
      </c>
      <c r="Q609" s="119" t="s">
        <v>26</v>
      </c>
      <c r="R609" s="118">
        <v>1.7</v>
      </c>
      <c r="S609" s="127">
        <v>1.9</v>
      </c>
      <c r="T609" s="121" t="s">
        <v>26</v>
      </c>
      <c r="U609" s="123" t="s">
        <v>26</v>
      </c>
      <c r="V609" s="126" t="s">
        <v>26</v>
      </c>
      <c r="AC609" s="33"/>
      <c r="AD609" s="33"/>
      <c r="AE609" s="33"/>
    </row>
    <row r="610" spans="1:31">
      <c r="A610" s="26" t="s">
        <v>651</v>
      </c>
      <c r="B610" s="8" t="s">
        <v>405</v>
      </c>
      <c r="C610" s="8" t="s">
        <v>22</v>
      </c>
      <c r="D610" s="3" t="s">
        <v>23</v>
      </c>
      <c r="E610" s="23" t="s">
        <v>27</v>
      </c>
      <c r="F610" s="16" t="s">
        <v>653</v>
      </c>
      <c r="G610" s="118">
        <v>100</v>
      </c>
      <c r="H610" s="118">
        <v>29.7</v>
      </c>
      <c r="I610" s="118">
        <v>2.6</v>
      </c>
      <c r="J610" s="118">
        <v>0.5</v>
      </c>
      <c r="K610" s="119" t="s">
        <v>26</v>
      </c>
      <c r="L610" s="119" t="s">
        <v>26</v>
      </c>
      <c r="M610" s="118">
        <v>0.7</v>
      </c>
      <c r="N610" s="119" t="s">
        <v>26</v>
      </c>
      <c r="O610" s="118">
        <v>5.2</v>
      </c>
      <c r="P610" s="118">
        <v>1.8</v>
      </c>
      <c r="Q610" s="119" t="s">
        <v>26</v>
      </c>
      <c r="R610" s="118">
        <v>1.4</v>
      </c>
      <c r="S610" s="127">
        <v>2.7</v>
      </c>
      <c r="T610" s="128">
        <v>2</v>
      </c>
      <c r="U610" s="89">
        <v>22</v>
      </c>
      <c r="V610" s="126" t="s">
        <v>26</v>
      </c>
      <c r="AC610" s="33"/>
      <c r="AD610" s="33"/>
      <c r="AE610" s="33"/>
    </row>
    <row r="611" spans="1:31">
      <c r="A611" s="26" t="s">
        <v>651</v>
      </c>
      <c r="B611" s="8" t="s">
        <v>405</v>
      </c>
      <c r="C611" s="8" t="s">
        <v>22</v>
      </c>
      <c r="D611" s="3" t="s">
        <v>23</v>
      </c>
      <c r="E611" s="23" t="s">
        <v>29</v>
      </c>
      <c r="F611" s="16" t="s">
        <v>586</v>
      </c>
      <c r="G611" s="118">
        <v>48</v>
      </c>
      <c r="H611" s="118">
        <v>8.9</v>
      </c>
      <c r="I611" s="118">
        <v>22.4</v>
      </c>
      <c r="J611" s="118">
        <v>3.9</v>
      </c>
      <c r="K611" s="119" t="s">
        <v>26</v>
      </c>
      <c r="L611" s="119" t="s">
        <v>26</v>
      </c>
      <c r="M611" s="119" t="s">
        <v>26</v>
      </c>
      <c r="N611" s="119" t="s">
        <v>26</v>
      </c>
      <c r="O611" s="118">
        <v>5.2</v>
      </c>
      <c r="P611" s="118">
        <v>1.9</v>
      </c>
      <c r="Q611" s="119" t="s">
        <v>26</v>
      </c>
      <c r="R611" s="119" t="s">
        <v>26</v>
      </c>
      <c r="S611" s="127">
        <v>2.7</v>
      </c>
      <c r="T611" s="121" t="s">
        <v>26</v>
      </c>
      <c r="U611" s="89">
        <v>1518</v>
      </c>
      <c r="V611" s="126" t="s">
        <v>26</v>
      </c>
      <c r="AC611" s="33"/>
      <c r="AD611" s="33"/>
      <c r="AE611" s="33"/>
    </row>
    <row r="612" spans="1:31">
      <c r="A612" s="26" t="s">
        <v>651</v>
      </c>
      <c r="B612" s="8" t="s">
        <v>405</v>
      </c>
      <c r="C612" s="8" t="s">
        <v>22</v>
      </c>
      <c r="D612" s="3" t="s">
        <v>23</v>
      </c>
      <c r="E612" s="23" t="s">
        <v>31</v>
      </c>
      <c r="F612" s="16" t="s">
        <v>654</v>
      </c>
      <c r="G612" s="118">
        <v>16</v>
      </c>
      <c r="H612" s="119" t="s">
        <v>26</v>
      </c>
      <c r="I612" s="118">
        <v>6.4</v>
      </c>
      <c r="J612" s="118">
        <v>4.5</v>
      </c>
      <c r="K612" s="119" t="s">
        <v>26</v>
      </c>
      <c r="L612" s="118">
        <v>3.4</v>
      </c>
      <c r="M612" s="119" t="s">
        <v>26</v>
      </c>
      <c r="N612" s="119" t="s">
        <v>26</v>
      </c>
      <c r="O612" s="118">
        <v>4.8</v>
      </c>
      <c r="P612" s="118">
        <v>1.6</v>
      </c>
      <c r="Q612" s="119" t="s">
        <v>26</v>
      </c>
      <c r="R612" s="119" t="s">
        <v>26</v>
      </c>
      <c r="S612" s="127">
        <v>5.8</v>
      </c>
      <c r="T612" s="121" t="s">
        <v>26</v>
      </c>
      <c r="U612" s="89">
        <v>621</v>
      </c>
      <c r="V612" s="126" t="s">
        <v>26</v>
      </c>
      <c r="AC612" s="33"/>
      <c r="AD612" s="33"/>
      <c r="AE612" s="33"/>
    </row>
    <row r="613" spans="1:31">
      <c r="A613" s="26" t="s">
        <v>651</v>
      </c>
      <c r="B613" s="8" t="s">
        <v>373</v>
      </c>
      <c r="C613" s="8" t="s">
        <v>22</v>
      </c>
      <c r="D613" s="8" t="s">
        <v>109</v>
      </c>
      <c r="E613" s="23" t="s">
        <v>24</v>
      </c>
      <c r="F613" s="16" t="s">
        <v>655</v>
      </c>
      <c r="G613" s="118">
        <v>252</v>
      </c>
      <c r="H613" s="118">
        <v>9.5</v>
      </c>
      <c r="I613" s="119" t="s">
        <v>26</v>
      </c>
      <c r="J613" s="119" t="s">
        <v>26</v>
      </c>
      <c r="K613" s="119" t="s">
        <v>26</v>
      </c>
      <c r="L613" s="118">
        <v>0.3</v>
      </c>
      <c r="M613" s="118">
        <v>0.3</v>
      </c>
      <c r="N613" s="119" t="s">
        <v>26</v>
      </c>
      <c r="O613" s="118">
        <v>1.1000000000000001</v>
      </c>
      <c r="P613" s="119" t="s">
        <v>26</v>
      </c>
      <c r="Q613" s="118">
        <v>5.0999999999999996</v>
      </c>
      <c r="R613" s="118">
        <v>1.8</v>
      </c>
      <c r="S613" s="127">
        <v>0.5</v>
      </c>
      <c r="T613" s="121" t="s">
        <v>26</v>
      </c>
      <c r="U613" s="130">
        <v>216</v>
      </c>
      <c r="V613" s="89">
        <v>571</v>
      </c>
      <c r="AC613" s="33"/>
      <c r="AD613" s="33"/>
      <c r="AE613" s="33"/>
    </row>
    <row r="614" spans="1:31">
      <c r="A614" s="26" t="s">
        <v>651</v>
      </c>
      <c r="B614" s="8" t="s">
        <v>373</v>
      </c>
      <c r="C614" s="8" t="s">
        <v>22</v>
      </c>
      <c r="D614" s="8" t="s">
        <v>109</v>
      </c>
      <c r="E614" s="23" t="s">
        <v>27</v>
      </c>
      <c r="F614" s="16" t="s">
        <v>656</v>
      </c>
      <c r="G614" s="118">
        <v>109</v>
      </c>
      <c r="H614" s="118">
        <v>34.5</v>
      </c>
      <c r="I614" s="118">
        <v>2.1</v>
      </c>
      <c r="J614" s="118">
        <v>0.6</v>
      </c>
      <c r="K614" s="118">
        <v>0.4</v>
      </c>
      <c r="L614" s="119" t="s">
        <v>26</v>
      </c>
      <c r="M614" s="118">
        <v>0.4</v>
      </c>
      <c r="N614" s="119" t="s">
        <v>26</v>
      </c>
      <c r="O614" s="118">
        <v>3.9</v>
      </c>
      <c r="P614" s="118">
        <v>1.2</v>
      </c>
      <c r="Q614" s="118">
        <v>3.2</v>
      </c>
      <c r="R614" s="118">
        <v>1.5</v>
      </c>
      <c r="S614" s="127">
        <v>1.2</v>
      </c>
      <c r="T614" s="128">
        <v>1</v>
      </c>
      <c r="U614" s="130">
        <v>18</v>
      </c>
      <c r="V614" s="89">
        <v>198</v>
      </c>
      <c r="AC614" s="33"/>
      <c r="AD614" s="33"/>
      <c r="AE614" s="33"/>
    </row>
    <row r="615" spans="1:31">
      <c r="A615" s="26" t="s">
        <v>651</v>
      </c>
      <c r="B615" s="8" t="s">
        <v>373</v>
      </c>
      <c r="C615" s="8" t="s">
        <v>22</v>
      </c>
      <c r="D615" s="8" t="s">
        <v>109</v>
      </c>
      <c r="E615" s="23" t="s">
        <v>29</v>
      </c>
      <c r="F615" s="16" t="s">
        <v>657</v>
      </c>
      <c r="G615" s="118">
        <v>34</v>
      </c>
      <c r="H615" s="118">
        <v>36.5</v>
      </c>
      <c r="I615" s="118">
        <v>3.5</v>
      </c>
      <c r="J615" s="118">
        <v>8.5</v>
      </c>
      <c r="K615" s="118">
        <v>0.6</v>
      </c>
      <c r="L615" s="119" t="s">
        <v>26</v>
      </c>
      <c r="M615" s="119" t="s">
        <v>26</v>
      </c>
      <c r="N615" s="119" t="s">
        <v>26</v>
      </c>
      <c r="O615" s="118">
        <v>4.5</v>
      </c>
      <c r="P615" s="118">
        <v>2.1</v>
      </c>
      <c r="Q615" s="118">
        <v>2.4</v>
      </c>
      <c r="R615" s="118">
        <v>1.6</v>
      </c>
      <c r="S615" s="127">
        <v>2.9</v>
      </c>
      <c r="T615" s="121" t="s">
        <v>26</v>
      </c>
      <c r="U615" s="130">
        <v>2765</v>
      </c>
      <c r="V615" s="89">
        <v>722</v>
      </c>
      <c r="AC615" s="33"/>
      <c r="AD615" s="33"/>
      <c r="AE615" s="33"/>
    </row>
    <row r="616" spans="1:31">
      <c r="A616" s="26" t="s">
        <v>651</v>
      </c>
      <c r="B616" s="8" t="s">
        <v>373</v>
      </c>
      <c r="C616" s="8" t="s">
        <v>22</v>
      </c>
      <c r="D616" s="8" t="s">
        <v>109</v>
      </c>
      <c r="E616" s="23" t="s">
        <v>31</v>
      </c>
      <c r="F616" s="16" t="s">
        <v>658</v>
      </c>
      <c r="G616" s="118">
        <v>14</v>
      </c>
      <c r="H616" s="119" t="s">
        <v>26</v>
      </c>
      <c r="I616" s="119" t="s">
        <v>26</v>
      </c>
      <c r="J616" s="118">
        <v>15.5</v>
      </c>
      <c r="K616" s="119" t="s">
        <v>26</v>
      </c>
      <c r="L616" s="119" t="s">
        <v>26</v>
      </c>
      <c r="M616" s="119" t="s">
        <v>26</v>
      </c>
      <c r="N616" s="119" t="s">
        <v>26</v>
      </c>
      <c r="O616" s="118">
        <v>3.4</v>
      </c>
      <c r="P616" s="118">
        <v>2.4</v>
      </c>
      <c r="Q616" s="119" t="s">
        <v>26</v>
      </c>
      <c r="R616" s="119" t="s">
        <v>26</v>
      </c>
      <c r="S616" s="127">
        <v>3.5</v>
      </c>
      <c r="T616" s="121" t="s">
        <v>26</v>
      </c>
      <c r="U616" s="130">
        <v>2602</v>
      </c>
      <c r="V616" s="89">
        <v>341</v>
      </c>
      <c r="AC616" s="33"/>
      <c r="AD616" s="33"/>
      <c r="AE616" s="33"/>
    </row>
    <row r="617" spans="1:31">
      <c r="A617" s="26" t="s">
        <v>651</v>
      </c>
      <c r="B617" s="8" t="s">
        <v>108</v>
      </c>
      <c r="C617" s="8" t="s">
        <v>22</v>
      </c>
      <c r="D617" s="3" t="s">
        <v>23</v>
      </c>
      <c r="E617" s="23" t="s">
        <v>24</v>
      </c>
      <c r="F617" s="16" t="s">
        <v>659</v>
      </c>
      <c r="G617" s="118">
        <v>256</v>
      </c>
      <c r="H617" s="118">
        <v>8.5</v>
      </c>
      <c r="I617" s="119" t="s">
        <v>26</v>
      </c>
      <c r="J617" s="119" t="s">
        <v>26</v>
      </c>
      <c r="K617" s="119" t="s">
        <v>26</v>
      </c>
      <c r="L617" s="119" t="s">
        <v>26</v>
      </c>
      <c r="M617" s="118">
        <v>0.4</v>
      </c>
      <c r="N617" s="119" t="s">
        <v>26</v>
      </c>
      <c r="O617" s="118">
        <v>2.4</v>
      </c>
      <c r="P617" s="118">
        <v>0.9</v>
      </c>
      <c r="Q617" s="118">
        <v>4.5</v>
      </c>
      <c r="R617" s="118">
        <v>2.4</v>
      </c>
      <c r="S617" s="127">
        <v>2.2000000000000002</v>
      </c>
      <c r="T617" s="121" t="s">
        <v>26</v>
      </c>
      <c r="U617" s="89">
        <v>560</v>
      </c>
      <c r="V617" s="126" t="s">
        <v>26</v>
      </c>
      <c r="AC617" s="33"/>
      <c r="AD617" s="33"/>
      <c r="AE617" s="33"/>
    </row>
    <row r="618" spans="1:31">
      <c r="A618" s="26" t="s">
        <v>651</v>
      </c>
      <c r="B618" s="8" t="s">
        <v>108</v>
      </c>
      <c r="C618" s="8" t="s">
        <v>22</v>
      </c>
      <c r="D618" s="3" t="s">
        <v>23</v>
      </c>
      <c r="E618" s="23" t="s">
        <v>27</v>
      </c>
      <c r="F618" s="16" t="s">
        <v>560</v>
      </c>
      <c r="G618" s="118">
        <v>124</v>
      </c>
      <c r="H618" s="118">
        <v>18.5</v>
      </c>
      <c r="I618" s="118">
        <v>4.5</v>
      </c>
      <c r="J618" s="118">
        <v>0.4</v>
      </c>
      <c r="K618" s="119" t="s">
        <v>26</v>
      </c>
      <c r="L618" s="119" t="s">
        <v>26</v>
      </c>
      <c r="M618" s="118">
        <v>0.8</v>
      </c>
      <c r="N618" s="119" t="s">
        <v>26</v>
      </c>
      <c r="O618" s="118">
        <v>3.5</v>
      </c>
      <c r="P618" s="118">
        <v>1.2</v>
      </c>
      <c r="Q618" s="118">
        <v>2.4</v>
      </c>
      <c r="R618" s="118">
        <v>1.5</v>
      </c>
      <c r="S618" s="127">
        <v>2.5</v>
      </c>
      <c r="T618" s="121" t="s">
        <v>26</v>
      </c>
      <c r="U618" s="123" t="s">
        <v>26</v>
      </c>
      <c r="V618" s="126" t="s">
        <v>26</v>
      </c>
      <c r="AC618" s="33"/>
      <c r="AD618" s="33"/>
      <c r="AE618" s="33"/>
    </row>
    <row r="619" spans="1:31">
      <c r="A619" s="26" t="s">
        <v>651</v>
      </c>
      <c r="B619" s="8" t="s">
        <v>108</v>
      </c>
      <c r="C619" s="8" t="s">
        <v>22</v>
      </c>
      <c r="D619" s="3" t="s">
        <v>23</v>
      </c>
      <c r="E619" s="23" t="s">
        <v>29</v>
      </c>
      <c r="F619" s="16" t="s">
        <v>660</v>
      </c>
      <c r="G619" s="118">
        <v>50</v>
      </c>
      <c r="H619" s="118">
        <v>4.5</v>
      </c>
      <c r="I619" s="118">
        <v>19.5</v>
      </c>
      <c r="J619" s="118">
        <v>2.88</v>
      </c>
      <c r="K619" s="119" t="s">
        <v>26</v>
      </c>
      <c r="L619" s="119" t="s">
        <v>26</v>
      </c>
      <c r="M619" s="119" t="s">
        <v>26</v>
      </c>
      <c r="N619" s="119" t="s">
        <v>26</v>
      </c>
      <c r="O619" s="118">
        <v>3.9</v>
      </c>
      <c r="P619" s="118">
        <v>2.6</v>
      </c>
      <c r="Q619" s="118">
        <v>8.1999999999999993</v>
      </c>
      <c r="R619" s="118">
        <v>1.1000000000000001</v>
      </c>
      <c r="S619" s="127">
        <v>4.9000000000000004</v>
      </c>
      <c r="T619" s="121" t="s">
        <v>26</v>
      </c>
      <c r="U619" s="89">
        <v>1076</v>
      </c>
      <c r="V619" s="126" t="s">
        <v>26</v>
      </c>
      <c r="AC619" s="33"/>
      <c r="AD619" s="33"/>
      <c r="AE619" s="33"/>
    </row>
    <row r="620" spans="1:31">
      <c r="A620" s="26" t="s">
        <v>651</v>
      </c>
      <c r="B620" s="8" t="s">
        <v>108</v>
      </c>
      <c r="C620" s="8" t="s">
        <v>22</v>
      </c>
      <c r="D620" s="3" t="s">
        <v>23</v>
      </c>
      <c r="E620" s="23" t="s">
        <v>31</v>
      </c>
      <c r="F620" s="16" t="s">
        <v>661</v>
      </c>
      <c r="G620" s="118">
        <v>19</v>
      </c>
      <c r="H620" s="119" t="s">
        <v>26</v>
      </c>
      <c r="I620" s="118">
        <v>7.2</v>
      </c>
      <c r="J620" s="118">
        <v>9.6</v>
      </c>
      <c r="K620" s="119" t="s">
        <v>26</v>
      </c>
      <c r="L620" s="119" t="s">
        <v>26</v>
      </c>
      <c r="M620" s="119" t="s">
        <v>26</v>
      </c>
      <c r="N620" s="119" t="s">
        <v>26</v>
      </c>
      <c r="O620" s="118">
        <v>4</v>
      </c>
      <c r="P620" s="118">
        <v>3.8</v>
      </c>
      <c r="Q620" s="119" t="s">
        <v>26</v>
      </c>
      <c r="R620" s="119" t="s">
        <v>26</v>
      </c>
      <c r="S620" s="127">
        <v>9.5</v>
      </c>
      <c r="T620" s="121" t="s">
        <v>26</v>
      </c>
      <c r="U620" s="89">
        <v>1899</v>
      </c>
      <c r="V620" s="126" t="s">
        <v>26</v>
      </c>
      <c r="AC620" s="33"/>
      <c r="AD620" s="33"/>
      <c r="AE620" s="33"/>
    </row>
    <row r="621" spans="1:31">
      <c r="A621" s="26" t="s">
        <v>651</v>
      </c>
      <c r="B621" s="8" t="s">
        <v>108</v>
      </c>
      <c r="C621" s="8" t="s">
        <v>22</v>
      </c>
      <c r="D621" s="3" t="s">
        <v>23</v>
      </c>
      <c r="E621" s="25" t="s">
        <v>131</v>
      </c>
      <c r="F621" s="16" t="s">
        <v>662</v>
      </c>
      <c r="G621" s="118">
        <v>14</v>
      </c>
      <c r="H621" s="118">
        <v>16</v>
      </c>
      <c r="I621" s="118">
        <v>7.3</v>
      </c>
      <c r="J621" s="118">
        <v>11.3</v>
      </c>
      <c r="K621" s="119" t="s">
        <v>26</v>
      </c>
      <c r="L621" s="119" t="s">
        <v>26</v>
      </c>
      <c r="M621" s="119" t="s">
        <v>26</v>
      </c>
      <c r="N621" s="119" t="s">
        <v>26</v>
      </c>
      <c r="O621" s="118">
        <v>3.1</v>
      </c>
      <c r="P621" s="119" t="s">
        <v>26</v>
      </c>
      <c r="Q621" s="119" t="s">
        <v>26</v>
      </c>
      <c r="R621" s="119" t="s">
        <v>26</v>
      </c>
      <c r="S621" s="127">
        <v>2.5</v>
      </c>
      <c r="T621" s="121" t="s">
        <v>26</v>
      </c>
      <c r="U621" s="133">
        <v>3277</v>
      </c>
      <c r="V621" s="89">
        <v>46</v>
      </c>
      <c r="AC621" s="33"/>
      <c r="AD621" s="33"/>
      <c r="AE621" s="33"/>
    </row>
    <row r="622" spans="1:31">
      <c r="A622" s="26" t="s">
        <v>651</v>
      </c>
      <c r="B622" s="8" t="s">
        <v>83</v>
      </c>
      <c r="C622" s="8" t="s">
        <v>22</v>
      </c>
      <c r="D622" s="8" t="s">
        <v>109</v>
      </c>
      <c r="E622" s="23" t="s">
        <v>24</v>
      </c>
      <c r="F622" s="16" t="s">
        <v>663</v>
      </c>
      <c r="G622" s="118">
        <v>242</v>
      </c>
      <c r="H622" s="118">
        <v>10.5</v>
      </c>
      <c r="I622" s="119" t="s">
        <v>26</v>
      </c>
      <c r="J622" s="119" t="s">
        <v>26</v>
      </c>
      <c r="K622" s="119" t="s">
        <v>26</v>
      </c>
      <c r="L622" s="118">
        <v>0.6</v>
      </c>
      <c r="M622" s="118">
        <v>0.7</v>
      </c>
      <c r="N622" s="119" t="s">
        <v>26</v>
      </c>
      <c r="O622" s="118">
        <v>2.5</v>
      </c>
      <c r="P622" s="118">
        <v>1.2</v>
      </c>
      <c r="Q622" s="118">
        <v>3.5</v>
      </c>
      <c r="R622" s="118">
        <v>2.1</v>
      </c>
      <c r="S622" s="127">
        <v>2.2000000000000002</v>
      </c>
      <c r="T622" s="121" t="s">
        <v>26</v>
      </c>
      <c r="U622" s="130">
        <v>516</v>
      </c>
      <c r="V622" s="126" t="s">
        <v>26</v>
      </c>
      <c r="AC622" s="33"/>
      <c r="AD622" s="33"/>
      <c r="AE622" s="33"/>
    </row>
    <row r="623" spans="1:31">
      <c r="A623" s="26" t="s">
        <v>651</v>
      </c>
      <c r="B623" s="8" t="s">
        <v>83</v>
      </c>
      <c r="C623" s="8" t="s">
        <v>22</v>
      </c>
      <c r="D623" s="8" t="s">
        <v>109</v>
      </c>
      <c r="E623" s="23" t="s">
        <v>27</v>
      </c>
      <c r="F623" s="16" t="s">
        <v>664</v>
      </c>
      <c r="G623" s="118">
        <v>100</v>
      </c>
      <c r="H623" s="118">
        <v>44.5</v>
      </c>
      <c r="I623" s="118">
        <v>1.5</v>
      </c>
      <c r="J623" s="118">
        <v>0.6</v>
      </c>
      <c r="K623" s="118">
        <v>0.4</v>
      </c>
      <c r="L623" s="118">
        <v>0.5</v>
      </c>
      <c r="M623" s="118">
        <v>0.9</v>
      </c>
      <c r="N623" s="119" t="s">
        <v>26</v>
      </c>
      <c r="O623" s="118">
        <v>3.7</v>
      </c>
      <c r="P623" s="118">
        <v>2.6</v>
      </c>
      <c r="Q623" s="118">
        <v>2.6</v>
      </c>
      <c r="R623" s="118">
        <v>2.4</v>
      </c>
      <c r="S623" s="127">
        <v>2.5</v>
      </c>
      <c r="T623" s="121" t="s">
        <v>26</v>
      </c>
      <c r="U623" s="130">
        <v>180</v>
      </c>
      <c r="V623" s="126" t="s">
        <v>26</v>
      </c>
      <c r="AC623" s="33"/>
      <c r="AD623" s="33"/>
      <c r="AE623" s="33"/>
    </row>
    <row r="624" spans="1:31">
      <c r="A624" s="26" t="s">
        <v>651</v>
      </c>
      <c r="B624" s="8" t="s">
        <v>83</v>
      </c>
      <c r="C624" s="8" t="s">
        <v>22</v>
      </c>
      <c r="D624" s="8" t="s">
        <v>109</v>
      </c>
      <c r="E624" s="23" t="s">
        <v>29</v>
      </c>
      <c r="F624" s="16" t="s">
        <v>665</v>
      </c>
      <c r="G624" s="118">
        <v>36</v>
      </c>
      <c r="H624" s="118">
        <v>32.5</v>
      </c>
      <c r="I624" s="118">
        <v>7.8</v>
      </c>
      <c r="J624" s="118">
        <v>6.8</v>
      </c>
      <c r="K624" s="119" t="s">
        <v>26</v>
      </c>
      <c r="L624" s="118">
        <v>0.8</v>
      </c>
      <c r="M624" s="118">
        <v>2.5</v>
      </c>
      <c r="N624" s="119" t="s">
        <v>26</v>
      </c>
      <c r="O624" s="118">
        <v>4.0999999999999996</v>
      </c>
      <c r="P624" s="118">
        <v>2.7</v>
      </c>
      <c r="Q624" s="118">
        <v>2.6</v>
      </c>
      <c r="R624" s="118">
        <v>1.5</v>
      </c>
      <c r="S624" s="127">
        <v>3.7</v>
      </c>
      <c r="T624" s="121" t="s">
        <v>26</v>
      </c>
      <c r="U624" s="130">
        <v>2726</v>
      </c>
      <c r="V624" s="126" t="s">
        <v>26</v>
      </c>
      <c r="AC624" s="33"/>
      <c r="AD624" s="33"/>
      <c r="AE624" s="33"/>
    </row>
    <row r="625" spans="1:31">
      <c r="A625" s="26" t="s">
        <v>651</v>
      </c>
      <c r="B625" s="8" t="s">
        <v>83</v>
      </c>
      <c r="C625" s="8" t="s">
        <v>22</v>
      </c>
      <c r="D625" s="8" t="s">
        <v>109</v>
      </c>
      <c r="E625" s="23" t="s">
        <v>31</v>
      </c>
      <c r="F625" s="16" t="s">
        <v>666</v>
      </c>
      <c r="G625" s="118">
        <v>15</v>
      </c>
      <c r="H625" s="119" t="s">
        <v>26</v>
      </c>
      <c r="I625" s="118">
        <v>2.9</v>
      </c>
      <c r="J625" s="118">
        <v>19.5</v>
      </c>
      <c r="K625" s="119" t="s">
        <v>26</v>
      </c>
      <c r="L625" s="119" t="s">
        <v>26</v>
      </c>
      <c r="M625" s="118">
        <v>1.4</v>
      </c>
      <c r="N625" s="119" t="s">
        <v>26</v>
      </c>
      <c r="O625" s="118">
        <v>3.8</v>
      </c>
      <c r="P625" s="119" t="s">
        <v>26</v>
      </c>
      <c r="Q625" s="119" t="s">
        <v>26</v>
      </c>
      <c r="R625" s="119" t="s">
        <v>26</v>
      </c>
      <c r="S625" s="127">
        <v>6.5</v>
      </c>
      <c r="T625" s="121" t="s">
        <v>26</v>
      </c>
      <c r="U625" s="130">
        <v>2005</v>
      </c>
      <c r="V625" s="126" t="s">
        <v>26</v>
      </c>
      <c r="AC625" s="33"/>
      <c r="AD625" s="33"/>
      <c r="AE625" s="33"/>
    </row>
    <row r="626" spans="1:31">
      <c r="A626" s="26" t="s">
        <v>651</v>
      </c>
      <c r="B626" s="8" t="s">
        <v>606</v>
      </c>
      <c r="C626" s="8" t="s">
        <v>22</v>
      </c>
      <c r="D626" s="3" t="s">
        <v>33</v>
      </c>
      <c r="E626" s="23" t="s">
        <v>24</v>
      </c>
      <c r="F626" s="16" t="s">
        <v>667</v>
      </c>
      <c r="G626" s="118">
        <v>232</v>
      </c>
      <c r="H626" s="118">
        <v>13.5</v>
      </c>
      <c r="I626" s="119" t="s">
        <v>26</v>
      </c>
      <c r="J626" s="119" t="s">
        <v>26</v>
      </c>
      <c r="K626" s="119" t="s">
        <v>26</v>
      </c>
      <c r="L626" s="118">
        <v>0.4</v>
      </c>
      <c r="M626" s="118">
        <v>0.5</v>
      </c>
      <c r="N626" s="119" t="s">
        <v>26</v>
      </c>
      <c r="O626" s="118">
        <v>0.5</v>
      </c>
      <c r="P626" s="119" t="s">
        <v>26</v>
      </c>
      <c r="Q626" s="118">
        <v>3.1</v>
      </c>
      <c r="R626" s="119" t="s">
        <v>26</v>
      </c>
      <c r="S626" s="127">
        <v>1.5</v>
      </c>
      <c r="T626" s="121" t="s">
        <v>26</v>
      </c>
      <c r="U626" s="130">
        <v>414</v>
      </c>
      <c r="V626" s="126" t="s">
        <v>26</v>
      </c>
      <c r="AC626" s="33"/>
      <c r="AD626" s="33"/>
      <c r="AE626" s="33"/>
    </row>
    <row r="627" spans="1:31">
      <c r="A627" s="26" t="s">
        <v>651</v>
      </c>
      <c r="B627" s="8" t="s">
        <v>606</v>
      </c>
      <c r="C627" s="8" t="s">
        <v>22</v>
      </c>
      <c r="D627" s="3" t="s">
        <v>33</v>
      </c>
      <c r="E627" s="23" t="s">
        <v>27</v>
      </c>
      <c r="F627" s="16" t="s">
        <v>668</v>
      </c>
      <c r="G627" s="118">
        <v>110</v>
      </c>
      <c r="H627" s="118">
        <v>28.5</v>
      </c>
      <c r="I627" s="118">
        <v>4.5</v>
      </c>
      <c r="J627" s="118">
        <v>0.5</v>
      </c>
      <c r="K627" s="119" t="s">
        <v>26</v>
      </c>
      <c r="L627" s="119" t="s">
        <v>26</v>
      </c>
      <c r="M627" s="118">
        <v>0.8</v>
      </c>
      <c r="N627" s="119" t="s">
        <v>26</v>
      </c>
      <c r="O627" s="118">
        <v>3</v>
      </c>
      <c r="P627" s="118">
        <v>0.7</v>
      </c>
      <c r="Q627" s="118">
        <v>1.5</v>
      </c>
      <c r="R627" s="118">
        <v>1.5</v>
      </c>
      <c r="S627" s="127">
        <v>1.8</v>
      </c>
      <c r="T627" s="121" t="s">
        <v>26</v>
      </c>
      <c r="U627" s="130">
        <v>86</v>
      </c>
      <c r="V627" s="126" t="s">
        <v>26</v>
      </c>
      <c r="AC627" s="33"/>
      <c r="AD627" s="33"/>
      <c r="AE627" s="33"/>
    </row>
    <row r="628" spans="1:31">
      <c r="A628" s="26" t="s">
        <v>651</v>
      </c>
      <c r="B628" s="8" t="s">
        <v>606</v>
      </c>
      <c r="C628" s="8" t="s">
        <v>22</v>
      </c>
      <c r="D628" s="3" t="s">
        <v>33</v>
      </c>
      <c r="E628" s="23" t="s">
        <v>29</v>
      </c>
      <c r="F628" s="16" t="s">
        <v>669</v>
      </c>
      <c r="G628" s="118">
        <v>48</v>
      </c>
      <c r="H628" s="118">
        <v>7.9</v>
      </c>
      <c r="I628" s="118">
        <v>16.5</v>
      </c>
      <c r="J628" s="118">
        <v>1.6</v>
      </c>
      <c r="K628" s="119" t="s">
        <v>26</v>
      </c>
      <c r="L628" s="118">
        <v>0.9</v>
      </c>
      <c r="M628" s="118">
        <v>0.6</v>
      </c>
      <c r="N628" s="119" t="s">
        <v>26</v>
      </c>
      <c r="O628" s="118">
        <v>3.1</v>
      </c>
      <c r="P628" s="118">
        <v>1.2</v>
      </c>
      <c r="Q628" s="119" t="s">
        <v>26</v>
      </c>
      <c r="R628" s="118">
        <v>1.2</v>
      </c>
      <c r="S628" s="127">
        <v>2.4</v>
      </c>
      <c r="T628" s="121" t="s">
        <v>26</v>
      </c>
      <c r="U628" s="130">
        <v>60</v>
      </c>
      <c r="V628" s="126" t="s">
        <v>26</v>
      </c>
      <c r="AC628" s="33"/>
      <c r="AD628" s="33"/>
      <c r="AE628" s="33"/>
    </row>
    <row r="629" spans="1:31">
      <c r="A629" s="26" t="s">
        <v>651</v>
      </c>
      <c r="B629" s="8" t="s">
        <v>606</v>
      </c>
      <c r="C629" s="8" t="s">
        <v>22</v>
      </c>
      <c r="D629" s="3" t="s">
        <v>33</v>
      </c>
      <c r="E629" s="23" t="s">
        <v>31</v>
      </c>
      <c r="F629" s="16" t="s">
        <v>670</v>
      </c>
      <c r="G629" s="118">
        <v>17</v>
      </c>
      <c r="H629" s="119" t="s">
        <v>26</v>
      </c>
      <c r="I629" s="118">
        <v>4.5</v>
      </c>
      <c r="J629" s="118">
        <v>11.6</v>
      </c>
      <c r="K629" s="119" t="s">
        <v>26</v>
      </c>
      <c r="L629" s="119" t="s">
        <v>26</v>
      </c>
      <c r="M629" s="119" t="s">
        <v>26</v>
      </c>
      <c r="N629" s="119" t="s">
        <v>26</v>
      </c>
      <c r="O629" s="118">
        <v>2.5</v>
      </c>
      <c r="P629" s="119" t="s">
        <v>26</v>
      </c>
      <c r="Q629" s="119" t="s">
        <v>26</v>
      </c>
      <c r="R629" s="119" t="s">
        <v>26</v>
      </c>
      <c r="S629" s="127">
        <v>3.1</v>
      </c>
      <c r="T629" s="121" t="s">
        <v>26</v>
      </c>
      <c r="U629" s="130">
        <v>1173</v>
      </c>
      <c r="V629" s="126" t="s">
        <v>26</v>
      </c>
      <c r="AC629" s="33"/>
      <c r="AD629" s="33"/>
      <c r="AE629" s="33"/>
    </row>
    <row r="630" spans="1:31">
      <c r="A630" s="26" t="s">
        <v>651</v>
      </c>
      <c r="B630" s="8" t="s">
        <v>457</v>
      </c>
      <c r="C630" s="8" t="s">
        <v>22</v>
      </c>
      <c r="D630" s="8" t="s">
        <v>109</v>
      </c>
      <c r="E630" s="23" t="s">
        <v>24</v>
      </c>
      <c r="F630" s="16" t="s">
        <v>671</v>
      </c>
      <c r="G630" s="118">
        <v>238</v>
      </c>
      <c r="H630" s="118">
        <v>13.5</v>
      </c>
      <c r="I630" s="119" t="s">
        <v>26</v>
      </c>
      <c r="J630" s="119" t="s">
        <v>26</v>
      </c>
      <c r="K630" s="119" t="s">
        <v>26</v>
      </c>
      <c r="L630" s="118">
        <v>0.3</v>
      </c>
      <c r="M630" s="118">
        <v>0.7</v>
      </c>
      <c r="N630" s="119" t="s">
        <v>26</v>
      </c>
      <c r="O630" s="118">
        <v>1.8</v>
      </c>
      <c r="P630" s="119" t="s">
        <v>26</v>
      </c>
      <c r="Q630" s="118">
        <v>0.9</v>
      </c>
      <c r="R630" s="118">
        <v>1.4</v>
      </c>
      <c r="S630" s="127">
        <v>1.5</v>
      </c>
      <c r="T630" s="121" t="s">
        <v>26</v>
      </c>
      <c r="U630" s="130">
        <v>216</v>
      </c>
      <c r="V630" s="126" t="s">
        <v>26</v>
      </c>
      <c r="AC630" s="33"/>
      <c r="AD630" s="33"/>
      <c r="AE630" s="33"/>
    </row>
    <row r="631" spans="1:31">
      <c r="A631" s="26" t="s">
        <v>651</v>
      </c>
      <c r="B631" s="8" t="s">
        <v>457</v>
      </c>
      <c r="C631" s="8" t="s">
        <v>22</v>
      </c>
      <c r="D631" s="8" t="s">
        <v>109</v>
      </c>
      <c r="E631" s="23" t="s">
        <v>27</v>
      </c>
      <c r="F631" s="16" t="s">
        <v>672</v>
      </c>
      <c r="G631" s="118">
        <v>109</v>
      </c>
      <c r="H631" s="118">
        <v>32.5</v>
      </c>
      <c r="I631" s="118">
        <v>2.4</v>
      </c>
      <c r="J631" s="118">
        <v>0.5</v>
      </c>
      <c r="K631" s="119" t="s">
        <v>26</v>
      </c>
      <c r="L631" s="119" t="s">
        <v>26</v>
      </c>
      <c r="M631" s="118">
        <v>0.6</v>
      </c>
      <c r="N631" s="119" t="s">
        <v>26</v>
      </c>
      <c r="O631" s="118">
        <v>2.5</v>
      </c>
      <c r="P631" s="119" t="s">
        <v>26</v>
      </c>
      <c r="Q631" s="119" t="s">
        <v>26</v>
      </c>
      <c r="R631" s="118">
        <v>1.1000000000000001</v>
      </c>
      <c r="S631" s="127">
        <v>1.8</v>
      </c>
      <c r="T631" s="121" t="s">
        <v>26</v>
      </c>
      <c r="U631" s="130">
        <v>217</v>
      </c>
      <c r="V631" s="126" t="s">
        <v>26</v>
      </c>
      <c r="AC631" s="33"/>
      <c r="AD631" s="33"/>
      <c r="AE631" s="33"/>
    </row>
    <row r="632" spans="1:31">
      <c r="A632" s="26" t="s">
        <v>651</v>
      </c>
      <c r="B632" s="8" t="s">
        <v>457</v>
      </c>
      <c r="C632" s="8" t="s">
        <v>22</v>
      </c>
      <c r="D632" s="8" t="s">
        <v>109</v>
      </c>
      <c r="E632" s="23" t="s">
        <v>29</v>
      </c>
      <c r="F632" s="16" t="s">
        <v>673</v>
      </c>
      <c r="G632" s="118">
        <v>35</v>
      </c>
      <c r="H632" s="118">
        <v>40.5</v>
      </c>
      <c r="I632" s="118">
        <v>6.1</v>
      </c>
      <c r="J632" s="118">
        <v>1.3</v>
      </c>
      <c r="K632" s="119" t="s">
        <v>26</v>
      </c>
      <c r="L632" s="118">
        <v>0.5</v>
      </c>
      <c r="M632" s="118">
        <v>1</v>
      </c>
      <c r="N632" s="119" t="s">
        <v>26</v>
      </c>
      <c r="O632" s="118">
        <v>5.0999999999999996</v>
      </c>
      <c r="P632" s="118">
        <v>0.6</v>
      </c>
      <c r="Q632" s="119" t="s">
        <v>26</v>
      </c>
      <c r="R632" s="119" t="s">
        <v>26</v>
      </c>
      <c r="S632" s="127">
        <v>2.1</v>
      </c>
      <c r="T632" s="121" t="s">
        <v>26</v>
      </c>
      <c r="U632" s="130">
        <v>700</v>
      </c>
      <c r="V632" s="126" t="s">
        <v>26</v>
      </c>
      <c r="AC632" s="33"/>
      <c r="AD632" s="33"/>
      <c r="AE632" s="33"/>
    </row>
    <row r="633" spans="1:31">
      <c r="A633" s="26" t="s">
        <v>651</v>
      </c>
      <c r="B633" s="8" t="s">
        <v>457</v>
      </c>
      <c r="C633" s="8" t="s">
        <v>22</v>
      </c>
      <c r="D633" s="8" t="s">
        <v>109</v>
      </c>
      <c r="E633" s="23" t="s">
        <v>31</v>
      </c>
      <c r="F633" s="16" t="s">
        <v>674</v>
      </c>
      <c r="G633" s="118">
        <v>15</v>
      </c>
      <c r="H633" s="119" t="s">
        <v>26</v>
      </c>
      <c r="I633" s="118">
        <v>1.5</v>
      </c>
      <c r="J633" s="118">
        <v>17.5</v>
      </c>
      <c r="K633" s="119" t="s">
        <v>26</v>
      </c>
      <c r="L633" s="119" t="s">
        <v>26</v>
      </c>
      <c r="M633" s="119" t="s">
        <v>26</v>
      </c>
      <c r="N633" s="119" t="s">
        <v>26</v>
      </c>
      <c r="O633" s="118">
        <v>6.4</v>
      </c>
      <c r="P633" s="119" t="s">
        <v>26</v>
      </c>
      <c r="Q633" s="119" t="s">
        <v>26</v>
      </c>
      <c r="R633" s="119" t="s">
        <v>26</v>
      </c>
      <c r="S633" s="127">
        <v>2.9</v>
      </c>
      <c r="T633" s="121" t="s">
        <v>26</v>
      </c>
      <c r="U633" s="130">
        <v>1937</v>
      </c>
      <c r="V633" s="126" t="s">
        <v>26</v>
      </c>
      <c r="AC633" s="33"/>
      <c r="AD633" s="33"/>
      <c r="AE633" s="33"/>
    </row>
    <row r="634" spans="1:31">
      <c r="A634" s="26" t="s">
        <v>651</v>
      </c>
      <c r="B634" s="8" t="s">
        <v>614</v>
      </c>
      <c r="C634" s="8" t="s">
        <v>22</v>
      </c>
      <c r="D634" s="3" t="s">
        <v>23</v>
      </c>
      <c r="E634" s="23" t="s">
        <v>24</v>
      </c>
      <c r="F634" s="19">
        <v>1869</v>
      </c>
      <c r="G634" s="118">
        <v>268</v>
      </c>
      <c r="H634" s="118">
        <v>7.5</v>
      </c>
      <c r="I634" s="119" t="s">
        <v>26</v>
      </c>
      <c r="J634" s="119" t="s">
        <v>26</v>
      </c>
      <c r="K634" s="119" t="s">
        <v>26</v>
      </c>
      <c r="L634" s="119" t="s">
        <v>26</v>
      </c>
      <c r="M634" s="118">
        <v>0.6</v>
      </c>
      <c r="N634" s="119" t="s">
        <v>26</v>
      </c>
      <c r="O634" s="125" t="s">
        <v>26</v>
      </c>
      <c r="P634" s="119" t="s">
        <v>26</v>
      </c>
      <c r="Q634" s="118">
        <v>2.5</v>
      </c>
      <c r="R634" s="118">
        <v>1.4</v>
      </c>
      <c r="S634" s="127">
        <v>0.9</v>
      </c>
      <c r="T634" s="121" t="s">
        <v>26</v>
      </c>
      <c r="U634" s="89">
        <v>720</v>
      </c>
      <c r="V634" s="126" t="s">
        <v>26</v>
      </c>
      <c r="AC634" s="33"/>
      <c r="AD634" s="33"/>
      <c r="AE634" s="33"/>
    </row>
    <row r="635" spans="1:31">
      <c r="A635" s="26" t="s">
        <v>651</v>
      </c>
      <c r="B635" s="8" t="s">
        <v>614</v>
      </c>
      <c r="C635" s="8" t="s">
        <v>22</v>
      </c>
      <c r="D635" s="3" t="s">
        <v>23</v>
      </c>
      <c r="E635" s="23" t="s">
        <v>27</v>
      </c>
      <c r="F635" s="19">
        <v>642</v>
      </c>
      <c r="G635" s="118">
        <v>128</v>
      </c>
      <c r="H635" s="118">
        <v>13.5</v>
      </c>
      <c r="I635" s="118">
        <v>18.5</v>
      </c>
      <c r="J635" s="119" t="s">
        <v>26</v>
      </c>
      <c r="K635" s="118">
        <v>0.3</v>
      </c>
      <c r="L635" s="119" t="s">
        <v>26</v>
      </c>
      <c r="M635" s="118">
        <v>0.5</v>
      </c>
      <c r="N635" s="119" t="s">
        <v>26</v>
      </c>
      <c r="O635" s="118">
        <v>0.9</v>
      </c>
      <c r="P635" s="119" t="s">
        <v>26</v>
      </c>
      <c r="Q635" s="118">
        <v>1.8</v>
      </c>
      <c r="R635" s="118">
        <v>1.5</v>
      </c>
      <c r="S635" s="127">
        <v>1.8</v>
      </c>
      <c r="T635" s="121" t="s">
        <v>26</v>
      </c>
      <c r="U635" s="89">
        <v>280</v>
      </c>
      <c r="V635" s="126" t="s">
        <v>26</v>
      </c>
      <c r="AC635" s="33"/>
      <c r="AD635" s="33"/>
      <c r="AE635" s="33"/>
    </row>
    <row r="636" spans="1:31">
      <c r="A636" s="26" t="s">
        <v>651</v>
      </c>
      <c r="B636" s="8" t="s">
        <v>614</v>
      </c>
      <c r="C636" s="8" t="s">
        <v>22</v>
      </c>
      <c r="D636" s="3" t="s">
        <v>23</v>
      </c>
      <c r="E636" s="23" t="s">
        <v>29</v>
      </c>
      <c r="F636" s="19">
        <v>2143</v>
      </c>
      <c r="G636" s="118">
        <v>49</v>
      </c>
      <c r="H636" s="118">
        <v>9.1999999999999993</v>
      </c>
      <c r="I636" s="118">
        <v>10.6</v>
      </c>
      <c r="J636" s="118">
        <v>1.2</v>
      </c>
      <c r="K636" s="119" t="s">
        <v>26</v>
      </c>
      <c r="L636" s="119" t="s">
        <v>26</v>
      </c>
      <c r="M636" s="118">
        <v>1</v>
      </c>
      <c r="N636" s="119" t="s">
        <v>26</v>
      </c>
      <c r="O636" s="118">
        <v>1.9</v>
      </c>
      <c r="P636" s="118">
        <v>3.4</v>
      </c>
      <c r="Q636" s="119" t="s">
        <v>26</v>
      </c>
      <c r="R636" s="118">
        <v>1.2</v>
      </c>
      <c r="S636" s="127">
        <v>3</v>
      </c>
      <c r="T636" s="121" t="s">
        <v>26</v>
      </c>
      <c r="U636" s="89">
        <v>760</v>
      </c>
      <c r="V636" s="126" t="s">
        <v>26</v>
      </c>
      <c r="AC636" s="33"/>
      <c r="AD636" s="33"/>
      <c r="AE636" s="33"/>
    </row>
    <row r="637" spans="1:31">
      <c r="A637" s="26" t="s">
        <v>651</v>
      </c>
      <c r="B637" s="8" t="s">
        <v>614</v>
      </c>
      <c r="C637" s="8" t="s">
        <v>22</v>
      </c>
      <c r="D637" s="3" t="s">
        <v>23</v>
      </c>
      <c r="E637" s="23" t="s">
        <v>31</v>
      </c>
      <c r="F637" s="19">
        <v>1015</v>
      </c>
      <c r="G637" s="118">
        <v>16</v>
      </c>
      <c r="H637" s="119" t="s">
        <v>26</v>
      </c>
      <c r="I637" s="118">
        <v>3.5</v>
      </c>
      <c r="J637" s="118">
        <v>10.8</v>
      </c>
      <c r="K637" s="119" t="s">
        <v>26</v>
      </c>
      <c r="L637" s="119" t="s">
        <v>26</v>
      </c>
      <c r="M637" s="119" t="s">
        <v>26</v>
      </c>
      <c r="N637" s="119" t="s">
        <v>26</v>
      </c>
      <c r="O637" s="118">
        <v>1.2</v>
      </c>
      <c r="P637" s="118">
        <v>3.9</v>
      </c>
      <c r="Q637" s="119" t="s">
        <v>26</v>
      </c>
      <c r="R637" s="119" t="s">
        <v>26</v>
      </c>
      <c r="S637" s="127">
        <v>4.0999999999999996</v>
      </c>
      <c r="T637" s="121" t="s">
        <v>26</v>
      </c>
      <c r="U637" s="89">
        <v>1015</v>
      </c>
      <c r="V637" s="126" t="s">
        <v>26</v>
      </c>
      <c r="AC637" s="33"/>
      <c r="AD637" s="33"/>
      <c r="AE637" s="33"/>
    </row>
    <row r="638" spans="1:31">
      <c r="A638" s="26" t="s">
        <v>675</v>
      </c>
      <c r="B638" s="8" t="s">
        <v>676</v>
      </c>
      <c r="C638" s="8" t="s">
        <v>22</v>
      </c>
      <c r="D638" s="3" t="s">
        <v>23</v>
      </c>
      <c r="E638" s="23" t="s">
        <v>24</v>
      </c>
      <c r="F638" s="16" t="s">
        <v>677</v>
      </c>
      <c r="G638" s="118">
        <v>215</v>
      </c>
      <c r="H638" s="118">
        <v>16.399999999999999</v>
      </c>
      <c r="I638" s="119" t="s">
        <v>26</v>
      </c>
      <c r="J638" s="119" t="s">
        <v>26</v>
      </c>
      <c r="K638" s="119" t="s">
        <v>26</v>
      </c>
      <c r="L638" s="119" t="s">
        <v>26</v>
      </c>
      <c r="M638" s="118">
        <v>0.6</v>
      </c>
      <c r="N638" s="119" t="s">
        <v>26</v>
      </c>
      <c r="O638" s="118">
        <v>2.9</v>
      </c>
      <c r="P638" s="118">
        <v>1</v>
      </c>
      <c r="Q638" s="119" t="s">
        <v>26</v>
      </c>
      <c r="R638" s="118">
        <v>1.6</v>
      </c>
      <c r="S638" s="127">
        <v>1.4</v>
      </c>
      <c r="T638" s="121" t="s">
        <v>26</v>
      </c>
      <c r="U638" s="89">
        <v>88</v>
      </c>
      <c r="V638" s="89">
        <v>365</v>
      </c>
      <c r="AC638" s="33"/>
      <c r="AD638" s="33"/>
      <c r="AE638" s="33"/>
    </row>
    <row r="639" spans="1:31">
      <c r="A639" s="26" t="s">
        <v>675</v>
      </c>
      <c r="B639" s="8" t="s">
        <v>676</v>
      </c>
      <c r="C639" s="8" t="s">
        <v>22</v>
      </c>
      <c r="D639" s="3" t="s">
        <v>23</v>
      </c>
      <c r="E639" s="23" t="s">
        <v>27</v>
      </c>
      <c r="F639" s="16" t="s">
        <v>135</v>
      </c>
      <c r="G639" s="118">
        <v>105</v>
      </c>
      <c r="H639" s="118">
        <v>22.4</v>
      </c>
      <c r="I639" s="118">
        <v>4.9000000000000004</v>
      </c>
      <c r="J639" s="118">
        <v>2.1</v>
      </c>
      <c r="K639" s="119" t="s">
        <v>26</v>
      </c>
      <c r="L639" s="119" t="s">
        <v>26</v>
      </c>
      <c r="M639" s="119" t="s">
        <v>26</v>
      </c>
      <c r="N639" s="119" t="s">
        <v>26</v>
      </c>
      <c r="O639" s="118">
        <v>5.0999999999999996</v>
      </c>
      <c r="P639" s="118">
        <v>1.3</v>
      </c>
      <c r="Q639" s="119" t="s">
        <v>26</v>
      </c>
      <c r="R639" s="119" t="s">
        <v>26</v>
      </c>
      <c r="S639" s="127">
        <v>1.9</v>
      </c>
      <c r="T639" s="121" t="s">
        <v>26</v>
      </c>
      <c r="U639" s="89">
        <v>394</v>
      </c>
      <c r="V639" s="89">
        <v>165</v>
      </c>
      <c r="AC639" s="33"/>
      <c r="AD639" s="33"/>
      <c r="AE639" s="33"/>
    </row>
    <row r="640" spans="1:31">
      <c r="A640" s="26" t="s">
        <v>675</v>
      </c>
      <c r="B640" s="8" t="s">
        <v>676</v>
      </c>
      <c r="C640" s="8" t="s">
        <v>22</v>
      </c>
      <c r="D640" s="3" t="s">
        <v>23</v>
      </c>
      <c r="E640" s="23" t="s">
        <v>29</v>
      </c>
      <c r="F640" s="16" t="s">
        <v>678</v>
      </c>
      <c r="G640" s="118">
        <v>44</v>
      </c>
      <c r="H640" s="118">
        <v>9.1</v>
      </c>
      <c r="I640" s="118">
        <v>18.899999999999999</v>
      </c>
      <c r="J640" s="118">
        <v>5.0999999999999996</v>
      </c>
      <c r="K640" s="119" t="s">
        <v>26</v>
      </c>
      <c r="L640" s="119" t="s">
        <v>26</v>
      </c>
      <c r="M640" s="119" t="s">
        <v>26</v>
      </c>
      <c r="N640" s="119" t="s">
        <v>26</v>
      </c>
      <c r="O640" s="118">
        <v>5.7</v>
      </c>
      <c r="P640" s="118">
        <v>1.8</v>
      </c>
      <c r="Q640" s="119" t="s">
        <v>26</v>
      </c>
      <c r="R640" s="118">
        <v>1.6</v>
      </c>
      <c r="S640" s="127">
        <v>3.1</v>
      </c>
      <c r="T640" s="121" t="s">
        <v>26</v>
      </c>
      <c r="U640" s="89">
        <v>1446</v>
      </c>
      <c r="V640" s="89">
        <v>462</v>
      </c>
      <c r="AC640" s="33"/>
      <c r="AD640" s="33"/>
      <c r="AE640" s="33"/>
    </row>
    <row r="641" spans="1:31">
      <c r="A641" s="26" t="s">
        <v>675</v>
      </c>
      <c r="B641" s="8" t="s">
        <v>676</v>
      </c>
      <c r="C641" s="8" t="s">
        <v>22</v>
      </c>
      <c r="D641" s="3" t="s">
        <v>23</v>
      </c>
      <c r="E641" s="23" t="s">
        <v>31</v>
      </c>
      <c r="F641" s="16" t="s">
        <v>679</v>
      </c>
      <c r="G641" s="118">
        <v>15</v>
      </c>
      <c r="H641" s="119" t="s">
        <v>26</v>
      </c>
      <c r="I641" s="118">
        <v>6.7</v>
      </c>
      <c r="J641" s="118">
        <v>10.6</v>
      </c>
      <c r="K641" s="119" t="s">
        <v>26</v>
      </c>
      <c r="L641" s="119" t="s">
        <v>26</v>
      </c>
      <c r="M641" s="119" t="s">
        <v>26</v>
      </c>
      <c r="N641" s="119" t="s">
        <v>26</v>
      </c>
      <c r="O641" s="118">
        <v>5.2</v>
      </c>
      <c r="P641" s="118">
        <v>1.9</v>
      </c>
      <c r="Q641" s="119" t="s">
        <v>26</v>
      </c>
      <c r="R641" s="119" t="s">
        <v>26</v>
      </c>
      <c r="S641" s="127">
        <v>3.7</v>
      </c>
      <c r="T641" s="121" t="s">
        <v>26</v>
      </c>
      <c r="U641" s="89">
        <v>943</v>
      </c>
      <c r="V641" s="89">
        <v>225</v>
      </c>
      <c r="AC641" s="33"/>
      <c r="AD641" s="33"/>
      <c r="AE641" s="33"/>
    </row>
    <row r="642" spans="1:31">
      <c r="A642" s="26" t="s">
        <v>675</v>
      </c>
      <c r="B642" s="8" t="s">
        <v>211</v>
      </c>
      <c r="C642" s="8" t="s">
        <v>22</v>
      </c>
      <c r="D642" s="3" t="s">
        <v>23</v>
      </c>
      <c r="E642" s="23" t="s">
        <v>24</v>
      </c>
      <c r="F642" s="16" t="s">
        <v>680</v>
      </c>
      <c r="G642" s="118">
        <v>250</v>
      </c>
      <c r="H642" s="118">
        <v>17.5</v>
      </c>
      <c r="I642" s="119" t="s">
        <v>26</v>
      </c>
      <c r="J642" s="119" t="s">
        <v>26</v>
      </c>
      <c r="K642" s="119" t="s">
        <v>26</v>
      </c>
      <c r="L642" s="119" t="s">
        <v>26</v>
      </c>
      <c r="M642" s="118">
        <v>0.6</v>
      </c>
      <c r="N642" s="119" t="s">
        <v>26</v>
      </c>
      <c r="O642" s="118">
        <v>1</v>
      </c>
      <c r="P642" s="118">
        <v>0.4</v>
      </c>
      <c r="Q642" s="118">
        <v>5.0999999999999996</v>
      </c>
      <c r="R642" s="118">
        <v>2.1</v>
      </c>
      <c r="S642" s="127">
        <v>1.2</v>
      </c>
      <c r="T642" s="121" t="s">
        <v>26</v>
      </c>
      <c r="U642" s="89">
        <v>450</v>
      </c>
      <c r="V642" s="126" t="s">
        <v>26</v>
      </c>
      <c r="AC642" s="33"/>
      <c r="AD642" s="33"/>
      <c r="AE642" s="33"/>
    </row>
    <row r="643" spans="1:31">
      <c r="A643" s="26" t="s">
        <v>675</v>
      </c>
      <c r="B643" s="8" t="s">
        <v>211</v>
      </c>
      <c r="C643" s="8" t="s">
        <v>22</v>
      </c>
      <c r="D643" s="3" t="s">
        <v>23</v>
      </c>
      <c r="E643" s="23" t="s">
        <v>27</v>
      </c>
      <c r="F643" s="16" t="s">
        <v>616</v>
      </c>
      <c r="G643" s="118">
        <v>114</v>
      </c>
      <c r="H643" s="118">
        <v>32.5</v>
      </c>
      <c r="I643" s="118">
        <v>2.8</v>
      </c>
      <c r="J643" s="118">
        <v>0.7</v>
      </c>
      <c r="K643" s="118">
        <v>0.4</v>
      </c>
      <c r="L643" s="119" t="s">
        <v>26</v>
      </c>
      <c r="M643" s="118">
        <v>0.5</v>
      </c>
      <c r="N643" s="119" t="s">
        <v>26</v>
      </c>
      <c r="O643" s="118">
        <v>3.5</v>
      </c>
      <c r="P643" s="118">
        <v>1.5</v>
      </c>
      <c r="Q643" s="118">
        <v>2.4</v>
      </c>
      <c r="R643" s="118">
        <v>1.6</v>
      </c>
      <c r="S643" s="127">
        <v>2.9</v>
      </c>
      <c r="T643" s="121" t="s">
        <v>26</v>
      </c>
      <c r="U643" s="89">
        <v>36</v>
      </c>
      <c r="V643" s="126" t="s">
        <v>26</v>
      </c>
      <c r="AC643" s="33"/>
      <c r="AD643" s="33"/>
      <c r="AE643" s="33"/>
    </row>
    <row r="644" spans="1:31">
      <c r="A644" s="26" t="s">
        <v>675</v>
      </c>
      <c r="B644" s="8" t="s">
        <v>211</v>
      </c>
      <c r="C644" s="8" t="s">
        <v>22</v>
      </c>
      <c r="D644" s="3" t="s">
        <v>23</v>
      </c>
      <c r="E644" s="23" t="s">
        <v>29</v>
      </c>
      <c r="F644" s="16" t="s">
        <v>681</v>
      </c>
      <c r="G644" s="118">
        <v>45</v>
      </c>
      <c r="H644" s="118">
        <v>8.5</v>
      </c>
      <c r="I644" s="118">
        <v>1.6</v>
      </c>
      <c r="J644" s="118">
        <v>3.58</v>
      </c>
      <c r="K644" s="119" t="s">
        <v>26</v>
      </c>
      <c r="L644" s="119" t="s">
        <v>26</v>
      </c>
      <c r="M644" s="118">
        <v>0.9</v>
      </c>
      <c r="N644" s="119" t="s">
        <v>26</v>
      </c>
      <c r="O644" s="118">
        <v>3.9</v>
      </c>
      <c r="P644" s="118">
        <v>2.4</v>
      </c>
      <c r="Q644" s="119" t="s">
        <v>26</v>
      </c>
      <c r="R644" s="119" t="s">
        <v>26</v>
      </c>
      <c r="S644" s="127">
        <v>3.1</v>
      </c>
      <c r="T644" s="121" t="s">
        <v>26</v>
      </c>
      <c r="U644" s="89">
        <v>1100</v>
      </c>
      <c r="V644" s="126" t="s">
        <v>26</v>
      </c>
      <c r="AC644" s="33"/>
      <c r="AD644" s="33"/>
      <c r="AE644" s="33"/>
    </row>
    <row r="645" spans="1:31">
      <c r="A645" s="26" t="s">
        <v>675</v>
      </c>
      <c r="B645" s="8" t="s">
        <v>211</v>
      </c>
      <c r="C645" s="8" t="s">
        <v>22</v>
      </c>
      <c r="D645" s="3" t="s">
        <v>23</v>
      </c>
      <c r="E645" s="23" t="s">
        <v>31</v>
      </c>
      <c r="F645" s="16" t="s">
        <v>682</v>
      </c>
      <c r="G645" s="118">
        <v>15</v>
      </c>
      <c r="H645" s="119" t="s">
        <v>26</v>
      </c>
      <c r="I645" s="118">
        <v>0.8</v>
      </c>
      <c r="J645" s="118">
        <v>19.600000000000001</v>
      </c>
      <c r="K645" s="119" t="s">
        <v>26</v>
      </c>
      <c r="L645" s="119" t="s">
        <v>26</v>
      </c>
      <c r="M645" s="119" t="s">
        <v>26</v>
      </c>
      <c r="N645" s="119" t="s">
        <v>26</v>
      </c>
      <c r="O645" s="118">
        <v>3</v>
      </c>
      <c r="P645" s="118">
        <v>2.8</v>
      </c>
      <c r="Q645" s="119" t="s">
        <v>26</v>
      </c>
      <c r="R645" s="119" t="s">
        <v>26</v>
      </c>
      <c r="S645" s="127">
        <v>4.8</v>
      </c>
      <c r="T645" s="121" t="s">
        <v>26</v>
      </c>
      <c r="U645" s="89">
        <v>1169</v>
      </c>
      <c r="V645" s="126" t="s">
        <v>26</v>
      </c>
      <c r="AC645" s="33"/>
      <c r="AD645" s="33"/>
      <c r="AE645" s="33"/>
    </row>
    <row r="646" spans="1:31">
      <c r="A646" s="26" t="s">
        <v>675</v>
      </c>
      <c r="B646" s="8" t="s">
        <v>211</v>
      </c>
      <c r="C646" s="8" t="s">
        <v>22</v>
      </c>
      <c r="D646" s="3" t="s">
        <v>23</v>
      </c>
      <c r="E646" s="25" t="s">
        <v>131</v>
      </c>
      <c r="F646" s="16" t="s">
        <v>683</v>
      </c>
      <c r="G646" s="118">
        <v>13</v>
      </c>
      <c r="H646" s="118">
        <v>36.9</v>
      </c>
      <c r="I646" s="118">
        <v>12.5</v>
      </c>
      <c r="J646" s="118">
        <v>12.7</v>
      </c>
      <c r="K646" s="119" t="s">
        <v>26</v>
      </c>
      <c r="L646" s="119" t="s">
        <v>26</v>
      </c>
      <c r="M646" s="119" t="s">
        <v>26</v>
      </c>
      <c r="N646" s="119" t="s">
        <v>26</v>
      </c>
      <c r="O646" s="125" t="s">
        <v>26</v>
      </c>
      <c r="P646" s="119" t="s">
        <v>26</v>
      </c>
      <c r="Q646" s="119" t="s">
        <v>26</v>
      </c>
      <c r="R646" s="119" t="s">
        <v>26</v>
      </c>
      <c r="S646" s="127">
        <v>4.5</v>
      </c>
      <c r="T646" s="121" t="s">
        <v>26</v>
      </c>
      <c r="U646" s="89">
        <v>1122</v>
      </c>
      <c r="V646" s="126" t="s">
        <v>26</v>
      </c>
      <c r="AC646" s="33"/>
      <c r="AD646" s="33"/>
      <c r="AE646" s="33"/>
    </row>
    <row r="647" spans="1:31">
      <c r="A647" s="26" t="s">
        <v>675</v>
      </c>
      <c r="B647" s="8" t="s">
        <v>684</v>
      </c>
      <c r="C647" s="8" t="s">
        <v>22</v>
      </c>
      <c r="D647" s="8" t="s">
        <v>109</v>
      </c>
      <c r="E647" s="23" t="s">
        <v>24</v>
      </c>
      <c r="F647" s="16" t="s">
        <v>685</v>
      </c>
      <c r="G647" s="118">
        <v>246</v>
      </c>
      <c r="H647" s="118">
        <v>12.5</v>
      </c>
      <c r="I647" s="119" t="s">
        <v>26</v>
      </c>
      <c r="J647" s="119" t="s">
        <v>26</v>
      </c>
      <c r="K647" s="119" t="s">
        <v>26</v>
      </c>
      <c r="L647" s="119" t="s">
        <v>26</v>
      </c>
      <c r="M647" s="118">
        <v>0.4</v>
      </c>
      <c r="N647" s="119" t="s">
        <v>26</v>
      </c>
      <c r="O647" s="118">
        <v>0.8</v>
      </c>
      <c r="P647" s="118">
        <v>0.6</v>
      </c>
      <c r="Q647" s="118">
        <v>0.6</v>
      </c>
      <c r="R647" s="118">
        <v>0.7</v>
      </c>
      <c r="S647" s="127">
        <v>0.7</v>
      </c>
      <c r="T647" s="121" t="s">
        <v>26</v>
      </c>
      <c r="U647" s="130">
        <v>36</v>
      </c>
      <c r="V647" s="126" t="s">
        <v>26</v>
      </c>
      <c r="AC647" s="33"/>
      <c r="AD647" s="33"/>
      <c r="AE647" s="33"/>
    </row>
    <row r="648" spans="1:31">
      <c r="A648" s="26" t="s">
        <v>675</v>
      </c>
      <c r="B648" s="8" t="s">
        <v>684</v>
      </c>
      <c r="C648" s="8" t="s">
        <v>22</v>
      </c>
      <c r="D648" s="8" t="s">
        <v>109</v>
      </c>
      <c r="E648" s="23" t="s">
        <v>27</v>
      </c>
      <c r="F648" s="16" t="s">
        <v>686</v>
      </c>
      <c r="G648" s="118">
        <v>106</v>
      </c>
      <c r="H648" s="118">
        <v>34.5</v>
      </c>
      <c r="I648" s="118">
        <v>1.8</v>
      </c>
      <c r="J648" s="118">
        <v>0.6</v>
      </c>
      <c r="K648" s="119" t="s">
        <v>26</v>
      </c>
      <c r="L648" s="119" t="s">
        <v>26</v>
      </c>
      <c r="M648" s="118">
        <v>0.5</v>
      </c>
      <c r="N648" s="119" t="s">
        <v>26</v>
      </c>
      <c r="O648" s="118">
        <v>3.7</v>
      </c>
      <c r="P648" s="118">
        <v>1.9</v>
      </c>
      <c r="Q648" s="119" t="s">
        <v>26</v>
      </c>
      <c r="R648" s="119" t="s">
        <v>26</v>
      </c>
      <c r="S648" s="127">
        <v>3.9</v>
      </c>
      <c r="T648" s="121" t="s">
        <v>26</v>
      </c>
      <c r="U648" s="130">
        <v>56</v>
      </c>
      <c r="V648" s="126" t="s">
        <v>26</v>
      </c>
      <c r="AC648" s="33"/>
      <c r="AD648" s="33"/>
      <c r="AE648" s="33"/>
    </row>
    <row r="649" spans="1:31">
      <c r="A649" s="26" t="s">
        <v>675</v>
      </c>
      <c r="B649" s="8" t="s">
        <v>684</v>
      </c>
      <c r="C649" s="8" t="s">
        <v>22</v>
      </c>
      <c r="D649" s="8" t="s">
        <v>109</v>
      </c>
      <c r="E649" s="23" t="s">
        <v>29</v>
      </c>
      <c r="F649" s="16" t="s">
        <v>687</v>
      </c>
      <c r="G649" s="118">
        <v>34</v>
      </c>
      <c r="H649" s="118">
        <v>38.5</v>
      </c>
      <c r="I649" s="118">
        <v>7.2</v>
      </c>
      <c r="J649" s="118">
        <v>1.8</v>
      </c>
      <c r="K649" s="119" t="s">
        <v>26</v>
      </c>
      <c r="L649" s="119" t="s">
        <v>26</v>
      </c>
      <c r="M649" s="118">
        <v>1.2</v>
      </c>
      <c r="N649" s="119" t="s">
        <v>26</v>
      </c>
      <c r="O649" s="118">
        <v>4.0999999999999996</v>
      </c>
      <c r="P649" s="118">
        <v>2.5</v>
      </c>
      <c r="Q649" s="119" t="s">
        <v>26</v>
      </c>
      <c r="R649" s="119" t="s">
        <v>26</v>
      </c>
      <c r="S649" s="127">
        <v>7.5</v>
      </c>
      <c r="T649" s="121" t="s">
        <v>26</v>
      </c>
      <c r="U649" s="130">
        <v>860</v>
      </c>
      <c r="V649" s="126" t="s">
        <v>26</v>
      </c>
      <c r="AC649" s="33"/>
      <c r="AD649" s="33"/>
      <c r="AE649" s="33"/>
    </row>
    <row r="650" spans="1:31">
      <c r="A650" s="26" t="s">
        <v>675</v>
      </c>
      <c r="B650" s="8" t="s">
        <v>684</v>
      </c>
      <c r="C650" s="8" t="s">
        <v>22</v>
      </c>
      <c r="D650" s="8" t="s">
        <v>109</v>
      </c>
      <c r="E650" s="23" t="s">
        <v>31</v>
      </c>
      <c r="F650" s="16" t="s">
        <v>688</v>
      </c>
      <c r="G650" s="118">
        <v>13</v>
      </c>
      <c r="H650" s="119" t="s">
        <v>26</v>
      </c>
      <c r="I650" s="119" t="s">
        <v>26</v>
      </c>
      <c r="J650" s="118">
        <v>18.100000000000001</v>
      </c>
      <c r="K650" s="119" t="s">
        <v>26</v>
      </c>
      <c r="L650" s="119" t="s">
        <v>26</v>
      </c>
      <c r="M650" s="119" t="s">
        <v>26</v>
      </c>
      <c r="N650" s="119" t="s">
        <v>26</v>
      </c>
      <c r="O650" s="118">
        <v>4.5</v>
      </c>
      <c r="P650" s="118">
        <v>3.1</v>
      </c>
      <c r="Q650" s="119" t="s">
        <v>26</v>
      </c>
      <c r="R650" s="119" t="s">
        <v>26</v>
      </c>
      <c r="S650" s="127">
        <v>12.5</v>
      </c>
      <c r="T650" s="121" t="s">
        <v>26</v>
      </c>
      <c r="U650" s="130">
        <v>1255</v>
      </c>
      <c r="V650" s="126" t="s">
        <v>26</v>
      </c>
      <c r="AC650" s="33"/>
      <c r="AD650" s="33"/>
      <c r="AE650" s="33"/>
    </row>
    <row r="651" spans="1:31">
      <c r="A651" s="26" t="s">
        <v>675</v>
      </c>
      <c r="B651" s="8" t="s">
        <v>580</v>
      </c>
      <c r="C651" s="8" t="s">
        <v>22</v>
      </c>
      <c r="D651" s="3" t="s">
        <v>23</v>
      </c>
      <c r="E651" s="23" t="s">
        <v>24</v>
      </c>
      <c r="F651" s="16" t="s">
        <v>689</v>
      </c>
      <c r="G651" s="118">
        <v>258</v>
      </c>
      <c r="H651" s="118">
        <v>9.5</v>
      </c>
      <c r="I651" s="119" t="s">
        <v>26</v>
      </c>
      <c r="J651" s="119" t="s">
        <v>26</v>
      </c>
      <c r="K651" s="119" t="s">
        <v>26</v>
      </c>
      <c r="L651" s="119" t="s">
        <v>26</v>
      </c>
      <c r="M651" s="118">
        <v>0.7</v>
      </c>
      <c r="N651" s="119" t="s">
        <v>26</v>
      </c>
      <c r="O651" s="125" t="s">
        <v>26</v>
      </c>
      <c r="P651" s="119" t="s">
        <v>26</v>
      </c>
      <c r="Q651" s="118">
        <v>2.4</v>
      </c>
      <c r="R651" s="118">
        <v>1.1000000000000001</v>
      </c>
      <c r="S651" s="120" t="s">
        <v>26</v>
      </c>
      <c r="T651" s="121" t="s">
        <v>26</v>
      </c>
      <c r="U651" s="89">
        <v>288</v>
      </c>
      <c r="V651" s="126" t="s">
        <v>26</v>
      </c>
      <c r="AC651" s="33"/>
      <c r="AD651" s="33"/>
      <c r="AE651" s="33"/>
    </row>
    <row r="652" spans="1:31">
      <c r="A652" s="26" t="s">
        <v>675</v>
      </c>
      <c r="B652" s="8" t="s">
        <v>580</v>
      </c>
      <c r="C652" s="8" t="s">
        <v>22</v>
      </c>
      <c r="D652" s="3" t="s">
        <v>23</v>
      </c>
      <c r="E652" s="23" t="s">
        <v>27</v>
      </c>
      <c r="F652" s="16" t="s">
        <v>690</v>
      </c>
      <c r="G652" s="118">
        <v>110</v>
      </c>
      <c r="H652" s="118">
        <v>31.9</v>
      </c>
      <c r="I652" s="118">
        <v>1.4</v>
      </c>
      <c r="J652" s="119" t="s">
        <v>26</v>
      </c>
      <c r="K652" s="119" t="s">
        <v>26</v>
      </c>
      <c r="L652" s="119" t="s">
        <v>26</v>
      </c>
      <c r="M652" s="118">
        <v>0.9</v>
      </c>
      <c r="N652" s="119" t="s">
        <v>26</v>
      </c>
      <c r="O652" s="118">
        <v>2.4</v>
      </c>
      <c r="P652" s="118">
        <v>0.9</v>
      </c>
      <c r="Q652" s="119" t="s">
        <v>26</v>
      </c>
      <c r="R652" s="119" t="s">
        <v>26</v>
      </c>
      <c r="S652" s="127">
        <v>1.3</v>
      </c>
      <c r="T652" s="121" t="s">
        <v>26</v>
      </c>
      <c r="U652" s="89">
        <v>76</v>
      </c>
      <c r="V652" s="126" t="s">
        <v>26</v>
      </c>
      <c r="AC652" s="33"/>
      <c r="AD652" s="33"/>
      <c r="AE652" s="33"/>
    </row>
    <row r="653" spans="1:31">
      <c r="A653" s="26" t="s">
        <v>675</v>
      </c>
      <c r="B653" s="8" t="s">
        <v>580</v>
      </c>
      <c r="C653" s="8" t="s">
        <v>22</v>
      </c>
      <c r="D653" s="3" t="s">
        <v>23</v>
      </c>
      <c r="E653" s="23" t="s">
        <v>29</v>
      </c>
      <c r="F653" s="16" t="s">
        <v>470</v>
      </c>
      <c r="G653" s="118">
        <v>45</v>
      </c>
      <c r="H653" s="118">
        <v>7</v>
      </c>
      <c r="I653" s="118">
        <v>13.5</v>
      </c>
      <c r="J653" s="118">
        <v>1.6</v>
      </c>
      <c r="K653" s="118">
        <v>0.9</v>
      </c>
      <c r="L653" s="119" t="s">
        <v>26</v>
      </c>
      <c r="M653" s="118">
        <v>0.8</v>
      </c>
      <c r="N653" s="119" t="s">
        <v>26</v>
      </c>
      <c r="O653" s="118">
        <v>3</v>
      </c>
      <c r="P653" s="118">
        <v>0.5</v>
      </c>
      <c r="Q653" s="119" t="s">
        <v>26</v>
      </c>
      <c r="R653" s="119" t="s">
        <v>26</v>
      </c>
      <c r="S653" s="127">
        <v>4</v>
      </c>
      <c r="T653" s="121" t="s">
        <v>26</v>
      </c>
      <c r="U653" s="89">
        <v>220</v>
      </c>
      <c r="V653" s="126" t="s">
        <v>26</v>
      </c>
      <c r="AC653" s="33"/>
      <c r="AD653" s="33"/>
      <c r="AE653" s="33"/>
    </row>
    <row r="654" spans="1:31">
      <c r="A654" s="26" t="s">
        <v>675</v>
      </c>
      <c r="B654" s="8" t="s">
        <v>580</v>
      </c>
      <c r="C654" s="8" t="s">
        <v>22</v>
      </c>
      <c r="D654" s="3" t="s">
        <v>23</v>
      </c>
      <c r="E654" s="23" t="s">
        <v>31</v>
      </c>
      <c r="F654" s="16" t="s">
        <v>30</v>
      </c>
      <c r="G654" s="118">
        <v>15</v>
      </c>
      <c r="H654" s="119" t="s">
        <v>26</v>
      </c>
      <c r="I654" s="118">
        <v>3.1</v>
      </c>
      <c r="J654" s="118">
        <v>17.2</v>
      </c>
      <c r="K654" s="119" t="s">
        <v>26</v>
      </c>
      <c r="L654" s="119" t="s">
        <v>26</v>
      </c>
      <c r="M654" s="119" t="s">
        <v>26</v>
      </c>
      <c r="N654" s="119" t="s">
        <v>26</v>
      </c>
      <c r="O654" s="118">
        <v>2.6</v>
      </c>
      <c r="P654" s="119" t="s">
        <v>26</v>
      </c>
      <c r="Q654" s="119" t="s">
        <v>26</v>
      </c>
      <c r="R654" s="119" t="s">
        <v>26</v>
      </c>
      <c r="S654" s="127">
        <v>6.5</v>
      </c>
      <c r="T654" s="121" t="s">
        <v>26</v>
      </c>
      <c r="U654" s="89">
        <v>718</v>
      </c>
      <c r="V654" s="126" t="s">
        <v>26</v>
      </c>
      <c r="AC654" s="33"/>
      <c r="AD654" s="33"/>
      <c r="AE654" s="33"/>
    </row>
    <row r="655" spans="1:31">
      <c r="A655" s="26" t="s">
        <v>675</v>
      </c>
      <c r="B655" s="8" t="s">
        <v>580</v>
      </c>
      <c r="C655" s="8" t="s">
        <v>22</v>
      </c>
      <c r="D655" s="3" t="s">
        <v>23</v>
      </c>
      <c r="E655" s="25" t="s">
        <v>131</v>
      </c>
      <c r="F655" s="16" t="s">
        <v>691</v>
      </c>
      <c r="G655" s="118">
        <v>10</v>
      </c>
      <c r="H655" s="118">
        <v>52</v>
      </c>
      <c r="I655" s="118">
        <v>1.7</v>
      </c>
      <c r="J655" s="118">
        <v>14.8</v>
      </c>
      <c r="K655" s="119" t="s">
        <v>26</v>
      </c>
      <c r="L655" s="119" t="s">
        <v>26</v>
      </c>
      <c r="M655" s="119" t="s">
        <v>26</v>
      </c>
      <c r="N655" s="119" t="s">
        <v>26</v>
      </c>
      <c r="O655" s="125" t="s">
        <v>26</v>
      </c>
      <c r="P655" s="119" t="s">
        <v>26</v>
      </c>
      <c r="Q655" s="119" t="s">
        <v>26</v>
      </c>
      <c r="R655" s="119" t="s">
        <v>26</v>
      </c>
      <c r="S655" s="127">
        <v>4.4000000000000004</v>
      </c>
      <c r="T655" s="121" t="s">
        <v>26</v>
      </c>
      <c r="U655" s="89">
        <v>870</v>
      </c>
      <c r="V655" s="126" t="s">
        <v>26</v>
      </c>
      <c r="AC655" s="33"/>
      <c r="AD655" s="33"/>
      <c r="AE655" s="33"/>
    </row>
    <row r="656" spans="1:31">
      <c r="A656" s="26" t="s">
        <v>675</v>
      </c>
      <c r="B656" s="8" t="s">
        <v>344</v>
      </c>
      <c r="C656" s="8" t="s">
        <v>22</v>
      </c>
      <c r="D656" s="3" t="s">
        <v>33</v>
      </c>
      <c r="E656" s="23" t="s">
        <v>24</v>
      </c>
      <c r="F656" s="16" t="s">
        <v>692</v>
      </c>
      <c r="G656" s="118">
        <v>188</v>
      </c>
      <c r="H656" s="118">
        <v>33.5</v>
      </c>
      <c r="I656" s="119" t="s">
        <v>26</v>
      </c>
      <c r="J656" s="119" t="s">
        <v>26</v>
      </c>
      <c r="K656" s="119" t="s">
        <v>26</v>
      </c>
      <c r="L656" s="119" t="s">
        <v>26</v>
      </c>
      <c r="M656" s="118">
        <v>0.5</v>
      </c>
      <c r="N656" s="119" t="s">
        <v>26</v>
      </c>
      <c r="O656" s="125" t="s">
        <v>26</v>
      </c>
      <c r="P656" s="119" t="s">
        <v>26</v>
      </c>
      <c r="Q656" s="119" t="s">
        <v>26</v>
      </c>
      <c r="R656" s="118">
        <v>1.4</v>
      </c>
      <c r="S656" s="127">
        <v>0.9</v>
      </c>
      <c r="T656" s="121" t="s">
        <v>26</v>
      </c>
      <c r="U656" s="130">
        <v>72</v>
      </c>
      <c r="V656" s="126" t="s">
        <v>26</v>
      </c>
      <c r="AC656" s="33"/>
      <c r="AD656" s="33"/>
      <c r="AE656" s="33"/>
    </row>
    <row r="657" spans="1:31">
      <c r="A657" s="26" t="s">
        <v>675</v>
      </c>
      <c r="B657" s="8" t="s">
        <v>344</v>
      </c>
      <c r="C657" s="8" t="s">
        <v>22</v>
      </c>
      <c r="D657" s="3" t="s">
        <v>33</v>
      </c>
      <c r="E657" s="23" t="s">
        <v>27</v>
      </c>
      <c r="F657" s="16" t="s">
        <v>693</v>
      </c>
      <c r="G657" s="118">
        <v>94</v>
      </c>
      <c r="H657" s="118">
        <v>47.5</v>
      </c>
      <c r="I657" s="118">
        <v>0.8</v>
      </c>
      <c r="J657" s="119" t="s">
        <v>26</v>
      </c>
      <c r="K657" s="119" t="s">
        <v>26</v>
      </c>
      <c r="L657" s="118">
        <v>0.5</v>
      </c>
      <c r="M657" s="118">
        <v>0.6</v>
      </c>
      <c r="N657" s="119" t="s">
        <v>26</v>
      </c>
      <c r="O657" s="118">
        <v>2.5</v>
      </c>
      <c r="P657" s="119" t="s">
        <v>26</v>
      </c>
      <c r="Q657" s="119" t="s">
        <v>26</v>
      </c>
      <c r="R657" s="118">
        <v>1.1000000000000001</v>
      </c>
      <c r="S657" s="127">
        <v>2.2000000000000002</v>
      </c>
      <c r="T657" s="121" t="s">
        <v>26</v>
      </c>
      <c r="U657" s="130">
        <v>114</v>
      </c>
      <c r="V657" s="126" t="s">
        <v>26</v>
      </c>
      <c r="AC657" s="33"/>
      <c r="AD657" s="33"/>
      <c r="AE657" s="33"/>
    </row>
    <row r="658" spans="1:31">
      <c r="A658" s="26" t="s">
        <v>675</v>
      </c>
      <c r="B658" s="8" t="s">
        <v>344</v>
      </c>
      <c r="C658" s="8" t="s">
        <v>22</v>
      </c>
      <c r="D658" s="3" t="s">
        <v>33</v>
      </c>
      <c r="E658" s="23" t="s">
        <v>29</v>
      </c>
      <c r="F658" s="16" t="s">
        <v>694</v>
      </c>
      <c r="G658" s="118">
        <v>39</v>
      </c>
      <c r="H658" s="118">
        <v>26.5</v>
      </c>
      <c r="I658" s="118">
        <v>7.9</v>
      </c>
      <c r="J658" s="118">
        <v>1.67</v>
      </c>
      <c r="K658" s="119" t="s">
        <v>26</v>
      </c>
      <c r="L658" s="118">
        <v>0.4</v>
      </c>
      <c r="M658" s="118">
        <v>0.9</v>
      </c>
      <c r="N658" s="119" t="s">
        <v>26</v>
      </c>
      <c r="O658" s="118">
        <v>2</v>
      </c>
      <c r="P658" s="119" t="s">
        <v>26</v>
      </c>
      <c r="Q658" s="119" t="s">
        <v>26</v>
      </c>
      <c r="R658" s="118">
        <v>1.3</v>
      </c>
      <c r="S658" s="127">
        <v>4.5999999999999996</v>
      </c>
      <c r="T658" s="121" t="s">
        <v>26</v>
      </c>
      <c r="U658" s="130">
        <v>20</v>
      </c>
      <c r="V658" s="126" t="s">
        <v>26</v>
      </c>
      <c r="AC658" s="33"/>
      <c r="AD658" s="33"/>
      <c r="AE658" s="33"/>
    </row>
    <row r="659" spans="1:31">
      <c r="A659" s="26" t="s">
        <v>675</v>
      </c>
      <c r="B659" s="8" t="s">
        <v>344</v>
      </c>
      <c r="C659" s="8" t="s">
        <v>22</v>
      </c>
      <c r="D659" s="3" t="s">
        <v>33</v>
      </c>
      <c r="E659" s="23" t="s">
        <v>31</v>
      </c>
      <c r="F659" s="16" t="s">
        <v>695</v>
      </c>
      <c r="G659" s="118">
        <v>17</v>
      </c>
      <c r="H659" s="119" t="s">
        <v>26</v>
      </c>
      <c r="I659" s="118">
        <v>4.5</v>
      </c>
      <c r="J659" s="118">
        <v>16.5</v>
      </c>
      <c r="K659" s="119" t="s">
        <v>26</v>
      </c>
      <c r="L659" s="119" t="s">
        <v>26</v>
      </c>
      <c r="M659" s="119" t="s">
        <v>26</v>
      </c>
      <c r="N659" s="119" t="s">
        <v>26</v>
      </c>
      <c r="O659" s="125" t="s">
        <v>26</v>
      </c>
      <c r="P659" s="119" t="s">
        <v>26</v>
      </c>
      <c r="Q659" s="119" t="s">
        <v>26</v>
      </c>
      <c r="R659" s="119" t="s">
        <v>26</v>
      </c>
      <c r="S659" s="127">
        <v>5.9</v>
      </c>
      <c r="T659" s="121" t="s">
        <v>26</v>
      </c>
      <c r="U659" s="133">
        <v>1044</v>
      </c>
      <c r="V659" s="126" t="s">
        <v>26</v>
      </c>
      <c r="AC659" s="33"/>
      <c r="AD659" s="33"/>
      <c r="AE659" s="33"/>
    </row>
    <row r="660" spans="1:31">
      <c r="A660" s="26" t="s">
        <v>675</v>
      </c>
      <c r="B660" s="8" t="s">
        <v>98</v>
      </c>
      <c r="C660" s="8" t="s">
        <v>22</v>
      </c>
      <c r="D660" s="8" t="s">
        <v>109</v>
      </c>
      <c r="E660" s="23" t="s">
        <v>24</v>
      </c>
      <c r="F660" s="16" t="s">
        <v>696</v>
      </c>
      <c r="G660" s="118">
        <v>232</v>
      </c>
      <c r="H660" s="118">
        <v>18.5</v>
      </c>
      <c r="I660" s="119" t="s">
        <v>26</v>
      </c>
      <c r="J660" s="119" t="s">
        <v>26</v>
      </c>
      <c r="K660" s="119" t="s">
        <v>26</v>
      </c>
      <c r="L660" s="118">
        <v>0.4</v>
      </c>
      <c r="M660" s="118">
        <v>0.4</v>
      </c>
      <c r="N660" s="119" t="s">
        <v>26</v>
      </c>
      <c r="O660" s="118">
        <v>1.8</v>
      </c>
      <c r="P660" s="119" t="s">
        <v>26</v>
      </c>
      <c r="Q660" s="119" t="s">
        <v>26</v>
      </c>
      <c r="R660" s="118">
        <v>0.6</v>
      </c>
      <c r="S660" s="127">
        <v>1.5</v>
      </c>
      <c r="T660" s="121" t="s">
        <v>26</v>
      </c>
      <c r="U660" s="130">
        <v>180</v>
      </c>
      <c r="V660" s="126" t="s">
        <v>26</v>
      </c>
      <c r="AC660" s="33"/>
      <c r="AD660" s="33"/>
      <c r="AE660" s="33"/>
    </row>
    <row r="661" spans="1:31">
      <c r="A661" s="26" t="s">
        <v>675</v>
      </c>
      <c r="B661" s="8" t="s">
        <v>98</v>
      </c>
      <c r="C661" s="8" t="s">
        <v>22</v>
      </c>
      <c r="D661" s="8" t="s">
        <v>109</v>
      </c>
      <c r="E661" s="23" t="s">
        <v>27</v>
      </c>
      <c r="F661" s="16" t="s">
        <v>697</v>
      </c>
      <c r="G661" s="118">
        <v>78</v>
      </c>
      <c r="H661" s="118">
        <v>56.9</v>
      </c>
      <c r="I661" s="119" t="s">
        <v>26</v>
      </c>
      <c r="J661" s="119" t="s">
        <v>26</v>
      </c>
      <c r="K661" s="119" t="s">
        <v>26</v>
      </c>
      <c r="L661" s="118">
        <v>0.5</v>
      </c>
      <c r="M661" s="118">
        <v>0.5</v>
      </c>
      <c r="N661" s="119" t="s">
        <v>26</v>
      </c>
      <c r="O661" s="118">
        <v>2.8</v>
      </c>
      <c r="P661" s="119" t="s">
        <v>26</v>
      </c>
      <c r="Q661" s="119" t="s">
        <v>26</v>
      </c>
      <c r="R661" s="119" t="s">
        <v>26</v>
      </c>
      <c r="S661" s="127">
        <v>2.2000000000000002</v>
      </c>
      <c r="T661" s="121" t="s">
        <v>26</v>
      </c>
      <c r="U661" s="130">
        <v>56</v>
      </c>
      <c r="V661" s="126" t="s">
        <v>26</v>
      </c>
      <c r="AC661" s="33"/>
      <c r="AD661" s="33"/>
      <c r="AE661" s="33"/>
    </row>
    <row r="662" spans="1:31">
      <c r="A662" s="26" t="s">
        <v>675</v>
      </c>
      <c r="B662" s="8" t="s">
        <v>98</v>
      </c>
      <c r="C662" s="8" t="s">
        <v>22</v>
      </c>
      <c r="D662" s="8" t="s">
        <v>109</v>
      </c>
      <c r="E662" s="23" t="s">
        <v>29</v>
      </c>
      <c r="F662" s="16" t="s">
        <v>698</v>
      </c>
      <c r="G662" s="118">
        <v>35</v>
      </c>
      <c r="H662" s="118">
        <v>40.5</v>
      </c>
      <c r="I662" s="118">
        <v>3.6</v>
      </c>
      <c r="J662" s="118">
        <v>1.4</v>
      </c>
      <c r="K662" s="119" t="s">
        <v>26</v>
      </c>
      <c r="L662" s="118">
        <v>0.6</v>
      </c>
      <c r="M662" s="118">
        <v>0.7</v>
      </c>
      <c r="N662" s="119" t="s">
        <v>26</v>
      </c>
      <c r="O662" s="118">
        <v>4.8</v>
      </c>
      <c r="P662" s="119" t="s">
        <v>26</v>
      </c>
      <c r="Q662" s="119" t="s">
        <v>26</v>
      </c>
      <c r="R662" s="119" t="s">
        <v>26</v>
      </c>
      <c r="S662" s="127">
        <v>6.5</v>
      </c>
      <c r="T662" s="121" t="s">
        <v>26</v>
      </c>
      <c r="U662" s="130">
        <v>360</v>
      </c>
      <c r="V662" s="126" t="s">
        <v>26</v>
      </c>
      <c r="AC662" s="33"/>
      <c r="AD662" s="33"/>
      <c r="AE662" s="33"/>
    </row>
    <row r="663" spans="1:31">
      <c r="A663" s="26" t="s">
        <v>675</v>
      </c>
      <c r="B663" s="8" t="s">
        <v>98</v>
      </c>
      <c r="C663" s="8" t="s">
        <v>22</v>
      </c>
      <c r="D663" s="8" t="s">
        <v>109</v>
      </c>
      <c r="E663" s="23" t="s">
        <v>31</v>
      </c>
      <c r="F663" s="16" t="s">
        <v>699</v>
      </c>
      <c r="G663" s="118">
        <v>14</v>
      </c>
      <c r="H663" s="119" t="s">
        <v>26</v>
      </c>
      <c r="I663" s="119" t="s">
        <v>26</v>
      </c>
      <c r="J663" s="118">
        <v>10.8</v>
      </c>
      <c r="K663" s="119" t="s">
        <v>26</v>
      </c>
      <c r="L663" s="119" t="s">
        <v>26</v>
      </c>
      <c r="M663" s="119" t="s">
        <v>26</v>
      </c>
      <c r="N663" s="119" t="s">
        <v>26</v>
      </c>
      <c r="O663" s="118">
        <v>3.8</v>
      </c>
      <c r="P663" s="119" t="s">
        <v>26</v>
      </c>
      <c r="Q663" s="119" t="s">
        <v>26</v>
      </c>
      <c r="R663" s="119" t="s">
        <v>26</v>
      </c>
      <c r="S663" s="127">
        <v>7.9</v>
      </c>
      <c r="T663" s="121" t="s">
        <v>26</v>
      </c>
      <c r="U663" s="130">
        <v>1251</v>
      </c>
      <c r="V663" s="126" t="s">
        <v>26</v>
      </c>
      <c r="AC663" s="33"/>
      <c r="AD663" s="33"/>
      <c r="AE663" s="33"/>
    </row>
    <row r="664" spans="1:31">
      <c r="A664" s="26" t="s">
        <v>675</v>
      </c>
      <c r="B664" s="8" t="s">
        <v>119</v>
      </c>
      <c r="C664" s="8" t="s">
        <v>22</v>
      </c>
      <c r="D664" s="3" t="s">
        <v>33</v>
      </c>
      <c r="E664" s="23" t="s">
        <v>24</v>
      </c>
      <c r="F664" s="16" t="s">
        <v>700</v>
      </c>
      <c r="G664" s="118">
        <v>218</v>
      </c>
      <c r="H664" s="118">
        <v>28.5</v>
      </c>
      <c r="I664" s="119" t="s">
        <v>26</v>
      </c>
      <c r="J664" s="119" t="s">
        <v>26</v>
      </c>
      <c r="K664" s="119" t="s">
        <v>26</v>
      </c>
      <c r="L664" s="118">
        <v>0.5</v>
      </c>
      <c r="M664" s="118">
        <v>0.5</v>
      </c>
      <c r="N664" s="119" t="s">
        <v>26</v>
      </c>
      <c r="O664" s="125" t="s">
        <v>26</v>
      </c>
      <c r="P664" s="119" t="s">
        <v>26</v>
      </c>
      <c r="Q664" s="119" t="s">
        <v>26</v>
      </c>
      <c r="R664" s="118">
        <v>1</v>
      </c>
      <c r="S664" s="127">
        <v>0.9</v>
      </c>
      <c r="T664" s="121" t="s">
        <v>26</v>
      </c>
      <c r="U664" s="130">
        <v>378</v>
      </c>
      <c r="V664" s="126" t="s">
        <v>26</v>
      </c>
      <c r="AC664" s="33"/>
      <c r="AD664" s="33"/>
      <c r="AE664" s="33"/>
    </row>
    <row r="665" spans="1:31">
      <c r="A665" s="26" t="s">
        <v>675</v>
      </c>
      <c r="B665" s="8" t="s">
        <v>119</v>
      </c>
      <c r="C665" s="8" t="s">
        <v>22</v>
      </c>
      <c r="D665" s="3" t="s">
        <v>33</v>
      </c>
      <c r="E665" s="23" t="s">
        <v>27</v>
      </c>
      <c r="F665" s="16" t="s">
        <v>701</v>
      </c>
      <c r="G665" s="118">
        <v>112</v>
      </c>
      <c r="H665" s="118">
        <v>34.5</v>
      </c>
      <c r="I665" s="118">
        <v>5.9</v>
      </c>
      <c r="J665" s="119" t="s">
        <v>26</v>
      </c>
      <c r="K665" s="119" t="s">
        <v>26</v>
      </c>
      <c r="L665" s="118">
        <v>0.6</v>
      </c>
      <c r="M665" s="118">
        <v>0.9</v>
      </c>
      <c r="N665" s="119" t="s">
        <v>26</v>
      </c>
      <c r="O665" s="118">
        <v>0.8</v>
      </c>
      <c r="P665" s="119" t="s">
        <v>26</v>
      </c>
      <c r="Q665" s="119" t="s">
        <v>26</v>
      </c>
      <c r="R665" s="119" t="s">
        <v>26</v>
      </c>
      <c r="S665" s="127">
        <v>1.2</v>
      </c>
      <c r="T665" s="121" t="s">
        <v>26</v>
      </c>
      <c r="U665" s="130">
        <v>266</v>
      </c>
      <c r="V665" s="126" t="s">
        <v>26</v>
      </c>
      <c r="AC665" s="33"/>
      <c r="AD665" s="33"/>
      <c r="AE665" s="33"/>
    </row>
    <row r="666" spans="1:31">
      <c r="A666" s="26" t="s">
        <v>675</v>
      </c>
      <c r="B666" s="8" t="s">
        <v>119</v>
      </c>
      <c r="C666" s="8" t="s">
        <v>22</v>
      </c>
      <c r="D666" s="3" t="s">
        <v>33</v>
      </c>
      <c r="E666" s="23" t="s">
        <v>29</v>
      </c>
      <c r="F666" s="16" t="s">
        <v>702</v>
      </c>
      <c r="G666" s="118">
        <v>49</v>
      </c>
      <c r="H666" s="118">
        <v>8.5</v>
      </c>
      <c r="I666" s="118">
        <v>12.6</v>
      </c>
      <c r="J666" s="118">
        <v>1.56</v>
      </c>
      <c r="K666" s="119" t="s">
        <v>26</v>
      </c>
      <c r="L666" s="119" t="s">
        <v>26</v>
      </c>
      <c r="M666" s="118">
        <v>0.6</v>
      </c>
      <c r="N666" s="119" t="s">
        <v>26</v>
      </c>
      <c r="O666" s="118">
        <v>2.2000000000000002</v>
      </c>
      <c r="P666" s="118">
        <v>2.5</v>
      </c>
      <c r="Q666" s="119" t="s">
        <v>26</v>
      </c>
      <c r="R666" s="119" t="s">
        <v>26</v>
      </c>
      <c r="S666" s="127">
        <v>4.9000000000000004</v>
      </c>
      <c r="T666" s="121" t="s">
        <v>26</v>
      </c>
      <c r="U666" s="130">
        <v>220</v>
      </c>
      <c r="V666" s="126" t="s">
        <v>26</v>
      </c>
      <c r="AC666" s="33"/>
      <c r="AD666" s="33"/>
      <c r="AE666" s="33"/>
    </row>
    <row r="667" spans="1:31">
      <c r="A667" s="26" t="s">
        <v>675</v>
      </c>
      <c r="B667" s="8" t="s">
        <v>119</v>
      </c>
      <c r="C667" s="8" t="s">
        <v>22</v>
      </c>
      <c r="D667" s="3" t="s">
        <v>33</v>
      </c>
      <c r="E667" s="23" t="s">
        <v>31</v>
      </c>
      <c r="F667" s="16" t="s">
        <v>703</v>
      </c>
      <c r="G667" s="118">
        <v>19</v>
      </c>
      <c r="H667" s="119" t="s">
        <v>26</v>
      </c>
      <c r="I667" s="118">
        <v>7.9</v>
      </c>
      <c r="J667" s="118">
        <v>11.5</v>
      </c>
      <c r="K667" s="119" t="s">
        <v>26</v>
      </c>
      <c r="L667" s="118">
        <v>0.5</v>
      </c>
      <c r="M667" s="119" t="s">
        <v>26</v>
      </c>
      <c r="N667" s="119" t="s">
        <v>26</v>
      </c>
      <c r="O667" s="118">
        <v>1.5</v>
      </c>
      <c r="P667" s="119" t="s">
        <v>26</v>
      </c>
      <c r="Q667" s="119" t="s">
        <v>26</v>
      </c>
      <c r="R667" s="119" t="s">
        <v>26</v>
      </c>
      <c r="S667" s="127">
        <v>6.5</v>
      </c>
      <c r="T667" s="121" t="s">
        <v>26</v>
      </c>
      <c r="U667" s="133">
        <v>545</v>
      </c>
      <c r="V667" s="126" t="s">
        <v>26</v>
      </c>
      <c r="AC667" s="33"/>
      <c r="AD667" s="33"/>
      <c r="AE667" s="33"/>
    </row>
    <row r="668" spans="1:31">
      <c r="A668" s="26" t="s">
        <v>704</v>
      </c>
      <c r="B668" s="8" t="s">
        <v>39</v>
      </c>
      <c r="C668" s="8" t="s">
        <v>22</v>
      </c>
      <c r="D668" s="3" t="s">
        <v>23</v>
      </c>
      <c r="E668" s="23" t="s">
        <v>24</v>
      </c>
      <c r="F668" s="16" t="s">
        <v>705</v>
      </c>
      <c r="G668" s="118">
        <v>215</v>
      </c>
      <c r="H668" s="118">
        <v>14.6</v>
      </c>
      <c r="I668" s="119" t="s">
        <v>26</v>
      </c>
      <c r="J668" s="119" t="s">
        <v>26</v>
      </c>
      <c r="K668" s="119" t="s">
        <v>26</v>
      </c>
      <c r="L668" s="119" t="s">
        <v>26</v>
      </c>
      <c r="M668" s="119" t="s">
        <v>26</v>
      </c>
      <c r="N668" s="119" t="s">
        <v>26</v>
      </c>
      <c r="O668" s="118">
        <v>5.0999999999999996</v>
      </c>
      <c r="P668" s="118">
        <v>1.6</v>
      </c>
      <c r="Q668" s="118">
        <v>3.2</v>
      </c>
      <c r="R668" s="118">
        <v>1.9</v>
      </c>
      <c r="S668" s="127">
        <v>2.6</v>
      </c>
      <c r="T668" s="121" t="s">
        <v>26</v>
      </c>
      <c r="U668" s="89">
        <v>108</v>
      </c>
      <c r="V668" s="89">
        <v>635</v>
      </c>
      <c r="AC668" s="33"/>
      <c r="AD668" s="33"/>
      <c r="AE668" s="33"/>
    </row>
    <row r="669" spans="1:31">
      <c r="A669" s="26" t="s">
        <v>704</v>
      </c>
      <c r="B669" s="8" t="s">
        <v>39</v>
      </c>
      <c r="C669" s="8" t="s">
        <v>22</v>
      </c>
      <c r="D669" s="3" t="s">
        <v>23</v>
      </c>
      <c r="E669" s="23" t="s">
        <v>27</v>
      </c>
      <c r="F669" s="16" t="s">
        <v>363</v>
      </c>
      <c r="G669" s="118">
        <v>109</v>
      </c>
      <c r="H669" s="118">
        <v>14.6</v>
      </c>
      <c r="I669" s="118">
        <v>7.8</v>
      </c>
      <c r="J669" s="118">
        <v>0.8</v>
      </c>
      <c r="K669" s="119" t="s">
        <v>26</v>
      </c>
      <c r="L669" s="119" t="s">
        <v>26</v>
      </c>
      <c r="M669" s="119" t="s">
        <v>26</v>
      </c>
      <c r="N669" s="119" t="s">
        <v>26</v>
      </c>
      <c r="O669" s="118">
        <v>5.7</v>
      </c>
      <c r="P669" s="118">
        <v>1.3</v>
      </c>
      <c r="Q669" s="118">
        <v>3.4</v>
      </c>
      <c r="R669" s="118">
        <v>1.6</v>
      </c>
      <c r="S669" s="120" t="s">
        <v>26</v>
      </c>
      <c r="T669" s="121" t="s">
        <v>26</v>
      </c>
      <c r="U669" s="89">
        <v>95</v>
      </c>
      <c r="V669" s="89">
        <v>242</v>
      </c>
      <c r="AC669" s="33"/>
      <c r="AD669" s="33"/>
      <c r="AE669" s="33"/>
    </row>
    <row r="670" spans="1:31">
      <c r="A670" s="26" t="s">
        <v>704</v>
      </c>
      <c r="B670" s="8" t="s">
        <v>39</v>
      </c>
      <c r="C670" s="8" t="s">
        <v>22</v>
      </c>
      <c r="D670" s="3" t="s">
        <v>23</v>
      </c>
      <c r="E670" s="23" t="s">
        <v>29</v>
      </c>
      <c r="F670" s="16" t="s">
        <v>706</v>
      </c>
      <c r="G670" s="118">
        <v>48</v>
      </c>
      <c r="H670" s="118">
        <v>11.4</v>
      </c>
      <c r="I670" s="118">
        <v>21.4</v>
      </c>
      <c r="J670" s="118">
        <v>1.8</v>
      </c>
      <c r="K670" s="119" t="s">
        <v>26</v>
      </c>
      <c r="L670" s="119" t="s">
        <v>26</v>
      </c>
      <c r="M670" s="119" t="s">
        <v>26</v>
      </c>
      <c r="N670" s="119" t="s">
        <v>26</v>
      </c>
      <c r="O670" s="118">
        <v>5.8</v>
      </c>
      <c r="P670" s="118">
        <v>1.7</v>
      </c>
      <c r="Q670" s="119" t="s">
        <v>26</v>
      </c>
      <c r="R670" s="118">
        <v>1.2</v>
      </c>
      <c r="S670" s="127">
        <v>3.1</v>
      </c>
      <c r="T670" s="128">
        <v>1</v>
      </c>
      <c r="U670" s="89">
        <v>1280</v>
      </c>
      <c r="V670" s="89">
        <v>555</v>
      </c>
      <c r="AC670" s="33"/>
      <c r="AD670" s="33"/>
      <c r="AE670" s="33"/>
    </row>
    <row r="671" spans="1:31">
      <c r="A671" s="26" t="s">
        <v>704</v>
      </c>
      <c r="B671" s="8" t="s">
        <v>39</v>
      </c>
      <c r="C671" s="8" t="s">
        <v>22</v>
      </c>
      <c r="D671" s="3" t="s">
        <v>23</v>
      </c>
      <c r="E671" s="23" t="s">
        <v>31</v>
      </c>
      <c r="F671" s="16" t="s">
        <v>707</v>
      </c>
      <c r="G671" s="118">
        <v>16</v>
      </c>
      <c r="H671" s="118">
        <v>19.399999999999999</v>
      </c>
      <c r="I671" s="118">
        <v>6.9</v>
      </c>
      <c r="J671" s="118">
        <v>8.1</v>
      </c>
      <c r="K671" s="119" t="s">
        <v>26</v>
      </c>
      <c r="L671" s="119" t="s">
        <v>26</v>
      </c>
      <c r="M671" s="119" t="s">
        <v>26</v>
      </c>
      <c r="N671" s="119" t="s">
        <v>26</v>
      </c>
      <c r="O671" s="118">
        <v>4.9000000000000004</v>
      </c>
      <c r="P671" s="118">
        <v>1.9</v>
      </c>
      <c r="Q671" s="119" t="s">
        <v>26</v>
      </c>
      <c r="R671" s="119" t="s">
        <v>26</v>
      </c>
      <c r="S671" s="127">
        <v>5.2</v>
      </c>
      <c r="T671" s="121" t="s">
        <v>26</v>
      </c>
      <c r="U671" s="133">
        <v>1930</v>
      </c>
      <c r="V671" s="89">
        <v>241</v>
      </c>
      <c r="AC671" s="33"/>
      <c r="AD671" s="33"/>
      <c r="AE671" s="33"/>
    </row>
    <row r="672" spans="1:31">
      <c r="A672" s="26" t="s">
        <v>704</v>
      </c>
      <c r="B672" s="8" t="s">
        <v>708</v>
      </c>
      <c r="C672" s="8" t="s">
        <v>22</v>
      </c>
      <c r="D672" s="8" t="s">
        <v>109</v>
      </c>
      <c r="E672" s="23" t="s">
        <v>24</v>
      </c>
      <c r="F672" s="16" t="s">
        <v>709</v>
      </c>
      <c r="G672" s="118">
        <v>238</v>
      </c>
      <c r="H672" s="118">
        <v>20.9</v>
      </c>
      <c r="I672" s="119" t="s">
        <v>26</v>
      </c>
      <c r="J672" s="119" t="s">
        <v>26</v>
      </c>
      <c r="K672" s="118">
        <v>0.3</v>
      </c>
      <c r="L672" s="119" t="s">
        <v>26</v>
      </c>
      <c r="M672" s="118">
        <v>0.4</v>
      </c>
      <c r="N672" s="119" t="s">
        <v>26</v>
      </c>
      <c r="O672" s="118">
        <v>1.9</v>
      </c>
      <c r="P672" s="118">
        <v>1</v>
      </c>
      <c r="Q672" s="118">
        <v>2</v>
      </c>
      <c r="R672" s="118">
        <v>1.4</v>
      </c>
      <c r="S672" s="127">
        <v>1.8</v>
      </c>
      <c r="T672" s="121" t="s">
        <v>26</v>
      </c>
      <c r="U672" s="130">
        <v>144</v>
      </c>
      <c r="V672" s="126" t="s">
        <v>26</v>
      </c>
      <c r="AC672" s="33"/>
      <c r="AD672" s="33"/>
      <c r="AE672" s="33"/>
    </row>
    <row r="673" spans="1:31">
      <c r="A673" s="26" t="s">
        <v>704</v>
      </c>
      <c r="B673" s="8" t="s">
        <v>708</v>
      </c>
      <c r="C673" s="8" t="s">
        <v>22</v>
      </c>
      <c r="D673" s="8" t="s">
        <v>109</v>
      </c>
      <c r="E673" s="23" t="s">
        <v>27</v>
      </c>
      <c r="F673" s="16" t="s">
        <v>630</v>
      </c>
      <c r="G673" s="118">
        <v>110</v>
      </c>
      <c r="H673" s="118">
        <v>29.2</v>
      </c>
      <c r="I673" s="118">
        <v>3</v>
      </c>
      <c r="J673" s="118">
        <v>0.7</v>
      </c>
      <c r="K673" s="119" t="s">
        <v>26</v>
      </c>
      <c r="L673" s="119" t="s">
        <v>26</v>
      </c>
      <c r="M673" s="118">
        <v>0.5</v>
      </c>
      <c r="N673" s="119" t="s">
        <v>26</v>
      </c>
      <c r="O673" s="118">
        <v>3.2</v>
      </c>
      <c r="P673" s="118">
        <v>1.5</v>
      </c>
      <c r="Q673" s="119" t="s">
        <v>26</v>
      </c>
      <c r="R673" s="118">
        <v>0.9</v>
      </c>
      <c r="S673" s="127">
        <v>3.5</v>
      </c>
      <c r="T673" s="121" t="s">
        <v>26</v>
      </c>
      <c r="U673" s="130">
        <v>87</v>
      </c>
      <c r="V673" s="126" t="s">
        <v>26</v>
      </c>
      <c r="AC673" s="33"/>
      <c r="AD673" s="33"/>
      <c r="AE673" s="33"/>
    </row>
    <row r="674" spans="1:31">
      <c r="A674" s="26" t="s">
        <v>704</v>
      </c>
      <c r="B674" s="8" t="s">
        <v>708</v>
      </c>
      <c r="C674" s="8" t="s">
        <v>22</v>
      </c>
      <c r="D674" s="8" t="s">
        <v>109</v>
      </c>
      <c r="E674" s="23" t="s">
        <v>29</v>
      </c>
      <c r="F674" s="16" t="s">
        <v>710</v>
      </c>
      <c r="G674" s="118">
        <v>38</v>
      </c>
      <c r="H674" s="118">
        <v>28.5</v>
      </c>
      <c r="I674" s="118">
        <v>7.5</v>
      </c>
      <c r="J674" s="118">
        <v>2</v>
      </c>
      <c r="K674" s="118">
        <v>0.5</v>
      </c>
      <c r="L674" s="119" t="s">
        <v>26</v>
      </c>
      <c r="M674" s="119" t="s">
        <v>26</v>
      </c>
      <c r="N674" s="119" t="s">
        <v>26</v>
      </c>
      <c r="O674" s="118">
        <v>4.8</v>
      </c>
      <c r="P674" s="118">
        <v>1.4</v>
      </c>
      <c r="Q674" s="119" t="s">
        <v>26</v>
      </c>
      <c r="R674" s="118">
        <v>0.8</v>
      </c>
      <c r="S674" s="127">
        <v>7.2</v>
      </c>
      <c r="T674" s="121" t="s">
        <v>26</v>
      </c>
      <c r="U674" s="130">
        <v>1020</v>
      </c>
      <c r="V674" s="126" t="s">
        <v>26</v>
      </c>
      <c r="AC674" s="33"/>
      <c r="AD674" s="33"/>
      <c r="AE674" s="33"/>
    </row>
    <row r="675" spans="1:31">
      <c r="A675" s="26" t="s">
        <v>704</v>
      </c>
      <c r="B675" s="8" t="s">
        <v>708</v>
      </c>
      <c r="C675" s="8" t="s">
        <v>22</v>
      </c>
      <c r="D675" s="8" t="s">
        <v>109</v>
      </c>
      <c r="E675" s="23" t="s">
        <v>31</v>
      </c>
      <c r="F675" s="16" t="s">
        <v>711</v>
      </c>
      <c r="G675" s="118">
        <v>12</v>
      </c>
      <c r="H675" s="119" t="s">
        <v>26</v>
      </c>
      <c r="I675" s="119" t="s">
        <v>26</v>
      </c>
      <c r="J675" s="118">
        <v>17.8</v>
      </c>
      <c r="K675" s="119" t="s">
        <v>26</v>
      </c>
      <c r="L675" s="119" t="s">
        <v>26</v>
      </c>
      <c r="M675" s="119" t="s">
        <v>26</v>
      </c>
      <c r="N675" s="119" t="s">
        <v>26</v>
      </c>
      <c r="O675" s="118">
        <v>3.8</v>
      </c>
      <c r="P675" s="119" t="s">
        <v>26</v>
      </c>
      <c r="Q675" s="119" t="s">
        <v>26</v>
      </c>
      <c r="R675" s="119" t="s">
        <v>26</v>
      </c>
      <c r="S675" s="127">
        <v>8.9</v>
      </c>
      <c r="T675" s="121" t="s">
        <v>26</v>
      </c>
      <c r="U675" s="130">
        <v>1121</v>
      </c>
      <c r="V675" s="126" t="s">
        <v>26</v>
      </c>
      <c r="AC675" s="33"/>
      <c r="AD675" s="33"/>
      <c r="AE675" s="33"/>
    </row>
    <row r="676" spans="1:31">
      <c r="A676" s="26" t="s">
        <v>704</v>
      </c>
      <c r="B676" s="8" t="s">
        <v>373</v>
      </c>
      <c r="C676" s="8" t="s">
        <v>22</v>
      </c>
      <c r="D676" s="3" t="s">
        <v>33</v>
      </c>
      <c r="E676" s="23" t="s">
        <v>24</v>
      </c>
      <c r="F676" s="16" t="s">
        <v>712</v>
      </c>
      <c r="G676" s="118">
        <v>232</v>
      </c>
      <c r="H676" s="118">
        <v>25.6</v>
      </c>
      <c r="I676" s="119" t="s">
        <v>26</v>
      </c>
      <c r="J676" s="119" t="s">
        <v>26</v>
      </c>
      <c r="K676" s="119" t="s">
        <v>26</v>
      </c>
      <c r="L676" s="118">
        <v>0.4</v>
      </c>
      <c r="M676" s="118">
        <v>0.6</v>
      </c>
      <c r="N676" s="119" t="s">
        <v>26</v>
      </c>
      <c r="O676" s="118">
        <v>0.9</v>
      </c>
      <c r="P676" s="119" t="s">
        <v>26</v>
      </c>
      <c r="Q676" s="119" t="s">
        <v>26</v>
      </c>
      <c r="R676" s="118">
        <v>1.1000000000000001</v>
      </c>
      <c r="S676" s="127">
        <v>2.5</v>
      </c>
      <c r="T676" s="121" t="s">
        <v>26</v>
      </c>
      <c r="U676" s="130">
        <v>198</v>
      </c>
      <c r="V676" s="126" t="s">
        <v>26</v>
      </c>
      <c r="AC676" s="33"/>
      <c r="AD676" s="33"/>
      <c r="AE676" s="33"/>
    </row>
    <row r="677" spans="1:31">
      <c r="A677" s="26" t="s">
        <v>704</v>
      </c>
      <c r="B677" s="8" t="s">
        <v>373</v>
      </c>
      <c r="C677" s="8" t="s">
        <v>22</v>
      </c>
      <c r="D677" s="3" t="s">
        <v>33</v>
      </c>
      <c r="E677" s="23" t="s">
        <v>27</v>
      </c>
      <c r="F677" s="16" t="s">
        <v>713</v>
      </c>
      <c r="G677" s="118">
        <v>232</v>
      </c>
      <c r="H677" s="118">
        <v>36.5</v>
      </c>
      <c r="I677" s="118">
        <v>1.1000000000000001</v>
      </c>
      <c r="J677" s="119" t="s">
        <v>26</v>
      </c>
      <c r="K677" s="119" t="s">
        <v>26</v>
      </c>
      <c r="L677" s="119" t="s">
        <v>26</v>
      </c>
      <c r="M677" s="118">
        <v>0.5</v>
      </c>
      <c r="N677" s="119" t="s">
        <v>26</v>
      </c>
      <c r="O677" s="118">
        <v>2.2000000000000002</v>
      </c>
      <c r="P677" s="118">
        <v>1.4</v>
      </c>
      <c r="Q677" s="119" t="s">
        <v>26</v>
      </c>
      <c r="R677" s="118">
        <v>0.8</v>
      </c>
      <c r="S677" s="127">
        <v>2.2999999999999998</v>
      </c>
      <c r="T677" s="121" t="s">
        <v>26</v>
      </c>
      <c r="U677" s="123" t="s">
        <v>26</v>
      </c>
      <c r="V677" s="126" t="s">
        <v>26</v>
      </c>
      <c r="AC677" s="33"/>
      <c r="AD677" s="33"/>
      <c r="AE677" s="33"/>
    </row>
    <row r="678" spans="1:31">
      <c r="A678" s="26" t="s">
        <v>704</v>
      </c>
      <c r="B678" s="8" t="s">
        <v>373</v>
      </c>
      <c r="C678" s="8" t="s">
        <v>22</v>
      </c>
      <c r="D678" s="3" t="s">
        <v>33</v>
      </c>
      <c r="E678" s="23" t="s">
        <v>29</v>
      </c>
      <c r="F678" s="16" t="s">
        <v>714</v>
      </c>
      <c r="G678" s="118">
        <v>232</v>
      </c>
      <c r="H678" s="118">
        <v>8.6999999999999993</v>
      </c>
      <c r="I678" s="118">
        <v>13.5</v>
      </c>
      <c r="J678" s="118">
        <v>1.65</v>
      </c>
      <c r="K678" s="119" t="s">
        <v>26</v>
      </c>
      <c r="L678" s="118">
        <v>0.5</v>
      </c>
      <c r="M678" s="118">
        <v>0.4</v>
      </c>
      <c r="N678" s="119" t="s">
        <v>26</v>
      </c>
      <c r="O678" s="118">
        <v>2.5</v>
      </c>
      <c r="P678" s="118">
        <v>1.2</v>
      </c>
      <c r="Q678" s="119" t="s">
        <v>26</v>
      </c>
      <c r="R678" s="118">
        <v>0.9</v>
      </c>
      <c r="S678" s="127">
        <v>5.9</v>
      </c>
      <c r="T678" s="121" t="s">
        <v>26</v>
      </c>
      <c r="U678" s="130">
        <v>60</v>
      </c>
      <c r="V678" s="126" t="s">
        <v>26</v>
      </c>
      <c r="AC678" s="33"/>
      <c r="AD678" s="33"/>
      <c r="AE678" s="33"/>
    </row>
    <row r="679" spans="1:31">
      <c r="A679" s="26" t="s">
        <v>704</v>
      </c>
      <c r="B679" s="8" t="s">
        <v>373</v>
      </c>
      <c r="C679" s="8" t="s">
        <v>22</v>
      </c>
      <c r="D679" s="3" t="s">
        <v>33</v>
      </c>
      <c r="E679" s="23" t="s">
        <v>31</v>
      </c>
      <c r="F679" s="16" t="s">
        <v>715</v>
      </c>
      <c r="G679" s="118">
        <v>232</v>
      </c>
      <c r="H679" s="119" t="s">
        <v>26</v>
      </c>
      <c r="I679" s="118">
        <v>6.1</v>
      </c>
      <c r="J679" s="118">
        <v>16.5</v>
      </c>
      <c r="K679" s="119" t="s">
        <v>26</v>
      </c>
      <c r="L679" s="119" t="s">
        <v>26</v>
      </c>
      <c r="M679" s="119" t="s">
        <v>26</v>
      </c>
      <c r="N679" s="119" t="s">
        <v>26</v>
      </c>
      <c r="O679" s="118">
        <v>1.5</v>
      </c>
      <c r="P679" s="119" t="s">
        <v>26</v>
      </c>
      <c r="Q679" s="119" t="s">
        <v>26</v>
      </c>
      <c r="R679" s="119" t="s">
        <v>26</v>
      </c>
      <c r="S679" s="127">
        <v>6.4</v>
      </c>
      <c r="T679" s="121" t="s">
        <v>26</v>
      </c>
      <c r="U679" s="130">
        <v>1736</v>
      </c>
      <c r="V679" s="126" t="s">
        <v>26</v>
      </c>
      <c r="AC679" s="33"/>
      <c r="AD679" s="33"/>
      <c r="AE679" s="33"/>
    </row>
    <row r="680" spans="1:31">
      <c r="A680" s="26" t="s">
        <v>704</v>
      </c>
      <c r="B680" s="8" t="s">
        <v>623</v>
      </c>
      <c r="C680" s="8" t="s">
        <v>22</v>
      </c>
      <c r="D680" s="8" t="s">
        <v>109</v>
      </c>
      <c r="E680" s="23" t="s">
        <v>24</v>
      </c>
      <c r="F680" s="16" t="s">
        <v>716</v>
      </c>
      <c r="G680" s="118">
        <v>232</v>
      </c>
      <c r="H680" s="118">
        <v>14.2</v>
      </c>
      <c r="I680" s="119" t="s">
        <v>26</v>
      </c>
      <c r="J680" s="119" t="s">
        <v>26</v>
      </c>
      <c r="K680" s="119" t="s">
        <v>26</v>
      </c>
      <c r="L680" s="118">
        <v>0.3</v>
      </c>
      <c r="M680" s="118">
        <v>0.8</v>
      </c>
      <c r="N680" s="119" t="s">
        <v>26</v>
      </c>
      <c r="O680" s="118">
        <v>1.3</v>
      </c>
      <c r="P680" s="119" t="s">
        <v>26</v>
      </c>
      <c r="Q680" s="118">
        <v>1.4</v>
      </c>
      <c r="R680" s="118">
        <v>0.8</v>
      </c>
      <c r="S680" s="127">
        <v>2.5</v>
      </c>
      <c r="T680" s="121" t="s">
        <v>26</v>
      </c>
      <c r="U680" s="130">
        <v>414</v>
      </c>
      <c r="V680" s="126" t="s">
        <v>26</v>
      </c>
      <c r="AC680" s="33"/>
      <c r="AD680" s="33"/>
      <c r="AE680" s="33"/>
    </row>
    <row r="681" spans="1:31">
      <c r="A681" s="26" t="s">
        <v>704</v>
      </c>
      <c r="B681" s="8" t="s">
        <v>623</v>
      </c>
      <c r="C681" s="8" t="s">
        <v>22</v>
      </c>
      <c r="D681" s="8" t="s">
        <v>109</v>
      </c>
      <c r="E681" s="23" t="s">
        <v>27</v>
      </c>
      <c r="F681" s="16" t="s">
        <v>717</v>
      </c>
      <c r="G681" s="118">
        <v>232</v>
      </c>
      <c r="H681" s="118">
        <v>32.5</v>
      </c>
      <c r="I681" s="118">
        <v>2.6</v>
      </c>
      <c r="J681" s="118">
        <v>0.8</v>
      </c>
      <c r="K681" s="119" t="s">
        <v>26</v>
      </c>
      <c r="L681" s="119" t="s">
        <v>26</v>
      </c>
      <c r="M681" s="118">
        <v>0.5</v>
      </c>
      <c r="N681" s="119" t="s">
        <v>26</v>
      </c>
      <c r="O681" s="118">
        <v>2.6</v>
      </c>
      <c r="P681" s="119" t="s">
        <v>26</v>
      </c>
      <c r="Q681" s="118">
        <v>1.5</v>
      </c>
      <c r="R681" s="118">
        <v>2.2000000000000002</v>
      </c>
      <c r="S681" s="127">
        <v>4.0999999999999996</v>
      </c>
      <c r="T681" s="121" t="s">
        <v>26</v>
      </c>
      <c r="U681" s="130">
        <v>90</v>
      </c>
      <c r="V681" s="126" t="s">
        <v>26</v>
      </c>
      <c r="AC681" s="33"/>
      <c r="AD681" s="33"/>
      <c r="AE681" s="33"/>
    </row>
    <row r="682" spans="1:31">
      <c r="A682" s="26" t="s">
        <v>704</v>
      </c>
      <c r="B682" s="8" t="s">
        <v>623</v>
      </c>
      <c r="C682" s="8" t="s">
        <v>22</v>
      </c>
      <c r="D682" s="8" t="s">
        <v>109</v>
      </c>
      <c r="E682" s="23" t="s">
        <v>29</v>
      </c>
      <c r="F682" s="16" t="s">
        <v>718</v>
      </c>
      <c r="G682" s="118">
        <v>232</v>
      </c>
      <c r="H682" s="118">
        <v>36.5</v>
      </c>
      <c r="I682" s="118">
        <v>6.8</v>
      </c>
      <c r="J682" s="118">
        <v>1.88</v>
      </c>
      <c r="K682" s="119" t="s">
        <v>26</v>
      </c>
      <c r="L682" s="119" t="s">
        <v>26</v>
      </c>
      <c r="M682" s="118">
        <v>1.2</v>
      </c>
      <c r="N682" s="119" t="s">
        <v>26</v>
      </c>
      <c r="O682" s="118">
        <v>3.9</v>
      </c>
      <c r="P682" s="119" t="s">
        <v>26</v>
      </c>
      <c r="Q682" s="119" t="s">
        <v>26</v>
      </c>
      <c r="R682" s="118">
        <v>3.8</v>
      </c>
      <c r="S682" s="127">
        <v>7.6</v>
      </c>
      <c r="T682" s="121" t="s">
        <v>26</v>
      </c>
      <c r="U682" s="130">
        <v>560</v>
      </c>
      <c r="V682" s="126" t="s">
        <v>26</v>
      </c>
      <c r="AC682" s="33"/>
      <c r="AD682" s="33"/>
      <c r="AE682" s="33"/>
    </row>
    <row r="683" spans="1:31">
      <c r="A683" s="26" t="s">
        <v>704</v>
      </c>
      <c r="B683" s="8" t="s">
        <v>623</v>
      </c>
      <c r="C683" s="8" t="s">
        <v>22</v>
      </c>
      <c r="D683" s="8" t="s">
        <v>109</v>
      </c>
      <c r="E683" s="23" t="s">
        <v>31</v>
      </c>
      <c r="F683" s="16" t="s">
        <v>719</v>
      </c>
      <c r="G683" s="118">
        <v>232</v>
      </c>
      <c r="H683" s="119" t="s">
        <v>26</v>
      </c>
      <c r="I683" s="118">
        <v>2.1</v>
      </c>
      <c r="J683" s="118">
        <v>18.5</v>
      </c>
      <c r="K683" s="119" t="s">
        <v>26</v>
      </c>
      <c r="L683" s="119" t="s">
        <v>26</v>
      </c>
      <c r="M683" s="119" t="s">
        <v>26</v>
      </c>
      <c r="N683" s="119" t="s">
        <v>26</v>
      </c>
      <c r="O683" s="118">
        <v>3.5</v>
      </c>
      <c r="P683" s="119" t="s">
        <v>26</v>
      </c>
      <c r="Q683" s="119" t="s">
        <v>26</v>
      </c>
      <c r="R683" s="118">
        <v>4.0999999999999996</v>
      </c>
      <c r="S683" s="127">
        <v>9.6</v>
      </c>
      <c r="T683" s="121" t="s">
        <v>26</v>
      </c>
      <c r="U683" s="130">
        <v>1135</v>
      </c>
      <c r="V683" s="126" t="s">
        <v>26</v>
      </c>
      <c r="AC683" s="33"/>
      <c r="AD683" s="33"/>
      <c r="AE683" s="33"/>
    </row>
    <row r="684" spans="1:31">
      <c r="A684" s="26" t="s">
        <v>704</v>
      </c>
      <c r="B684" s="8" t="s">
        <v>606</v>
      </c>
      <c r="C684" s="8" t="s">
        <v>22</v>
      </c>
      <c r="D684" s="3" t="s">
        <v>23</v>
      </c>
      <c r="E684" s="23" t="s">
        <v>24</v>
      </c>
      <c r="F684" s="16" t="s">
        <v>720</v>
      </c>
      <c r="G684" s="118">
        <v>223</v>
      </c>
      <c r="H684" s="118">
        <v>27.5</v>
      </c>
      <c r="I684" s="119" t="s">
        <v>26</v>
      </c>
      <c r="J684" s="119" t="s">
        <v>26</v>
      </c>
      <c r="K684" s="119" t="s">
        <v>26</v>
      </c>
      <c r="L684" s="118">
        <v>0.4</v>
      </c>
      <c r="M684" s="119" t="s">
        <v>26</v>
      </c>
      <c r="N684" s="119" t="s">
        <v>26</v>
      </c>
      <c r="O684" s="118">
        <v>2.5</v>
      </c>
      <c r="P684" s="118">
        <v>2.8</v>
      </c>
      <c r="Q684" s="118">
        <v>3.2</v>
      </c>
      <c r="R684" s="118">
        <v>2.6</v>
      </c>
      <c r="S684" s="127">
        <v>2.4</v>
      </c>
      <c r="T684" s="121" t="s">
        <v>26</v>
      </c>
      <c r="U684" s="133">
        <v>774</v>
      </c>
      <c r="V684" s="126" t="s">
        <v>26</v>
      </c>
      <c r="AC684" s="33"/>
      <c r="AD684" s="33"/>
      <c r="AE684" s="33"/>
    </row>
    <row r="685" spans="1:31">
      <c r="A685" s="26" t="s">
        <v>704</v>
      </c>
      <c r="B685" s="8" t="s">
        <v>606</v>
      </c>
      <c r="C685" s="8" t="s">
        <v>22</v>
      </c>
      <c r="D685" s="3" t="s">
        <v>23</v>
      </c>
      <c r="E685" s="23" t="s">
        <v>27</v>
      </c>
      <c r="F685" s="16" t="s">
        <v>721</v>
      </c>
      <c r="G685" s="118">
        <v>110</v>
      </c>
      <c r="H685" s="118">
        <v>45.5</v>
      </c>
      <c r="I685" s="118">
        <v>1.5</v>
      </c>
      <c r="J685" s="118">
        <v>0.7</v>
      </c>
      <c r="K685" s="119" t="s">
        <v>26</v>
      </c>
      <c r="L685" s="118">
        <v>0.6</v>
      </c>
      <c r="M685" s="119" t="s">
        <v>26</v>
      </c>
      <c r="N685" s="119" t="s">
        <v>26</v>
      </c>
      <c r="O685" s="118">
        <v>5.9</v>
      </c>
      <c r="P685" s="118">
        <v>3.3</v>
      </c>
      <c r="Q685" s="118">
        <v>1.5</v>
      </c>
      <c r="R685" s="118">
        <v>2</v>
      </c>
      <c r="S685" s="127">
        <v>5.9</v>
      </c>
      <c r="T685" s="121" t="s">
        <v>26</v>
      </c>
      <c r="U685" s="89">
        <v>132</v>
      </c>
      <c r="V685" s="126" t="s">
        <v>26</v>
      </c>
      <c r="AC685" s="33"/>
      <c r="AD685" s="33"/>
      <c r="AE685" s="33"/>
    </row>
    <row r="686" spans="1:31">
      <c r="A686" s="26" t="s">
        <v>704</v>
      </c>
      <c r="B686" s="8" t="s">
        <v>606</v>
      </c>
      <c r="C686" s="8" t="s">
        <v>22</v>
      </c>
      <c r="D686" s="3" t="s">
        <v>23</v>
      </c>
      <c r="E686" s="23" t="s">
        <v>29</v>
      </c>
      <c r="F686" s="16" t="s">
        <v>722</v>
      </c>
      <c r="G686" s="118">
        <v>46</v>
      </c>
      <c r="H686" s="118">
        <v>9.1999999999999993</v>
      </c>
      <c r="I686" s="118">
        <v>8.4</v>
      </c>
      <c r="J686" s="118">
        <v>1.8</v>
      </c>
      <c r="K686" s="119" t="s">
        <v>26</v>
      </c>
      <c r="L686" s="118">
        <v>0.8</v>
      </c>
      <c r="M686" s="119" t="s">
        <v>26</v>
      </c>
      <c r="N686" s="119" t="s">
        <v>26</v>
      </c>
      <c r="O686" s="118">
        <v>7.2</v>
      </c>
      <c r="P686" s="118">
        <v>4.8</v>
      </c>
      <c r="Q686" s="119" t="s">
        <v>26</v>
      </c>
      <c r="R686" s="118">
        <v>1.2</v>
      </c>
      <c r="S686" s="127">
        <v>7.2</v>
      </c>
      <c r="T686" s="121" t="s">
        <v>26</v>
      </c>
      <c r="U686" s="89">
        <v>200</v>
      </c>
      <c r="V686" s="126" t="s">
        <v>26</v>
      </c>
      <c r="AC686" s="33"/>
      <c r="AD686" s="33"/>
      <c r="AE686" s="33"/>
    </row>
    <row r="687" spans="1:31">
      <c r="A687" s="26" t="s">
        <v>704</v>
      </c>
      <c r="B687" s="8" t="s">
        <v>606</v>
      </c>
      <c r="C687" s="8" t="s">
        <v>22</v>
      </c>
      <c r="D687" s="3" t="s">
        <v>23</v>
      </c>
      <c r="E687" s="23" t="s">
        <v>31</v>
      </c>
      <c r="F687" s="16" t="s">
        <v>723</v>
      </c>
      <c r="G687" s="118">
        <v>18</v>
      </c>
      <c r="H687" s="119" t="s">
        <v>26</v>
      </c>
      <c r="I687" s="118">
        <v>6.5</v>
      </c>
      <c r="J687" s="118">
        <v>28.5</v>
      </c>
      <c r="K687" s="119" t="s">
        <v>26</v>
      </c>
      <c r="L687" s="119" t="s">
        <v>26</v>
      </c>
      <c r="M687" s="119" t="s">
        <v>26</v>
      </c>
      <c r="N687" s="119" t="s">
        <v>26</v>
      </c>
      <c r="O687" s="118">
        <v>6.2</v>
      </c>
      <c r="P687" s="118">
        <v>7.2</v>
      </c>
      <c r="Q687" s="119" t="s">
        <v>26</v>
      </c>
      <c r="R687" s="119" t="s">
        <v>26</v>
      </c>
      <c r="S687" s="127">
        <v>6.9</v>
      </c>
      <c r="T687" s="121" t="s">
        <v>26</v>
      </c>
      <c r="U687" s="133">
        <v>1912</v>
      </c>
      <c r="V687" s="126" t="s">
        <v>26</v>
      </c>
      <c r="AC687" s="33"/>
      <c r="AD687" s="33"/>
      <c r="AE687" s="33"/>
    </row>
    <row r="688" spans="1:31">
      <c r="A688" s="26" t="s">
        <v>704</v>
      </c>
      <c r="B688" s="8" t="s">
        <v>606</v>
      </c>
      <c r="C688" s="8" t="s">
        <v>22</v>
      </c>
      <c r="D688" s="3" t="s">
        <v>23</v>
      </c>
      <c r="E688" s="25" t="s">
        <v>131</v>
      </c>
      <c r="F688" s="16" t="s">
        <v>1449</v>
      </c>
      <c r="G688" s="118">
        <v>13</v>
      </c>
      <c r="H688" s="118">
        <v>60.9</v>
      </c>
      <c r="I688" s="118">
        <v>7.8</v>
      </c>
      <c r="J688" s="118">
        <v>19.5</v>
      </c>
      <c r="K688" s="119" t="s">
        <v>26</v>
      </c>
      <c r="L688" s="119" t="s">
        <v>26</v>
      </c>
      <c r="M688" s="119" t="s">
        <v>26</v>
      </c>
      <c r="N688" s="119" t="s">
        <v>26</v>
      </c>
      <c r="O688" s="125" t="s">
        <v>26</v>
      </c>
      <c r="P688" s="119" t="s">
        <v>26</v>
      </c>
      <c r="Q688" s="119" t="s">
        <v>26</v>
      </c>
      <c r="R688" s="119" t="s">
        <v>26</v>
      </c>
      <c r="S688" s="127">
        <v>10.5</v>
      </c>
      <c r="T688" s="121" t="s">
        <v>26</v>
      </c>
      <c r="U688" s="123" t="s">
        <v>26</v>
      </c>
      <c r="V688" s="89">
        <v>70</v>
      </c>
      <c r="AC688" s="33"/>
      <c r="AD688" s="33"/>
      <c r="AE688" s="33"/>
    </row>
    <row r="689" spans="1:31">
      <c r="A689" s="26" t="s">
        <v>704</v>
      </c>
      <c r="B689" s="8" t="s">
        <v>108</v>
      </c>
      <c r="C689" s="8" t="s">
        <v>22</v>
      </c>
      <c r="D689" s="8" t="s">
        <v>109</v>
      </c>
      <c r="E689" s="23" t="s">
        <v>24</v>
      </c>
      <c r="F689" s="19">
        <v>1413</v>
      </c>
      <c r="G689" s="118">
        <v>205</v>
      </c>
      <c r="H689" s="118">
        <v>27.8</v>
      </c>
      <c r="I689" s="119" t="s">
        <v>26</v>
      </c>
      <c r="J689" s="119" t="s">
        <v>26</v>
      </c>
      <c r="K689" s="119" t="s">
        <v>26</v>
      </c>
      <c r="L689" s="118">
        <v>0.4</v>
      </c>
      <c r="M689" s="118">
        <v>0.6</v>
      </c>
      <c r="N689" s="119" t="s">
        <v>26</v>
      </c>
      <c r="O689" s="118">
        <v>0.8</v>
      </c>
      <c r="P689" s="118">
        <v>0.8</v>
      </c>
      <c r="Q689" s="119" t="s">
        <v>26</v>
      </c>
      <c r="R689" s="118">
        <v>1.2</v>
      </c>
      <c r="S689" s="127">
        <v>1.8</v>
      </c>
      <c r="T689" s="121" t="s">
        <v>26</v>
      </c>
      <c r="U689" s="130">
        <v>414</v>
      </c>
      <c r="V689" s="126" t="s">
        <v>26</v>
      </c>
      <c r="AC689" s="33"/>
      <c r="AD689" s="33"/>
      <c r="AE689" s="33"/>
    </row>
    <row r="690" spans="1:31">
      <c r="A690" s="26" t="s">
        <v>704</v>
      </c>
      <c r="B690" s="8" t="s">
        <v>108</v>
      </c>
      <c r="C690" s="8" t="s">
        <v>22</v>
      </c>
      <c r="D690" s="8" t="s">
        <v>109</v>
      </c>
      <c r="E690" s="23" t="s">
        <v>27</v>
      </c>
      <c r="F690" s="19">
        <v>910</v>
      </c>
      <c r="G690" s="118">
        <v>92</v>
      </c>
      <c r="H690" s="118">
        <v>52</v>
      </c>
      <c r="I690" s="118">
        <v>0.8</v>
      </c>
      <c r="J690" s="118">
        <v>0.9</v>
      </c>
      <c r="K690" s="119" t="s">
        <v>26</v>
      </c>
      <c r="L690" s="118">
        <v>0.5</v>
      </c>
      <c r="M690" s="118">
        <v>0.4</v>
      </c>
      <c r="N690" s="119" t="s">
        <v>26</v>
      </c>
      <c r="O690" s="118">
        <v>4.0999999999999996</v>
      </c>
      <c r="P690" s="118">
        <v>1.3</v>
      </c>
      <c r="Q690" s="119" t="s">
        <v>26</v>
      </c>
      <c r="R690" s="119" t="s">
        <v>26</v>
      </c>
      <c r="S690" s="127">
        <v>3.8</v>
      </c>
      <c r="T690" s="121" t="s">
        <v>26</v>
      </c>
      <c r="U690" s="130">
        <v>168</v>
      </c>
      <c r="V690" s="126" t="s">
        <v>26</v>
      </c>
      <c r="AC690" s="33"/>
      <c r="AD690" s="33"/>
      <c r="AE690" s="33"/>
    </row>
    <row r="691" spans="1:31">
      <c r="A691" s="26" t="s">
        <v>704</v>
      </c>
      <c r="B691" s="8" t="s">
        <v>108</v>
      </c>
      <c r="C691" s="8" t="s">
        <v>22</v>
      </c>
      <c r="D691" s="8" t="s">
        <v>109</v>
      </c>
      <c r="E691" s="23" t="s">
        <v>29</v>
      </c>
      <c r="F691" s="19">
        <v>2690</v>
      </c>
      <c r="G691" s="118">
        <v>37</v>
      </c>
      <c r="H691" s="118">
        <v>29.5</v>
      </c>
      <c r="I691" s="118">
        <v>5.6</v>
      </c>
      <c r="J691" s="118">
        <v>1.7</v>
      </c>
      <c r="K691" s="119" t="s">
        <v>26</v>
      </c>
      <c r="L691" s="118">
        <v>0.5</v>
      </c>
      <c r="M691" s="118">
        <v>0.4</v>
      </c>
      <c r="N691" s="119" t="s">
        <v>26</v>
      </c>
      <c r="O691" s="118">
        <v>5.5</v>
      </c>
      <c r="P691" s="118">
        <v>2.8</v>
      </c>
      <c r="Q691" s="119" t="s">
        <v>26</v>
      </c>
      <c r="R691" s="119" t="s">
        <v>26</v>
      </c>
      <c r="S691" s="127">
        <v>7.5</v>
      </c>
      <c r="T691" s="121" t="s">
        <v>26</v>
      </c>
      <c r="U691" s="130">
        <v>820</v>
      </c>
      <c r="V691" s="126" t="s">
        <v>26</v>
      </c>
      <c r="AC691" s="33"/>
      <c r="AD691" s="33"/>
      <c r="AE691" s="33"/>
    </row>
    <row r="692" spans="1:31">
      <c r="A692" s="26" t="s">
        <v>704</v>
      </c>
      <c r="B692" s="8" t="s">
        <v>108</v>
      </c>
      <c r="C692" s="8" t="s">
        <v>22</v>
      </c>
      <c r="D692" s="8" t="s">
        <v>109</v>
      </c>
      <c r="E692" s="23" t="s">
        <v>31</v>
      </c>
      <c r="F692" s="19">
        <v>1543</v>
      </c>
      <c r="G692" s="118">
        <v>13</v>
      </c>
      <c r="H692" s="119" t="s">
        <v>26</v>
      </c>
      <c r="I692" s="119" t="s">
        <v>26</v>
      </c>
      <c r="J692" s="118">
        <v>18.5</v>
      </c>
      <c r="K692" s="119" t="s">
        <v>26</v>
      </c>
      <c r="L692" s="119" t="s">
        <v>26</v>
      </c>
      <c r="M692" s="119" t="s">
        <v>26</v>
      </c>
      <c r="N692" s="119" t="s">
        <v>26</v>
      </c>
      <c r="O692" s="118">
        <v>4.5</v>
      </c>
      <c r="P692" s="118">
        <v>2.9</v>
      </c>
      <c r="Q692" s="119" t="s">
        <v>26</v>
      </c>
      <c r="R692" s="119" t="s">
        <v>26</v>
      </c>
      <c r="S692" s="127">
        <v>11.5</v>
      </c>
      <c r="T692" s="121" t="s">
        <v>26</v>
      </c>
      <c r="U692" s="135">
        <v>1543</v>
      </c>
      <c r="V692" s="126" t="s">
        <v>26</v>
      </c>
      <c r="AC692" s="33"/>
      <c r="AD692" s="33"/>
      <c r="AE692" s="33"/>
    </row>
    <row r="693" spans="1:31">
      <c r="A693" s="26" t="s">
        <v>704</v>
      </c>
      <c r="B693" s="8" t="s">
        <v>724</v>
      </c>
      <c r="C693" s="8" t="s">
        <v>22</v>
      </c>
      <c r="D693" s="3" t="s">
        <v>33</v>
      </c>
      <c r="E693" s="23" t="s">
        <v>24</v>
      </c>
      <c r="F693" s="16" t="s">
        <v>725</v>
      </c>
      <c r="G693" s="118">
        <v>208</v>
      </c>
      <c r="H693" s="118">
        <v>26.5</v>
      </c>
      <c r="I693" s="119" t="s">
        <v>26</v>
      </c>
      <c r="J693" s="119" t="s">
        <v>26</v>
      </c>
      <c r="K693" s="119" t="s">
        <v>26</v>
      </c>
      <c r="L693" s="118">
        <v>0.3</v>
      </c>
      <c r="M693" s="118">
        <v>0.4</v>
      </c>
      <c r="N693" s="119" t="s">
        <v>26</v>
      </c>
      <c r="O693" s="118">
        <v>0.8</v>
      </c>
      <c r="P693" s="118">
        <v>0.4</v>
      </c>
      <c r="Q693" s="119" t="s">
        <v>26</v>
      </c>
      <c r="R693" s="118">
        <v>1.4</v>
      </c>
      <c r="S693" s="127">
        <v>1.6</v>
      </c>
      <c r="T693" s="121" t="s">
        <v>26</v>
      </c>
      <c r="U693" s="130">
        <v>126</v>
      </c>
      <c r="V693" s="126" t="s">
        <v>26</v>
      </c>
      <c r="AC693" s="33"/>
      <c r="AD693" s="33"/>
      <c r="AE693" s="33"/>
    </row>
    <row r="694" spans="1:31">
      <c r="A694" s="26" t="s">
        <v>704</v>
      </c>
      <c r="B694" s="8" t="s">
        <v>724</v>
      </c>
      <c r="C694" s="8" t="s">
        <v>22</v>
      </c>
      <c r="D694" s="3" t="s">
        <v>33</v>
      </c>
      <c r="E694" s="23" t="s">
        <v>27</v>
      </c>
      <c r="F694" s="16" t="s">
        <v>726</v>
      </c>
      <c r="G694" s="118">
        <v>108</v>
      </c>
      <c r="H694" s="118">
        <v>30.5</v>
      </c>
      <c r="I694" s="118">
        <v>5.4</v>
      </c>
      <c r="J694" s="118">
        <v>0.7</v>
      </c>
      <c r="K694" s="118">
        <v>0.5</v>
      </c>
      <c r="L694" s="119" t="s">
        <v>26</v>
      </c>
      <c r="M694" s="118">
        <v>0.6</v>
      </c>
      <c r="N694" s="119" t="s">
        <v>26</v>
      </c>
      <c r="O694" s="118">
        <v>2.9</v>
      </c>
      <c r="P694" s="118">
        <v>1.1000000000000001</v>
      </c>
      <c r="Q694" s="119" t="s">
        <v>26</v>
      </c>
      <c r="R694" s="118">
        <v>0.5</v>
      </c>
      <c r="S694" s="127">
        <v>2.2000000000000002</v>
      </c>
      <c r="T694" s="121" t="s">
        <v>26</v>
      </c>
      <c r="U694" s="130">
        <v>190</v>
      </c>
      <c r="V694" s="126" t="s">
        <v>26</v>
      </c>
      <c r="AC694" s="33"/>
      <c r="AD694" s="33"/>
      <c r="AE694" s="33"/>
    </row>
    <row r="695" spans="1:31">
      <c r="A695" s="26" t="s">
        <v>704</v>
      </c>
      <c r="B695" s="8" t="s">
        <v>724</v>
      </c>
      <c r="C695" s="8" t="s">
        <v>22</v>
      </c>
      <c r="D695" s="3" t="s">
        <v>33</v>
      </c>
      <c r="E695" s="23" t="s">
        <v>29</v>
      </c>
      <c r="F695" s="16" t="s">
        <v>727</v>
      </c>
      <c r="G695" s="118">
        <v>40</v>
      </c>
      <c r="H695" s="118">
        <v>9.5</v>
      </c>
      <c r="I695" s="118">
        <v>2.4</v>
      </c>
      <c r="J695" s="118">
        <v>1.88</v>
      </c>
      <c r="K695" s="119" t="s">
        <v>26</v>
      </c>
      <c r="L695" s="119" t="s">
        <v>26</v>
      </c>
      <c r="M695" s="118">
        <v>0.5</v>
      </c>
      <c r="N695" s="119" t="s">
        <v>26</v>
      </c>
      <c r="O695" s="118">
        <v>2.4</v>
      </c>
      <c r="P695" s="118">
        <v>1.2</v>
      </c>
      <c r="Q695" s="119" t="s">
        <v>26</v>
      </c>
      <c r="R695" s="119" t="s">
        <v>26</v>
      </c>
      <c r="S695" s="127">
        <v>3.9</v>
      </c>
      <c r="T695" s="121" t="s">
        <v>26</v>
      </c>
      <c r="U695" s="130">
        <v>40</v>
      </c>
      <c r="V695" s="126" t="s">
        <v>26</v>
      </c>
      <c r="AC695" s="33"/>
      <c r="AD695" s="33"/>
      <c r="AE695" s="33"/>
    </row>
    <row r="696" spans="1:31">
      <c r="A696" s="26" t="s">
        <v>704</v>
      </c>
      <c r="B696" s="8" t="s">
        <v>724</v>
      </c>
      <c r="C696" s="8" t="s">
        <v>22</v>
      </c>
      <c r="D696" s="3" t="s">
        <v>33</v>
      </c>
      <c r="E696" s="23" t="s">
        <v>31</v>
      </c>
      <c r="F696" s="16" t="s">
        <v>728</v>
      </c>
      <c r="G696" s="118">
        <v>19</v>
      </c>
      <c r="H696" s="119" t="s">
        <v>26</v>
      </c>
      <c r="I696" s="118">
        <v>7.5</v>
      </c>
      <c r="J696" s="118">
        <v>19.899999999999999</v>
      </c>
      <c r="K696" s="119" t="s">
        <v>26</v>
      </c>
      <c r="L696" s="119" t="s">
        <v>26</v>
      </c>
      <c r="M696" s="119" t="s">
        <v>26</v>
      </c>
      <c r="N696" s="119" t="s">
        <v>26</v>
      </c>
      <c r="O696" s="118">
        <v>2</v>
      </c>
      <c r="P696" s="119" t="s">
        <v>26</v>
      </c>
      <c r="Q696" s="119" t="s">
        <v>26</v>
      </c>
      <c r="R696" s="119" t="s">
        <v>26</v>
      </c>
      <c r="S696" s="127">
        <v>4.5</v>
      </c>
      <c r="T696" s="121" t="s">
        <v>26</v>
      </c>
      <c r="U696" s="123" t="s">
        <v>26</v>
      </c>
      <c r="V696" s="126" t="s">
        <v>26</v>
      </c>
      <c r="AC696" s="33"/>
      <c r="AD696" s="33"/>
      <c r="AE696" s="33"/>
    </row>
    <row r="697" spans="1:31">
      <c r="A697" s="26" t="s">
        <v>729</v>
      </c>
      <c r="B697" s="8" t="s">
        <v>310</v>
      </c>
      <c r="C697" s="8" t="s">
        <v>22</v>
      </c>
      <c r="D697" s="8" t="s">
        <v>730</v>
      </c>
      <c r="E697" s="23" t="s">
        <v>27</v>
      </c>
      <c r="F697" s="16" t="s">
        <v>731</v>
      </c>
      <c r="G697" s="118">
        <v>155</v>
      </c>
      <c r="H697" s="118">
        <v>10.5</v>
      </c>
      <c r="I697" s="118">
        <v>16.399999999999999</v>
      </c>
      <c r="J697" s="118">
        <v>0.4</v>
      </c>
      <c r="K697" s="119" t="s">
        <v>26</v>
      </c>
      <c r="L697" s="119" t="s">
        <v>26</v>
      </c>
      <c r="M697" s="119" t="s">
        <v>26</v>
      </c>
      <c r="N697" s="119" t="s">
        <v>26</v>
      </c>
      <c r="O697" s="118">
        <v>3.9</v>
      </c>
      <c r="P697" s="119" t="s">
        <v>26</v>
      </c>
      <c r="Q697" s="118">
        <v>6.1</v>
      </c>
      <c r="R697" s="118">
        <v>1.6</v>
      </c>
      <c r="S697" s="120" t="s">
        <v>26</v>
      </c>
      <c r="T697" s="121" t="s">
        <v>26</v>
      </c>
      <c r="U697" s="89">
        <v>516</v>
      </c>
      <c r="V697" s="126" t="s">
        <v>26</v>
      </c>
      <c r="AC697" s="33"/>
      <c r="AD697" s="33"/>
      <c r="AE697" s="33"/>
    </row>
    <row r="698" spans="1:31">
      <c r="A698" s="26" t="s">
        <v>729</v>
      </c>
      <c r="B698" s="8" t="s">
        <v>310</v>
      </c>
      <c r="C698" s="8" t="s">
        <v>22</v>
      </c>
      <c r="D698" s="8" t="s">
        <v>730</v>
      </c>
      <c r="E698" s="23" t="s">
        <v>29</v>
      </c>
      <c r="F698" s="16" t="s">
        <v>732</v>
      </c>
      <c r="G698" s="118">
        <v>51</v>
      </c>
      <c r="H698" s="118">
        <v>4.5</v>
      </c>
      <c r="I698" s="118">
        <v>24.7</v>
      </c>
      <c r="J698" s="118">
        <v>5.4</v>
      </c>
      <c r="K698" s="119" t="s">
        <v>26</v>
      </c>
      <c r="L698" s="119" t="s">
        <v>26</v>
      </c>
      <c r="M698" s="119" t="s">
        <v>26</v>
      </c>
      <c r="N698" s="119" t="s">
        <v>26</v>
      </c>
      <c r="O698" s="118">
        <v>4.0999999999999996</v>
      </c>
      <c r="P698" s="119" t="s">
        <v>26</v>
      </c>
      <c r="Q698" s="118">
        <v>5.7</v>
      </c>
      <c r="R698" s="118">
        <v>1.4</v>
      </c>
      <c r="S698" s="120" t="s">
        <v>26</v>
      </c>
      <c r="T698" s="121" t="s">
        <v>26</v>
      </c>
      <c r="U698" s="133">
        <v>2053</v>
      </c>
      <c r="V698" s="126" t="s">
        <v>26</v>
      </c>
      <c r="AC698" s="33"/>
      <c r="AD698" s="33"/>
      <c r="AE698" s="33"/>
    </row>
    <row r="699" spans="1:31">
      <c r="A699" s="26" t="s">
        <v>729</v>
      </c>
      <c r="B699" s="8" t="s">
        <v>310</v>
      </c>
      <c r="C699" s="8" t="s">
        <v>22</v>
      </c>
      <c r="D699" s="8" t="s">
        <v>730</v>
      </c>
      <c r="E699" s="23" t="s">
        <v>31</v>
      </c>
      <c r="F699" s="16" t="s">
        <v>50</v>
      </c>
      <c r="G699" s="118">
        <v>20</v>
      </c>
      <c r="H699" s="119" t="s">
        <v>26</v>
      </c>
      <c r="I699" s="118">
        <v>15.6</v>
      </c>
      <c r="J699" s="118">
        <v>4.8</v>
      </c>
      <c r="K699" s="119" t="s">
        <v>26</v>
      </c>
      <c r="L699" s="119" t="s">
        <v>26</v>
      </c>
      <c r="M699" s="119" t="s">
        <v>26</v>
      </c>
      <c r="N699" s="119" t="s">
        <v>26</v>
      </c>
      <c r="O699" s="118">
        <v>5.0999999999999996</v>
      </c>
      <c r="P699" s="119" t="s">
        <v>26</v>
      </c>
      <c r="Q699" s="118">
        <v>3.6</v>
      </c>
      <c r="R699" s="118">
        <v>1.6</v>
      </c>
      <c r="S699" s="127">
        <v>4.8</v>
      </c>
      <c r="T699" s="121" t="s">
        <v>26</v>
      </c>
      <c r="U699" s="133">
        <v>1635</v>
      </c>
      <c r="V699" s="126" t="s">
        <v>26</v>
      </c>
      <c r="AC699" s="33"/>
      <c r="AD699" s="33"/>
      <c r="AE699" s="33"/>
    </row>
    <row r="700" spans="1:31">
      <c r="A700" s="26" t="s">
        <v>729</v>
      </c>
      <c r="B700" s="8" t="s">
        <v>98</v>
      </c>
      <c r="C700" s="8" t="s">
        <v>22</v>
      </c>
      <c r="D700" s="3" t="s">
        <v>23</v>
      </c>
      <c r="E700" s="23" t="s">
        <v>24</v>
      </c>
      <c r="F700" s="16" t="s">
        <v>733</v>
      </c>
      <c r="G700" s="118">
        <v>220</v>
      </c>
      <c r="H700" s="118">
        <v>19.7</v>
      </c>
      <c r="I700" s="119" t="s">
        <v>26</v>
      </c>
      <c r="J700" s="119" t="s">
        <v>26</v>
      </c>
      <c r="K700" s="118">
        <v>0.3</v>
      </c>
      <c r="L700" s="119" t="s">
        <v>26</v>
      </c>
      <c r="M700" s="119" t="s">
        <v>26</v>
      </c>
      <c r="N700" s="119" t="s">
        <v>26</v>
      </c>
      <c r="O700" s="118">
        <v>1.6</v>
      </c>
      <c r="P700" s="118">
        <v>1.8</v>
      </c>
      <c r="Q700" s="118">
        <v>4.5</v>
      </c>
      <c r="R700" s="118">
        <v>1</v>
      </c>
      <c r="S700" s="127">
        <v>2</v>
      </c>
      <c r="T700" s="121" t="s">
        <v>26</v>
      </c>
      <c r="U700" s="89">
        <v>270</v>
      </c>
      <c r="V700" s="89">
        <v>504</v>
      </c>
      <c r="AC700" s="33"/>
      <c r="AD700" s="33"/>
      <c r="AE700" s="33"/>
    </row>
    <row r="701" spans="1:31">
      <c r="A701" s="26" t="s">
        <v>729</v>
      </c>
      <c r="B701" s="8" t="s">
        <v>98</v>
      </c>
      <c r="C701" s="8" t="s">
        <v>22</v>
      </c>
      <c r="D701" s="3" t="s">
        <v>23</v>
      </c>
      <c r="E701" s="23" t="s">
        <v>27</v>
      </c>
      <c r="F701" s="16" t="s">
        <v>734</v>
      </c>
      <c r="G701" s="118">
        <v>125</v>
      </c>
      <c r="H701" s="118">
        <v>31.5</v>
      </c>
      <c r="I701" s="118">
        <v>6.2</v>
      </c>
      <c r="J701" s="118">
        <v>0.8</v>
      </c>
      <c r="K701" s="119" t="s">
        <v>26</v>
      </c>
      <c r="L701" s="119" t="s">
        <v>26</v>
      </c>
      <c r="M701" s="119" t="s">
        <v>26</v>
      </c>
      <c r="N701" s="119" t="s">
        <v>26</v>
      </c>
      <c r="O701" s="118">
        <v>2.9</v>
      </c>
      <c r="P701" s="118">
        <v>2.5</v>
      </c>
      <c r="Q701" s="118">
        <v>2.4</v>
      </c>
      <c r="R701" s="118">
        <v>0.5</v>
      </c>
      <c r="S701" s="127">
        <v>2.5</v>
      </c>
      <c r="T701" s="128">
        <v>1</v>
      </c>
      <c r="U701" s="89">
        <v>189</v>
      </c>
      <c r="V701" s="89">
        <v>198</v>
      </c>
      <c r="AC701" s="33"/>
      <c r="AD701" s="33"/>
      <c r="AE701" s="33"/>
    </row>
    <row r="702" spans="1:31">
      <c r="A702" s="26" t="s">
        <v>729</v>
      </c>
      <c r="B702" s="8" t="s">
        <v>98</v>
      </c>
      <c r="C702" s="8" t="s">
        <v>22</v>
      </c>
      <c r="D702" s="3" t="s">
        <v>23</v>
      </c>
      <c r="E702" s="23" t="s">
        <v>29</v>
      </c>
      <c r="F702" s="16" t="s">
        <v>735</v>
      </c>
      <c r="G702" s="118">
        <v>47</v>
      </c>
      <c r="H702" s="118">
        <v>8.1</v>
      </c>
      <c r="I702" s="118">
        <v>9.5</v>
      </c>
      <c r="J702" s="118">
        <v>4.8</v>
      </c>
      <c r="K702" s="118">
        <v>0.6</v>
      </c>
      <c r="L702" s="119" t="s">
        <v>26</v>
      </c>
      <c r="M702" s="119" t="s">
        <v>26</v>
      </c>
      <c r="N702" s="119" t="s">
        <v>26</v>
      </c>
      <c r="O702" s="118">
        <v>4.8</v>
      </c>
      <c r="P702" s="118">
        <v>3.9</v>
      </c>
      <c r="Q702" s="118">
        <v>3</v>
      </c>
      <c r="R702" s="118">
        <v>0.7</v>
      </c>
      <c r="S702" s="127">
        <v>4.5</v>
      </c>
      <c r="T702" s="121" t="s">
        <v>26</v>
      </c>
      <c r="U702" s="89">
        <v>2633</v>
      </c>
      <c r="V702" s="89">
        <v>510</v>
      </c>
      <c r="AC702" s="33"/>
      <c r="AD702" s="33"/>
      <c r="AE702" s="33"/>
    </row>
    <row r="703" spans="1:31">
      <c r="A703" s="26" t="s">
        <v>729</v>
      </c>
      <c r="B703" s="8" t="s">
        <v>98</v>
      </c>
      <c r="C703" s="8" t="s">
        <v>22</v>
      </c>
      <c r="D703" s="3" t="s">
        <v>23</v>
      </c>
      <c r="E703" s="23" t="s">
        <v>31</v>
      </c>
      <c r="F703" s="16" t="s">
        <v>736</v>
      </c>
      <c r="G703" s="118">
        <v>19</v>
      </c>
      <c r="H703" s="119" t="s">
        <v>26</v>
      </c>
      <c r="I703" s="118">
        <v>8.1999999999999993</v>
      </c>
      <c r="J703" s="118">
        <v>23</v>
      </c>
      <c r="K703" s="119" t="s">
        <v>26</v>
      </c>
      <c r="L703" s="119" t="s">
        <v>26</v>
      </c>
      <c r="M703" s="119" t="s">
        <v>26</v>
      </c>
      <c r="N703" s="119" t="s">
        <v>26</v>
      </c>
      <c r="O703" s="118">
        <v>4.9000000000000004</v>
      </c>
      <c r="P703" s="118">
        <v>5.6</v>
      </c>
      <c r="Q703" s="119" t="s">
        <v>26</v>
      </c>
      <c r="R703" s="119" t="s">
        <v>26</v>
      </c>
      <c r="S703" s="127">
        <v>5.6</v>
      </c>
      <c r="T703" s="121" t="s">
        <v>26</v>
      </c>
      <c r="U703" s="89">
        <v>1328</v>
      </c>
      <c r="V703" s="89">
        <v>164</v>
      </c>
      <c r="AC703" s="33"/>
      <c r="AD703" s="33"/>
      <c r="AE703" s="33"/>
    </row>
    <row r="704" spans="1:31">
      <c r="A704" s="26" t="s">
        <v>729</v>
      </c>
      <c r="B704" s="8" t="s">
        <v>457</v>
      </c>
      <c r="C704" s="8" t="s">
        <v>22</v>
      </c>
      <c r="D704" s="3" t="s">
        <v>23</v>
      </c>
      <c r="E704" s="23" t="s">
        <v>24</v>
      </c>
      <c r="F704" s="16" t="s">
        <v>285</v>
      </c>
      <c r="G704" s="118">
        <v>222</v>
      </c>
      <c r="H704" s="118">
        <v>225</v>
      </c>
      <c r="I704" s="119" t="s">
        <v>26</v>
      </c>
      <c r="J704" s="119" t="s">
        <v>26</v>
      </c>
      <c r="K704" s="118">
        <v>0.3</v>
      </c>
      <c r="L704" s="119" t="s">
        <v>26</v>
      </c>
      <c r="M704" s="118">
        <v>0.8</v>
      </c>
      <c r="N704" s="119" t="s">
        <v>26</v>
      </c>
      <c r="O704" s="118">
        <v>2.1</v>
      </c>
      <c r="P704" s="118">
        <v>2.5</v>
      </c>
      <c r="Q704" s="118">
        <v>3.8</v>
      </c>
      <c r="R704" s="118">
        <v>1.4</v>
      </c>
      <c r="S704" s="127">
        <v>2.5</v>
      </c>
      <c r="T704" s="121" t="s">
        <v>26</v>
      </c>
      <c r="U704" s="89">
        <v>549</v>
      </c>
      <c r="V704" s="126" t="s">
        <v>26</v>
      </c>
      <c r="AC704" s="33"/>
      <c r="AD704" s="33"/>
      <c r="AE704" s="33"/>
    </row>
    <row r="705" spans="1:31">
      <c r="A705" s="26" t="s">
        <v>729</v>
      </c>
      <c r="B705" s="8" t="s">
        <v>457</v>
      </c>
      <c r="C705" s="8" t="s">
        <v>22</v>
      </c>
      <c r="D705" s="3" t="s">
        <v>23</v>
      </c>
      <c r="E705" s="23" t="s">
        <v>27</v>
      </c>
      <c r="F705" s="16" t="s">
        <v>737</v>
      </c>
      <c r="G705" s="118">
        <v>119</v>
      </c>
      <c r="H705" s="118">
        <v>245</v>
      </c>
      <c r="I705" s="118">
        <v>7.5</v>
      </c>
      <c r="J705" s="118">
        <v>0.6</v>
      </c>
      <c r="K705" s="119" t="s">
        <v>26</v>
      </c>
      <c r="L705" s="119" t="s">
        <v>26</v>
      </c>
      <c r="M705" s="118">
        <v>0.5</v>
      </c>
      <c r="N705" s="119" t="s">
        <v>26</v>
      </c>
      <c r="O705" s="118">
        <v>5.5</v>
      </c>
      <c r="P705" s="118">
        <v>3.6</v>
      </c>
      <c r="Q705" s="118">
        <v>3.1</v>
      </c>
      <c r="R705" s="119" t="s">
        <v>26</v>
      </c>
      <c r="S705" s="127">
        <v>3.9</v>
      </c>
      <c r="T705" s="121" t="s">
        <v>26</v>
      </c>
      <c r="U705" s="89">
        <v>224</v>
      </c>
      <c r="V705" s="126" t="s">
        <v>26</v>
      </c>
      <c r="AC705" s="33"/>
      <c r="AD705" s="33"/>
      <c r="AE705" s="33"/>
    </row>
    <row r="706" spans="1:31">
      <c r="A706" s="26" t="s">
        <v>729</v>
      </c>
      <c r="B706" s="8" t="s">
        <v>457</v>
      </c>
      <c r="C706" s="8" t="s">
        <v>22</v>
      </c>
      <c r="D706" s="3" t="s">
        <v>23</v>
      </c>
      <c r="E706" s="23" t="s">
        <v>29</v>
      </c>
      <c r="F706" s="16" t="s">
        <v>650</v>
      </c>
      <c r="G706" s="118">
        <v>45</v>
      </c>
      <c r="H706" s="118">
        <v>13.5</v>
      </c>
      <c r="I706" s="118">
        <v>7.2</v>
      </c>
      <c r="J706" s="118">
        <v>10</v>
      </c>
      <c r="K706" s="118">
        <v>0.5</v>
      </c>
      <c r="L706" s="119" t="s">
        <v>26</v>
      </c>
      <c r="M706" s="118">
        <v>0.6</v>
      </c>
      <c r="N706" s="119" t="s">
        <v>26</v>
      </c>
      <c r="O706" s="118">
        <v>7.5</v>
      </c>
      <c r="P706" s="118">
        <v>5.9</v>
      </c>
      <c r="Q706" s="118">
        <v>2.5</v>
      </c>
      <c r="R706" s="119" t="s">
        <v>26</v>
      </c>
      <c r="S706" s="127">
        <v>4.8</v>
      </c>
      <c r="T706" s="121" t="s">
        <v>26</v>
      </c>
      <c r="U706" s="89">
        <v>1346</v>
      </c>
      <c r="V706" s="126" t="s">
        <v>26</v>
      </c>
      <c r="AC706" s="33"/>
      <c r="AD706" s="33"/>
      <c r="AE706" s="33"/>
    </row>
    <row r="707" spans="1:31">
      <c r="A707" s="26" t="s">
        <v>729</v>
      </c>
      <c r="B707" s="8" t="s">
        <v>457</v>
      </c>
      <c r="C707" s="8" t="s">
        <v>22</v>
      </c>
      <c r="D707" s="3" t="s">
        <v>23</v>
      </c>
      <c r="E707" s="23" t="s">
        <v>31</v>
      </c>
      <c r="F707" s="16" t="s">
        <v>738</v>
      </c>
      <c r="G707" s="118">
        <v>18</v>
      </c>
      <c r="H707" s="119" t="s">
        <v>26</v>
      </c>
      <c r="I707" s="118">
        <v>6.5</v>
      </c>
      <c r="J707" s="118">
        <v>28.5</v>
      </c>
      <c r="K707" s="119" t="s">
        <v>26</v>
      </c>
      <c r="L707" s="119" t="s">
        <v>26</v>
      </c>
      <c r="M707" s="119" t="s">
        <v>26</v>
      </c>
      <c r="N707" s="119" t="s">
        <v>26</v>
      </c>
      <c r="O707" s="118">
        <v>12.5</v>
      </c>
      <c r="P707" s="118">
        <v>13.6</v>
      </c>
      <c r="Q707" s="119" t="s">
        <v>26</v>
      </c>
      <c r="R707" s="119" t="s">
        <v>26</v>
      </c>
      <c r="S707" s="127">
        <v>6.5</v>
      </c>
      <c r="T707" s="121" t="s">
        <v>26</v>
      </c>
      <c r="U707" s="89">
        <v>865</v>
      </c>
      <c r="V707" s="126" t="s">
        <v>26</v>
      </c>
      <c r="AC707" s="33"/>
      <c r="AD707" s="33"/>
      <c r="AE707" s="33"/>
    </row>
    <row r="708" spans="1:31">
      <c r="A708" s="26" t="s">
        <v>729</v>
      </c>
      <c r="B708" s="8" t="s">
        <v>457</v>
      </c>
      <c r="C708" s="8" t="s">
        <v>22</v>
      </c>
      <c r="D708" s="3" t="s">
        <v>23</v>
      </c>
      <c r="E708" s="25" t="s">
        <v>131</v>
      </c>
      <c r="F708" s="16" t="s">
        <v>739</v>
      </c>
      <c r="G708" s="118">
        <v>14</v>
      </c>
      <c r="H708" s="118">
        <v>26</v>
      </c>
      <c r="I708" s="118">
        <v>14</v>
      </c>
      <c r="J708" s="118">
        <v>20.5</v>
      </c>
      <c r="K708" s="119" t="s">
        <v>26</v>
      </c>
      <c r="L708" s="119" t="s">
        <v>26</v>
      </c>
      <c r="M708" s="119" t="s">
        <v>26</v>
      </c>
      <c r="N708" s="119" t="s">
        <v>26</v>
      </c>
      <c r="O708" s="118">
        <v>6.7</v>
      </c>
      <c r="P708" s="119" t="s">
        <v>26</v>
      </c>
      <c r="Q708" s="119" t="s">
        <v>26</v>
      </c>
      <c r="R708" s="119" t="s">
        <v>26</v>
      </c>
      <c r="S708" s="127">
        <v>8.5</v>
      </c>
      <c r="T708" s="121" t="s">
        <v>26</v>
      </c>
      <c r="U708" s="89">
        <v>4046</v>
      </c>
      <c r="V708" s="89">
        <v>40</v>
      </c>
      <c r="AC708" s="33"/>
      <c r="AD708" s="33"/>
      <c r="AE708" s="33"/>
    </row>
    <row r="709" spans="1:31">
      <c r="A709" s="26" t="s">
        <v>729</v>
      </c>
      <c r="B709" s="8" t="s">
        <v>83</v>
      </c>
      <c r="C709" s="8" t="s">
        <v>22</v>
      </c>
      <c r="D709" s="8" t="s">
        <v>109</v>
      </c>
      <c r="E709" s="23" t="s">
        <v>24</v>
      </c>
      <c r="F709" s="16" t="s">
        <v>740</v>
      </c>
      <c r="G709" s="118">
        <v>229</v>
      </c>
      <c r="H709" s="118">
        <v>19.5</v>
      </c>
      <c r="I709" s="119" t="s">
        <v>26</v>
      </c>
      <c r="J709" s="119" t="s">
        <v>26</v>
      </c>
      <c r="K709" s="119" t="s">
        <v>26</v>
      </c>
      <c r="L709" s="118">
        <v>0.4</v>
      </c>
      <c r="M709" s="118">
        <v>0.6</v>
      </c>
      <c r="N709" s="119" t="s">
        <v>26</v>
      </c>
      <c r="O709" s="118">
        <v>1.5</v>
      </c>
      <c r="P709" s="118">
        <v>1.8</v>
      </c>
      <c r="Q709" s="119" t="s">
        <v>26</v>
      </c>
      <c r="R709" s="118">
        <v>1.2</v>
      </c>
      <c r="S709" s="127">
        <v>2.5</v>
      </c>
      <c r="T709" s="121" t="s">
        <v>26</v>
      </c>
      <c r="U709" s="130">
        <v>414</v>
      </c>
      <c r="V709" s="126" t="s">
        <v>26</v>
      </c>
      <c r="AC709" s="33"/>
      <c r="AD709" s="33"/>
      <c r="AE709" s="33"/>
    </row>
    <row r="710" spans="1:31">
      <c r="A710" s="26" t="s">
        <v>729</v>
      </c>
      <c r="B710" s="8" t="s">
        <v>83</v>
      </c>
      <c r="C710" s="8" t="s">
        <v>22</v>
      </c>
      <c r="D710" s="8" t="s">
        <v>109</v>
      </c>
      <c r="E710" s="23" t="s">
        <v>27</v>
      </c>
      <c r="F710" s="16" t="s">
        <v>570</v>
      </c>
      <c r="G710" s="118">
        <v>109</v>
      </c>
      <c r="H710" s="118">
        <v>34.5</v>
      </c>
      <c r="I710" s="118">
        <v>2.6</v>
      </c>
      <c r="J710" s="118">
        <v>0.7</v>
      </c>
      <c r="K710" s="119" t="s">
        <v>26</v>
      </c>
      <c r="L710" s="118">
        <v>0.5</v>
      </c>
      <c r="M710" s="118">
        <v>0.4</v>
      </c>
      <c r="N710" s="119" t="s">
        <v>26</v>
      </c>
      <c r="O710" s="118">
        <v>2.8</v>
      </c>
      <c r="P710" s="118">
        <v>1.7</v>
      </c>
      <c r="Q710" s="119" t="s">
        <v>26</v>
      </c>
      <c r="R710" s="119" t="s">
        <v>26</v>
      </c>
      <c r="S710" s="127">
        <v>3.8</v>
      </c>
      <c r="T710" s="121" t="s">
        <v>26</v>
      </c>
      <c r="U710" s="130">
        <v>472</v>
      </c>
      <c r="V710" s="126" t="s">
        <v>26</v>
      </c>
      <c r="AC710" s="33"/>
      <c r="AD710" s="33"/>
      <c r="AE710" s="33"/>
    </row>
    <row r="711" spans="1:31">
      <c r="A711" s="26" t="s">
        <v>729</v>
      </c>
      <c r="B711" s="8" t="s">
        <v>83</v>
      </c>
      <c r="C711" s="8" t="s">
        <v>22</v>
      </c>
      <c r="D711" s="8" t="s">
        <v>109</v>
      </c>
      <c r="E711" s="23" t="s">
        <v>29</v>
      </c>
      <c r="F711" s="16" t="s">
        <v>741</v>
      </c>
      <c r="G711" s="118">
        <v>36</v>
      </c>
      <c r="H711" s="118">
        <v>38.5</v>
      </c>
      <c r="I711" s="118">
        <v>4.9000000000000004</v>
      </c>
      <c r="J711" s="118">
        <v>1.8</v>
      </c>
      <c r="K711" s="118">
        <v>0.7</v>
      </c>
      <c r="L711" s="118">
        <v>0.6</v>
      </c>
      <c r="M711" s="118">
        <v>0.7</v>
      </c>
      <c r="N711" s="119" t="s">
        <v>26</v>
      </c>
      <c r="O711" s="118">
        <v>3.7</v>
      </c>
      <c r="P711" s="118">
        <v>2.5</v>
      </c>
      <c r="Q711" s="119" t="s">
        <v>26</v>
      </c>
      <c r="R711" s="119" t="s">
        <v>26</v>
      </c>
      <c r="S711" s="127">
        <v>7</v>
      </c>
      <c r="T711" s="121" t="s">
        <v>26</v>
      </c>
      <c r="U711" s="130">
        <v>1700</v>
      </c>
      <c r="V711" s="126" t="s">
        <v>26</v>
      </c>
      <c r="AC711" s="33"/>
      <c r="AD711" s="33"/>
      <c r="AE711" s="33"/>
    </row>
    <row r="712" spans="1:31">
      <c r="A712" s="26" t="s">
        <v>729</v>
      </c>
      <c r="B712" s="8" t="s">
        <v>83</v>
      </c>
      <c r="C712" s="8" t="s">
        <v>22</v>
      </c>
      <c r="D712" s="8" t="s">
        <v>109</v>
      </c>
      <c r="E712" s="23" t="s">
        <v>31</v>
      </c>
      <c r="F712" s="16" t="s">
        <v>43</v>
      </c>
      <c r="G712" s="118">
        <v>13</v>
      </c>
      <c r="H712" s="119" t="s">
        <v>26</v>
      </c>
      <c r="I712" s="119" t="s">
        <v>26</v>
      </c>
      <c r="J712" s="118">
        <v>22.5</v>
      </c>
      <c r="K712" s="119" t="s">
        <v>26</v>
      </c>
      <c r="L712" s="119" t="s">
        <v>26</v>
      </c>
      <c r="M712" s="119" t="s">
        <v>26</v>
      </c>
      <c r="N712" s="119" t="s">
        <v>26</v>
      </c>
      <c r="O712" s="118">
        <v>5.2</v>
      </c>
      <c r="P712" s="118">
        <v>3.9</v>
      </c>
      <c r="Q712" s="119" t="s">
        <v>26</v>
      </c>
      <c r="R712" s="119" t="s">
        <v>26</v>
      </c>
      <c r="S712" s="127">
        <v>11.6</v>
      </c>
      <c r="T712" s="121" t="s">
        <v>26</v>
      </c>
      <c r="U712" s="130">
        <v>1202</v>
      </c>
      <c r="V712" s="126" t="s">
        <v>26</v>
      </c>
      <c r="AC712" s="33"/>
      <c r="AD712" s="33"/>
      <c r="AE712" s="33"/>
    </row>
    <row r="713" spans="1:31">
      <c r="A713" s="26" t="s">
        <v>729</v>
      </c>
      <c r="B713" s="8" t="s">
        <v>68</v>
      </c>
      <c r="C713" s="8" t="s">
        <v>22</v>
      </c>
      <c r="D713" s="8" t="s">
        <v>109</v>
      </c>
      <c r="E713" s="23" t="s">
        <v>24</v>
      </c>
      <c r="F713" s="16" t="s">
        <v>742</v>
      </c>
      <c r="G713" s="118">
        <v>224</v>
      </c>
      <c r="H713" s="118">
        <v>19.8</v>
      </c>
      <c r="I713" s="119" t="s">
        <v>26</v>
      </c>
      <c r="J713" s="119" t="s">
        <v>26</v>
      </c>
      <c r="K713" s="119" t="s">
        <v>26</v>
      </c>
      <c r="L713" s="118">
        <v>0.3</v>
      </c>
      <c r="M713" s="118">
        <v>0.5</v>
      </c>
      <c r="N713" s="119" t="s">
        <v>26</v>
      </c>
      <c r="O713" s="118">
        <v>0.5</v>
      </c>
      <c r="P713" s="118">
        <v>0.9</v>
      </c>
      <c r="Q713" s="119" t="s">
        <v>26</v>
      </c>
      <c r="R713" s="118">
        <v>1.3</v>
      </c>
      <c r="S713" s="127">
        <v>1.1000000000000001</v>
      </c>
      <c r="T713" s="121" t="s">
        <v>26</v>
      </c>
      <c r="U713" s="130">
        <v>342</v>
      </c>
      <c r="V713" s="126" t="s">
        <v>26</v>
      </c>
      <c r="AC713" s="33"/>
      <c r="AD713" s="33"/>
      <c r="AE713" s="33"/>
    </row>
    <row r="714" spans="1:31">
      <c r="A714" s="26" t="s">
        <v>729</v>
      </c>
      <c r="B714" s="8" t="s">
        <v>68</v>
      </c>
      <c r="C714" s="8" t="s">
        <v>22</v>
      </c>
      <c r="D714" s="8" t="s">
        <v>109</v>
      </c>
      <c r="E714" s="23" t="s">
        <v>27</v>
      </c>
      <c r="F714" s="16" t="s">
        <v>743</v>
      </c>
      <c r="G714" s="118">
        <v>106</v>
      </c>
      <c r="H714" s="118">
        <v>36.5</v>
      </c>
      <c r="I714" s="118">
        <v>1.4</v>
      </c>
      <c r="J714" s="118">
        <v>0.5</v>
      </c>
      <c r="K714" s="119" t="s">
        <v>26</v>
      </c>
      <c r="L714" s="119" t="s">
        <v>26</v>
      </c>
      <c r="M714" s="118">
        <v>0.6</v>
      </c>
      <c r="N714" s="119" t="s">
        <v>26</v>
      </c>
      <c r="O714" s="118">
        <v>2</v>
      </c>
      <c r="P714" s="118">
        <v>1.8</v>
      </c>
      <c r="Q714" s="119" t="s">
        <v>26</v>
      </c>
      <c r="R714" s="119" t="s">
        <v>26</v>
      </c>
      <c r="S714" s="127">
        <v>2.1</v>
      </c>
      <c r="T714" s="121" t="s">
        <v>26</v>
      </c>
      <c r="U714" s="130">
        <v>54</v>
      </c>
      <c r="V714" s="126" t="s">
        <v>26</v>
      </c>
      <c r="AC714" s="33"/>
      <c r="AD714" s="33"/>
      <c r="AE714" s="33"/>
    </row>
    <row r="715" spans="1:31">
      <c r="A715" s="26" t="s">
        <v>729</v>
      </c>
      <c r="B715" s="8" t="s">
        <v>68</v>
      </c>
      <c r="C715" s="8" t="s">
        <v>22</v>
      </c>
      <c r="D715" s="8" t="s">
        <v>109</v>
      </c>
      <c r="E715" s="23" t="s">
        <v>29</v>
      </c>
      <c r="F715" s="16" t="s">
        <v>744</v>
      </c>
      <c r="G715" s="118">
        <v>39</v>
      </c>
      <c r="H715" s="118">
        <v>31.5</v>
      </c>
      <c r="I715" s="118">
        <v>7.5</v>
      </c>
      <c r="J715" s="118">
        <v>1.6</v>
      </c>
      <c r="K715" s="119" t="s">
        <v>26</v>
      </c>
      <c r="L715" s="119" t="s">
        <v>26</v>
      </c>
      <c r="M715" s="119" t="s">
        <v>26</v>
      </c>
      <c r="N715" s="119" t="s">
        <v>26</v>
      </c>
      <c r="O715" s="118">
        <v>2.6</v>
      </c>
      <c r="P715" s="118">
        <v>1.5</v>
      </c>
      <c r="Q715" s="119" t="s">
        <v>26</v>
      </c>
      <c r="R715" s="118">
        <v>0.6</v>
      </c>
      <c r="S715" s="127">
        <v>4.7</v>
      </c>
      <c r="T715" s="121" t="s">
        <v>26</v>
      </c>
      <c r="U715" s="130">
        <v>730</v>
      </c>
      <c r="V715" s="126" t="s">
        <v>26</v>
      </c>
      <c r="AC715" s="33"/>
      <c r="AD715" s="33"/>
      <c r="AE715" s="33"/>
    </row>
    <row r="716" spans="1:31">
      <c r="A716" s="26" t="s">
        <v>729</v>
      </c>
      <c r="B716" s="8" t="s">
        <v>68</v>
      </c>
      <c r="C716" s="8" t="s">
        <v>22</v>
      </c>
      <c r="D716" s="8" t="s">
        <v>109</v>
      </c>
      <c r="E716" s="23" t="s">
        <v>31</v>
      </c>
      <c r="F716" s="16" t="s">
        <v>745</v>
      </c>
      <c r="G716" s="118">
        <v>14</v>
      </c>
      <c r="H716" s="119" t="s">
        <v>26</v>
      </c>
      <c r="I716" s="118">
        <v>3.1</v>
      </c>
      <c r="J716" s="118">
        <v>16.5</v>
      </c>
      <c r="K716" s="119" t="s">
        <v>26</v>
      </c>
      <c r="L716" s="119" t="s">
        <v>26</v>
      </c>
      <c r="M716" s="119" t="s">
        <v>26</v>
      </c>
      <c r="N716" s="119" t="s">
        <v>26</v>
      </c>
      <c r="O716" s="118">
        <v>2.4</v>
      </c>
      <c r="P716" s="118">
        <v>2.4</v>
      </c>
      <c r="Q716" s="119" t="s">
        <v>26</v>
      </c>
      <c r="R716" s="119" t="s">
        <v>26</v>
      </c>
      <c r="S716" s="127">
        <v>6.1</v>
      </c>
      <c r="T716" s="121" t="s">
        <v>26</v>
      </c>
      <c r="U716" s="130">
        <v>1724</v>
      </c>
      <c r="V716" s="126" t="s">
        <v>26</v>
      </c>
      <c r="AC716" s="33"/>
      <c r="AD716" s="33"/>
      <c r="AE716" s="33"/>
    </row>
    <row r="717" spans="1:31">
      <c r="A717" s="26" t="s">
        <v>729</v>
      </c>
      <c r="B717" s="8" t="s">
        <v>358</v>
      </c>
      <c r="C717" s="8" t="s">
        <v>22</v>
      </c>
      <c r="D717" s="3" t="s">
        <v>33</v>
      </c>
      <c r="E717" s="23" t="s">
        <v>24</v>
      </c>
      <c r="F717" s="16" t="s">
        <v>746</v>
      </c>
      <c r="G717" s="118">
        <v>220</v>
      </c>
      <c r="H717" s="118">
        <v>21.5</v>
      </c>
      <c r="I717" s="119" t="s">
        <v>26</v>
      </c>
      <c r="J717" s="119" t="s">
        <v>26</v>
      </c>
      <c r="K717" s="119" t="s">
        <v>26</v>
      </c>
      <c r="L717" s="118">
        <v>0.3</v>
      </c>
      <c r="M717" s="118">
        <v>0.4</v>
      </c>
      <c r="N717" s="119" t="s">
        <v>26</v>
      </c>
      <c r="O717" s="118">
        <v>0.7</v>
      </c>
      <c r="P717" s="118">
        <v>0.5</v>
      </c>
      <c r="Q717" s="119" t="s">
        <v>26</v>
      </c>
      <c r="R717" s="119" t="s">
        <v>26</v>
      </c>
      <c r="S717" s="127">
        <v>1.5</v>
      </c>
      <c r="T717" s="121" t="s">
        <v>26</v>
      </c>
      <c r="U717" s="130">
        <v>386</v>
      </c>
      <c r="V717" s="126" t="s">
        <v>26</v>
      </c>
      <c r="AC717" s="33"/>
      <c r="AD717" s="33"/>
      <c r="AE717" s="33"/>
    </row>
    <row r="718" spans="1:31">
      <c r="A718" s="26" t="s">
        <v>729</v>
      </c>
      <c r="B718" s="8" t="s">
        <v>358</v>
      </c>
      <c r="C718" s="8" t="s">
        <v>22</v>
      </c>
      <c r="D718" s="3" t="s">
        <v>33</v>
      </c>
      <c r="E718" s="23" t="s">
        <v>27</v>
      </c>
      <c r="F718" s="16" t="s">
        <v>747</v>
      </c>
      <c r="G718" s="118">
        <v>120</v>
      </c>
      <c r="H718" s="118">
        <v>29.5</v>
      </c>
      <c r="I718" s="118">
        <v>4.0999999999999996</v>
      </c>
      <c r="J718" s="118">
        <v>0.6</v>
      </c>
      <c r="K718" s="118">
        <v>0.5</v>
      </c>
      <c r="L718" s="119" t="s">
        <v>26</v>
      </c>
      <c r="M718" s="118">
        <v>0.7</v>
      </c>
      <c r="N718" s="119" t="s">
        <v>26</v>
      </c>
      <c r="O718" s="118">
        <v>2.8</v>
      </c>
      <c r="P718" s="118">
        <v>1.4</v>
      </c>
      <c r="Q718" s="119" t="s">
        <v>26</v>
      </c>
      <c r="R718" s="119" t="s">
        <v>26</v>
      </c>
      <c r="S718" s="127">
        <v>2.6</v>
      </c>
      <c r="T718" s="121" t="s">
        <v>26</v>
      </c>
      <c r="U718" s="130">
        <v>203</v>
      </c>
      <c r="V718" s="126" t="s">
        <v>26</v>
      </c>
      <c r="AC718" s="33"/>
      <c r="AD718" s="33"/>
      <c r="AE718" s="33"/>
    </row>
    <row r="719" spans="1:31">
      <c r="A719" s="26" t="s">
        <v>729</v>
      </c>
      <c r="B719" s="8" t="s">
        <v>358</v>
      </c>
      <c r="C719" s="8" t="s">
        <v>22</v>
      </c>
      <c r="D719" s="3" t="s">
        <v>33</v>
      </c>
      <c r="E719" s="23" t="s">
        <v>29</v>
      </c>
      <c r="F719" s="16" t="s">
        <v>646</v>
      </c>
      <c r="G719" s="118">
        <v>41</v>
      </c>
      <c r="H719" s="118">
        <v>20.5</v>
      </c>
      <c r="I719" s="118">
        <v>6.2</v>
      </c>
      <c r="J719" s="118">
        <v>1.92</v>
      </c>
      <c r="K719" s="118">
        <v>0.7</v>
      </c>
      <c r="L719" s="118">
        <v>0.5</v>
      </c>
      <c r="M719" s="118">
        <v>0.8</v>
      </c>
      <c r="N719" s="119" t="s">
        <v>26</v>
      </c>
      <c r="O719" s="118">
        <v>2.9</v>
      </c>
      <c r="P719" s="118">
        <v>1.8</v>
      </c>
      <c r="Q719" s="119" t="s">
        <v>26</v>
      </c>
      <c r="R719" s="119" t="s">
        <v>26</v>
      </c>
      <c r="S719" s="127">
        <v>3.8</v>
      </c>
      <c r="T719" s="121" t="s">
        <v>26</v>
      </c>
      <c r="U719" s="130">
        <v>280</v>
      </c>
      <c r="V719" s="126" t="s">
        <v>26</v>
      </c>
      <c r="AC719" s="33"/>
      <c r="AD719" s="33"/>
      <c r="AE719" s="33"/>
    </row>
    <row r="720" spans="1:31">
      <c r="A720" s="26" t="s">
        <v>729</v>
      </c>
      <c r="B720" s="8" t="s">
        <v>358</v>
      </c>
      <c r="C720" s="8" t="s">
        <v>22</v>
      </c>
      <c r="D720" s="3" t="s">
        <v>33</v>
      </c>
      <c r="E720" s="23" t="s">
        <v>31</v>
      </c>
      <c r="F720" s="16" t="s">
        <v>748</v>
      </c>
      <c r="G720" s="118">
        <v>18</v>
      </c>
      <c r="H720" s="119" t="s">
        <v>26</v>
      </c>
      <c r="I720" s="118">
        <v>6.1</v>
      </c>
      <c r="J720" s="118">
        <v>19.399999999999999</v>
      </c>
      <c r="K720" s="119" t="s">
        <v>26</v>
      </c>
      <c r="L720" s="119" t="s">
        <v>26</v>
      </c>
      <c r="M720" s="119" t="s">
        <v>26</v>
      </c>
      <c r="N720" s="119" t="s">
        <v>26</v>
      </c>
      <c r="O720" s="118">
        <v>2.1</v>
      </c>
      <c r="P720" s="118">
        <v>2.6</v>
      </c>
      <c r="Q720" s="119" t="s">
        <v>26</v>
      </c>
      <c r="R720" s="119" t="s">
        <v>26</v>
      </c>
      <c r="S720" s="127">
        <v>4.5</v>
      </c>
      <c r="T720" s="121" t="s">
        <v>26</v>
      </c>
      <c r="U720" s="130">
        <v>839</v>
      </c>
      <c r="V720" s="126" t="s">
        <v>26</v>
      </c>
      <c r="AC720" s="33"/>
      <c r="AD720" s="33"/>
      <c r="AE720" s="33"/>
    </row>
    <row r="721" spans="1:31">
      <c r="A721" s="26" t="s">
        <v>729</v>
      </c>
      <c r="B721" s="8" t="s">
        <v>749</v>
      </c>
      <c r="C721" s="8" t="s">
        <v>22</v>
      </c>
      <c r="D721" s="8" t="s">
        <v>109</v>
      </c>
      <c r="E721" s="23" t="s">
        <v>24</v>
      </c>
      <c r="F721" s="16" t="s">
        <v>750</v>
      </c>
      <c r="G721" s="118">
        <v>220</v>
      </c>
      <c r="H721" s="118">
        <v>18.100000000000001</v>
      </c>
      <c r="I721" s="119" t="s">
        <v>26</v>
      </c>
      <c r="J721" s="119" t="s">
        <v>26</v>
      </c>
      <c r="K721" s="119" t="s">
        <v>26</v>
      </c>
      <c r="L721" s="118">
        <v>0.4</v>
      </c>
      <c r="M721" s="118">
        <v>0.6</v>
      </c>
      <c r="N721" s="119" t="s">
        <v>26</v>
      </c>
      <c r="O721" s="118">
        <v>1.4</v>
      </c>
      <c r="P721" s="118">
        <v>1.1000000000000001</v>
      </c>
      <c r="Q721" s="119" t="s">
        <v>26</v>
      </c>
      <c r="R721" s="118">
        <v>0.7</v>
      </c>
      <c r="S721" s="127">
        <v>2.8</v>
      </c>
      <c r="T721" s="121" t="s">
        <v>26</v>
      </c>
      <c r="U721" s="130">
        <v>308</v>
      </c>
      <c r="V721" s="126" t="s">
        <v>26</v>
      </c>
      <c r="AC721" s="33"/>
      <c r="AD721" s="33"/>
      <c r="AE721" s="33"/>
    </row>
    <row r="722" spans="1:31">
      <c r="A722" s="26" t="s">
        <v>729</v>
      </c>
      <c r="B722" s="8" t="s">
        <v>749</v>
      </c>
      <c r="C722" s="8" t="s">
        <v>22</v>
      </c>
      <c r="D722" s="8" t="s">
        <v>109</v>
      </c>
      <c r="E722" s="23" t="s">
        <v>27</v>
      </c>
      <c r="F722" s="16" t="s">
        <v>751</v>
      </c>
      <c r="G722" s="118">
        <v>110</v>
      </c>
      <c r="H722" s="118">
        <v>24.9</v>
      </c>
      <c r="I722" s="118">
        <v>5.0999999999999996</v>
      </c>
      <c r="J722" s="118">
        <v>0.5</v>
      </c>
      <c r="K722" s="119" t="s">
        <v>26</v>
      </c>
      <c r="L722" s="119" t="s">
        <v>26</v>
      </c>
      <c r="M722" s="118">
        <v>0.5</v>
      </c>
      <c r="N722" s="119" t="s">
        <v>26</v>
      </c>
      <c r="O722" s="118">
        <v>2.6</v>
      </c>
      <c r="P722" s="118">
        <v>2.8</v>
      </c>
      <c r="Q722" s="119" t="s">
        <v>26</v>
      </c>
      <c r="R722" s="118">
        <v>0.5</v>
      </c>
      <c r="S722" s="127">
        <v>3.9</v>
      </c>
      <c r="T722" s="121" t="s">
        <v>26</v>
      </c>
      <c r="U722" s="130">
        <v>234</v>
      </c>
      <c r="V722" s="126" t="s">
        <v>26</v>
      </c>
      <c r="AC722" s="33"/>
      <c r="AD722" s="33"/>
      <c r="AE722" s="33"/>
    </row>
    <row r="723" spans="1:31">
      <c r="A723" s="26" t="s">
        <v>729</v>
      </c>
      <c r="B723" s="8" t="s">
        <v>749</v>
      </c>
      <c r="C723" s="8" t="s">
        <v>22</v>
      </c>
      <c r="D723" s="8" t="s">
        <v>109</v>
      </c>
      <c r="E723" s="23" t="s">
        <v>29</v>
      </c>
      <c r="F723" s="16" t="s">
        <v>752</v>
      </c>
      <c r="G723" s="118">
        <v>35</v>
      </c>
      <c r="H723" s="118">
        <v>34.5</v>
      </c>
      <c r="I723" s="118">
        <v>4.5</v>
      </c>
      <c r="J723" s="118">
        <v>1.5</v>
      </c>
      <c r="K723" s="118">
        <v>0.6</v>
      </c>
      <c r="L723" s="118">
        <v>0.5</v>
      </c>
      <c r="M723" s="118">
        <v>0.4</v>
      </c>
      <c r="N723" s="119" t="s">
        <v>26</v>
      </c>
      <c r="O723" s="118">
        <v>4.0999999999999996</v>
      </c>
      <c r="P723" s="118">
        <v>3.1</v>
      </c>
      <c r="Q723" s="119" t="s">
        <v>26</v>
      </c>
      <c r="R723" s="119" t="s">
        <v>26</v>
      </c>
      <c r="S723" s="127">
        <v>6.5</v>
      </c>
      <c r="T723" s="121" t="s">
        <v>26</v>
      </c>
      <c r="U723" s="130">
        <v>630</v>
      </c>
      <c r="V723" s="126" t="s">
        <v>26</v>
      </c>
      <c r="AC723" s="33"/>
      <c r="AD723" s="33"/>
      <c r="AE723" s="33"/>
    </row>
    <row r="724" spans="1:31">
      <c r="A724" s="26" t="s">
        <v>729</v>
      </c>
      <c r="B724" s="8" t="s">
        <v>749</v>
      </c>
      <c r="C724" s="8" t="s">
        <v>22</v>
      </c>
      <c r="D724" s="8" t="s">
        <v>109</v>
      </c>
      <c r="E724" s="23" t="s">
        <v>31</v>
      </c>
      <c r="F724" s="16" t="s">
        <v>753</v>
      </c>
      <c r="G724" s="118">
        <v>14</v>
      </c>
      <c r="H724" s="119" t="s">
        <v>26</v>
      </c>
      <c r="I724" s="119" t="s">
        <v>26</v>
      </c>
      <c r="J724" s="118">
        <v>12.5</v>
      </c>
      <c r="K724" s="119" t="s">
        <v>26</v>
      </c>
      <c r="L724" s="119" t="s">
        <v>26</v>
      </c>
      <c r="M724" s="119" t="s">
        <v>26</v>
      </c>
      <c r="N724" s="119" t="s">
        <v>26</v>
      </c>
      <c r="O724" s="118">
        <v>4.5</v>
      </c>
      <c r="P724" s="118">
        <v>6</v>
      </c>
      <c r="Q724" s="119" t="s">
        <v>26</v>
      </c>
      <c r="R724" s="119" t="s">
        <v>26</v>
      </c>
      <c r="S724" s="127">
        <v>10.9</v>
      </c>
      <c r="T724" s="121" t="s">
        <v>26</v>
      </c>
      <c r="U724" s="130">
        <f>649+220</f>
        <v>869</v>
      </c>
      <c r="V724" s="126" t="s">
        <v>26</v>
      </c>
      <c r="AC724" s="33"/>
      <c r="AD724" s="33"/>
      <c r="AE724" s="33"/>
    </row>
    <row r="725" spans="1:31">
      <c r="A725" s="26" t="s">
        <v>754</v>
      </c>
      <c r="B725" s="8" t="s">
        <v>535</v>
      </c>
      <c r="C725" s="8" t="s">
        <v>22</v>
      </c>
      <c r="D725" s="8" t="s">
        <v>109</v>
      </c>
      <c r="E725" s="23" t="s">
        <v>24</v>
      </c>
      <c r="F725" s="16" t="s">
        <v>755</v>
      </c>
      <c r="G725" s="118">
        <v>235</v>
      </c>
      <c r="H725" s="118">
        <v>5.4</v>
      </c>
      <c r="I725" s="119" t="s">
        <v>26</v>
      </c>
      <c r="J725" s="119" t="s">
        <v>26</v>
      </c>
      <c r="K725" s="119" t="s">
        <v>26</v>
      </c>
      <c r="L725" s="119" t="s">
        <v>26</v>
      </c>
      <c r="M725" s="119" t="s">
        <v>26</v>
      </c>
      <c r="N725" s="119" t="s">
        <v>26</v>
      </c>
      <c r="O725" s="118">
        <v>3.1</v>
      </c>
      <c r="P725" s="119" t="s">
        <v>26</v>
      </c>
      <c r="Q725" s="118">
        <v>2.9</v>
      </c>
      <c r="R725" s="118">
        <v>1.7</v>
      </c>
      <c r="S725" s="120" t="s">
        <v>26</v>
      </c>
      <c r="T725" s="121" t="s">
        <v>26</v>
      </c>
      <c r="U725" s="130">
        <v>284</v>
      </c>
      <c r="V725" s="89">
        <v>512</v>
      </c>
      <c r="AC725" s="33"/>
      <c r="AD725" s="33"/>
      <c r="AE725" s="33"/>
    </row>
    <row r="726" spans="1:31">
      <c r="A726" s="26" t="s">
        <v>754</v>
      </c>
      <c r="B726" s="8" t="s">
        <v>535</v>
      </c>
      <c r="C726" s="8" t="s">
        <v>22</v>
      </c>
      <c r="D726" s="8" t="s">
        <v>109</v>
      </c>
      <c r="E726" s="23" t="s">
        <v>27</v>
      </c>
      <c r="F726" s="16" t="s">
        <v>756</v>
      </c>
      <c r="G726" s="118">
        <v>125</v>
      </c>
      <c r="H726" s="118">
        <v>9.4</v>
      </c>
      <c r="I726" s="118">
        <v>13.7</v>
      </c>
      <c r="J726" s="119" t="s">
        <v>26</v>
      </c>
      <c r="K726" s="119" t="s">
        <v>26</v>
      </c>
      <c r="L726" s="119" t="s">
        <v>26</v>
      </c>
      <c r="M726" s="119" t="s">
        <v>26</v>
      </c>
      <c r="N726" s="119" t="s">
        <v>26</v>
      </c>
      <c r="O726" s="118">
        <v>8.3000000000000007</v>
      </c>
      <c r="P726" s="118">
        <v>1.3</v>
      </c>
      <c r="Q726" s="119" t="s">
        <v>26</v>
      </c>
      <c r="R726" s="119" t="s">
        <v>26</v>
      </c>
      <c r="S726" s="127">
        <v>1.7</v>
      </c>
      <c r="T726" s="121" t="s">
        <v>26</v>
      </c>
      <c r="U726" s="130">
        <v>57</v>
      </c>
      <c r="V726" s="89">
        <v>217</v>
      </c>
      <c r="AC726" s="33"/>
      <c r="AD726" s="33"/>
      <c r="AE726" s="33"/>
    </row>
    <row r="727" spans="1:31">
      <c r="A727" s="26" t="s">
        <v>754</v>
      </c>
      <c r="B727" s="8" t="s">
        <v>535</v>
      </c>
      <c r="C727" s="8" t="s">
        <v>22</v>
      </c>
      <c r="D727" s="8" t="s">
        <v>109</v>
      </c>
      <c r="E727" s="23" t="s">
        <v>29</v>
      </c>
      <c r="F727" s="16" t="s">
        <v>757</v>
      </c>
      <c r="G727" s="118">
        <v>35</v>
      </c>
      <c r="H727" s="118">
        <v>20.399999999999999</v>
      </c>
      <c r="I727" s="118">
        <v>22.4</v>
      </c>
      <c r="J727" s="118">
        <v>1.6</v>
      </c>
      <c r="K727" s="119" t="s">
        <v>26</v>
      </c>
      <c r="L727" s="119" t="s">
        <v>26</v>
      </c>
      <c r="M727" s="119" t="s">
        <v>26</v>
      </c>
      <c r="N727" s="119" t="s">
        <v>26</v>
      </c>
      <c r="O727" s="118">
        <v>6.2</v>
      </c>
      <c r="P727" s="118">
        <v>1.4</v>
      </c>
      <c r="Q727" s="119" t="s">
        <v>26</v>
      </c>
      <c r="R727" s="119" t="s">
        <v>26</v>
      </c>
      <c r="S727" s="127">
        <v>3.7</v>
      </c>
      <c r="T727" s="121" t="s">
        <v>26</v>
      </c>
      <c r="U727" s="130">
        <v>1215</v>
      </c>
      <c r="V727" s="89">
        <v>594</v>
      </c>
      <c r="AC727" s="33"/>
      <c r="AD727" s="33"/>
      <c r="AE727" s="33"/>
    </row>
    <row r="728" spans="1:31">
      <c r="A728" s="26" t="s">
        <v>754</v>
      </c>
      <c r="B728" s="8" t="s">
        <v>535</v>
      </c>
      <c r="C728" s="8" t="s">
        <v>22</v>
      </c>
      <c r="D728" s="8" t="s">
        <v>109</v>
      </c>
      <c r="E728" s="23" t="s">
        <v>31</v>
      </c>
      <c r="F728" s="16" t="s">
        <v>758</v>
      </c>
      <c r="G728" s="118">
        <v>8</v>
      </c>
      <c r="H728" s="118">
        <v>13.4</v>
      </c>
      <c r="I728" s="118">
        <v>6.4</v>
      </c>
      <c r="J728" s="118">
        <v>5.0999999999999996</v>
      </c>
      <c r="K728" s="119" t="s">
        <v>26</v>
      </c>
      <c r="L728" s="119" t="s">
        <v>26</v>
      </c>
      <c r="M728" s="119" t="s">
        <v>26</v>
      </c>
      <c r="N728" s="119" t="s">
        <v>26</v>
      </c>
      <c r="O728" s="118">
        <v>5.2</v>
      </c>
      <c r="P728" s="118">
        <v>1.6</v>
      </c>
      <c r="Q728" s="119" t="s">
        <v>26</v>
      </c>
      <c r="R728" s="118">
        <v>1.4</v>
      </c>
      <c r="S728" s="127">
        <v>3.4</v>
      </c>
      <c r="T728" s="121" t="s">
        <v>26</v>
      </c>
      <c r="U728" s="130">
        <v>955</v>
      </c>
      <c r="V728" s="89">
        <v>190</v>
      </c>
      <c r="AC728" s="33"/>
      <c r="AD728" s="33"/>
      <c r="AE728" s="33"/>
    </row>
    <row r="729" spans="1:31">
      <c r="A729" s="26" t="s">
        <v>754</v>
      </c>
      <c r="B729" s="8" t="s">
        <v>211</v>
      </c>
      <c r="C729" s="8" t="s">
        <v>22</v>
      </c>
      <c r="D729" s="3" t="s">
        <v>23</v>
      </c>
      <c r="E729" s="23" t="s">
        <v>24</v>
      </c>
      <c r="F729" s="16" t="s">
        <v>759</v>
      </c>
      <c r="G729" s="118">
        <v>225</v>
      </c>
      <c r="H729" s="118">
        <v>18.5</v>
      </c>
      <c r="I729" s="119" t="s">
        <v>26</v>
      </c>
      <c r="J729" s="119" t="s">
        <v>26</v>
      </c>
      <c r="K729" s="119" t="s">
        <v>26</v>
      </c>
      <c r="L729" s="119" t="s">
        <v>26</v>
      </c>
      <c r="M729" s="118">
        <v>0.4</v>
      </c>
      <c r="N729" s="119" t="s">
        <v>26</v>
      </c>
      <c r="O729" s="118">
        <v>1.2</v>
      </c>
      <c r="P729" s="118">
        <v>2.4</v>
      </c>
      <c r="Q729" s="118">
        <v>4.5</v>
      </c>
      <c r="R729" s="118">
        <v>1.4</v>
      </c>
      <c r="S729" s="127">
        <v>2.2000000000000002</v>
      </c>
      <c r="T729" s="121" t="s">
        <v>26</v>
      </c>
      <c r="U729" s="89">
        <v>360</v>
      </c>
      <c r="V729" s="126" t="s">
        <v>26</v>
      </c>
      <c r="AC729" s="33"/>
      <c r="AD729" s="33"/>
      <c r="AE729" s="33"/>
    </row>
    <row r="730" spans="1:31">
      <c r="A730" s="26" t="s">
        <v>754</v>
      </c>
      <c r="B730" s="8" t="s">
        <v>211</v>
      </c>
      <c r="C730" s="8" t="s">
        <v>22</v>
      </c>
      <c r="D730" s="3" t="s">
        <v>23</v>
      </c>
      <c r="E730" s="23" t="s">
        <v>27</v>
      </c>
      <c r="F730" s="16" t="s">
        <v>547</v>
      </c>
      <c r="G730" s="118">
        <v>105</v>
      </c>
      <c r="H730" s="118">
        <v>40.5</v>
      </c>
      <c r="I730" s="118">
        <v>0.9</v>
      </c>
      <c r="J730" s="118">
        <v>0.7</v>
      </c>
      <c r="K730" s="118">
        <v>0.4</v>
      </c>
      <c r="L730" s="119" t="s">
        <v>26</v>
      </c>
      <c r="M730" s="118">
        <v>0.5</v>
      </c>
      <c r="N730" s="119" t="s">
        <v>26</v>
      </c>
      <c r="O730" s="118">
        <v>3.5</v>
      </c>
      <c r="P730" s="118">
        <v>3.1</v>
      </c>
      <c r="Q730" s="118">
        <v>2.1</v>
      </c>
      <c r="R730" s="118">
        <v>2</v>
      </c>
      <c r="S730" s="127">
        <v>4.5</v>
      </c>
      <c r="T730" s="121" t="s">
        <v>26</v>
      </c>
      <c r="U730" s="89">
        <v>148</v>
      </c>
      <c r="V730" s="126" t="s">
        <v>26</v>
      </c>
      <c r="AC730" s="33"/>
      <c r="AD730" s="33"/>
      <c r="AE730" s="33"/>
    </row>
    <row r="731" spans="1:31">
      <c r="A731" s="26" t="s">
        <v>754</v>
      </c>
      <c r="B731" s="8" t="s">
        <v>211</v>
      </c>
      <c r="C731" s="8" t="s">
        <v>22</v>
      </c>
      <c r="D731" s="3" t="s">
        <v>23</v>
      </c>
      <c r="E731" s="23" t="s">
        <v>29</v>
      </c>
      <c r="F731" s="16" t="s">
        <v>760</v>
      </c>
      <c r="G731" s="118">
        <v>43</v>
      </c>
      <c r="H731" s="118">
        <v>8.5</v>
      </c>
      <c r="I731" s="118">
        <v>9.5</v>
      </c>
      <c r="J731" s="118">
        <v>5.4</v>
      </c>
      <c r="K731" s="118">
        <v>0.6</v>
      </c>
      <c r="L731" s="119" t="s">
        <v>26</v>
      </c>
      <c r="M731" s="118">
        <v>0.9</v>
      </c>
      <c r="N731" s="119" t="s">
        <v>26</v>
      </c>
      <c r="O731" s="118">
        <v>4.2</v>
      </c>
      <c r="P731" s="118">
        <v>6.8</v>
      </c>
      <c r="Q731" s="119" t="s">
        <v>26</v>
      </c>
      <c r="R731" s="118">
        <v>1.2</v>
      </c>
      <c r="S731" s="127">
        <v>6.9</v>
      </c>
      <c r="T731" s="121" t="s">
        <v>26</v>
      </c>
      <c r="U731" s="89">
        <v>2240</v>
      </c>
      <c r="V731" s="126" t="s">
        <v>26</v>
      </c>
      <c r="AC731" s="33"/>
      <c r="AD731" s="33"/>
      <c r="AE731" s="33"/>
    </row>
    <row r="732" spans="1:31">
      <c r="A732" s="26" t="s">
        <v>754</v>
      </c>
      <c r="B732" s="8" t="s">
        <v>211</v>
      </c>
      <c r="C732" s="8" t="s">
        <v>22</v>
      </c>
      <c r="D732" s="3" t="s">
        <v>23</v>
      </c>
      <c r="E732" s="23" t="s">
        <v>31</v>
      </c>
      <c r="F732" s="16" t="s">
        <v>91</v>
      </c>
      <c r="G732" s="118">
        <v>18</v>
      </c>
      <c r="H732" s="119" t="s">
        <v>26</v>
      </c>
      <c r="I732" s="118">
        <v>6.5</v>
      </c>
      <c r="J732" s="118">
        <v>15.1</v>
      </c>
      <c r="K732" s="119" t="s">
        <v>26</v>
      </c>
      <c r="L732" s="119" t="s">
        <v>26</v>
      </c>
      <c r="M732" s="119" t="s">
        <v>26</v>
      </c>
      <c r="N732" s="119" t="s">
        <v>26</v>
      </c>
      <c r="O732" s="118">
        <v>5.6</v>
      </c>
      <c r="P732" s="118">
        <v>10.5</v>
      </c>
      <c r="Q732" s="119" t="s">
        <v>26</v>
      </c>
      <c r="R732" s="119" t="s">
        <v>26</v>
      </c>
      <c r="S732" s="127">
        <v>11.5</v>
      </c>
      <c r="T732" s="121" t="s">
        <v>26</v>
      </c>
      <c r="U732" s="89">
        <v>1432</v>
      </c>
      <c r="V732" s="126" t="s">
        <v>26</v>
      </c>
      <c r="AC732" s="33"/>
      <c r="AD732" s="33"/>
      <c r="AE732" s="33"/>
    </row>
    <row r="733" spans="1:31">
      <c r="A733" s="26" t="s">
        <v>754</v>
      </c>
      <c r="B733" s="8" t="s">
        <v>381</v>
      </c>
      <c r="C733" s="8" t="s">
        <v>22</v>
      </c>
      <c r="D733" s="8" t="s">
        <v>109</v>
      </c>
      <c r="E733" s="23" t="s">
        <v>24</v>
      </c>
      <c r="F733" s="16" t="s">
        <v>138</v>
      </c>
      <c r="G733" s="118">
        <v>233</v>
      </c>
      <c r="H733" s="118">
        <v>20.5</v>
      </c>
      <c r="I733" s="119" t="s">
        <v>26</v>
      </c>
      <c r="J733" s="119" t="s">
        <v>26</v>
      </c>
      <c r="K733" s="119" t="s">
        <v>26</v>
      </c>
      <c r="L733" s="118">
        <v>0.3</v>
      </c>
      <c r="M733" s="118">
        <v>0.6</v>
      </c>
      <c r="N733" s="119" t="s">
        <v>26</v>
      </c>
      <c r="O733" s="118">
        <v>2.5</v>
      </c>
      <c r="P733" s="118">
        <v>1.8</v>
      </c>
      <c r="Q733" s="119" t="s">
        <v>26</v>
      </c>
      <c r="R733" s="118">
        <v>0.9</v>
      </c>
      <c r="S733" s="127">
        <v>2.8</v>
      </c>
      <c r="T733" s="121" t="s">
        <v>26</v>
      </c>
      <c r="U733" s="130">
        <v>396</v>
      </c>
      <c r="V733" s="126" t="s">
        <v>26</v>
      </c>
      <c r="AC733" s="33"/>
      <c r="AD733" s="33"/>
      <c r="AE733" s="33"/>
    </row>
    <row r="734" spans="1:31">
      <c r="A734" s="26" t="s">
        <v>754</v>
      </c>
      <c r="B734" s="8" t="s">
        <v>381</v>
      </c>
      <c r="C734" s="8" t="s">
        <v>22</v>
      </c>
      <c r="D734" s="8" t="s">
        <v>109</v>
      </c>
      <c r="E734" s="23" t="s">
        <v>27</v>
      </c>
      <c r="F734" s="16" t="s">
        <v>761</v>
      </c>
      <c r="G734" s="118">
        <v>86</v>
      </c>
      <c r="H734" s="118">
        <v>55.5</v>
      </c>
      <c r="I734" s="118">
        <v>1.1000000000000001</v>
      </c>
      <c r="J734" s="118">
        <v>0.6</v>
      </c>
      <c r="K734" s="118">
        <v>0.4</v>
      </c>
      <c r="L734" s="119" t="s">
        <v>26</v>
      </c>
      <c r="M734" s="118">
        <v>0.5</v>
      </c>
      <c r="N734" s="119" t="s">
        <v>26</v>
      </c>
      <c r="O734" s="118">
        <v>3.9</v>
      </c>
      <c r="P734" s="118">
        <v>8.1</v>
      </c>
      <c r="Q734" s="119" t="s">
        <v>26</v>
      </c>
      <c r="R734" s="118">
        <v>1.2</v>
      </c>
      <c r="S734" s="127">
        <v>4.9000000000000004</v>
      </c>
      <c r="T734" s="121" t="s">
        <v>26</v>
      </c>
      <c r="U734" s="130">
        <v>284</v>
      </c>
      <c r="V734" s="126" t="s">
        <v>26</v>
      </c>
      <c r="AC734" s="33"/>
      <c r="AD734" s="33"/>
      <c r="AE734" s="33"/>
    </row>
    <row r="735" spans="1:31">
      <c r="A735" s="26" t="s">
        <v>754</v>
      </c>
      <c r="B735" s="8" t="s">
        <v>381</v>
      </c>
      <c r="C735" s="8" t="s">
        <v>22</v>
      </c>
      <c r="D735" s="8" t="s">
        <v>109</v>
      </c>
      <c r="E735" s="23" t="s">
        <v>29</v>
      </c>
      <c r="F735" s="16" t="s">
        <v>646</v>
      </c>
      <c r="G735" s="118">
        <v>35</v>
      </c>
      <c r="H735" s="118">
        <v>39.5</v>
      </c>
      <c r="I735" s="118">
        <v>5.2</v>
      </c>
      <c r="J735" s="118">
        <v>1.72</v>
      </c>
      <c r="K735" s="118">
        <v>0.8</v>
      </c>
      <c r="L735" s="119" t="s">
        <v>26</v>
      </c>
      <c r="M735" s="118">
        <v>1.1000000000000001</v>
      </c>
      <c r="N735" s="119" t="s">
        <v>26</v>
      </c>
      <c r="O735" s="118">
        <v>5.6</v>
      </c>
      <c r="P735" s="118">
        <v>5.9</v>
      </c>
      <c r="Q735" s="119" t="s">
        <v>26</v>
      </c>
      <c r="R735" s="118">
        <v>0.6</v>
      </c>
      <c r="S735" s="127">
        <v>7.8</v>
      </c>
      <c r="T735" s="121" t="s">
        <v>26</v>
      </c>
      <c r="U735" s="130">
        <v>1040</v>
      </c>
      <c r="V735" s="126" t="s">
        <v>26</v>
      </c>
      <c r="AC735" s="33"/>
      <c r="AD735" s="33"/>
      <c r="AE735" s="33"/>
    </row>
    <row r="736" spans="1:31">
      <c r="A736" s="26" t="s">
        <v>754</v>
      </c>
      <c r="B736" s="8" t="s">
        <v>381</v>
      </c>
      <c r="C736" s="8" t="s">
        <v>22</v>
      </c>
      <c r="D736" s="8" t="s">
        <v>109</v>
      </c>
      <c r="E736" s="23" t="s">
        <v>31</v>
      </c>
      <c r="F736" s="16" t="s">
        <v>762</v>
      </c>
      <c r="G736" s="118">
        <v>15</v>
      </c>
      <c r="H736" s="119" t="s">
        <v>26</v>
      </c>
      <c r="I736" s="118">
        <v>1.2</v>
      </c>
      <c r="J736" s="118">
        <v>14.3</v>
      </c>
      <c r="K736" s="119" t="s">
        <v>26</v>
      </c>
      <c r="L736" s="119" t="s">
        <v>26</v>
      </c>
      <c r="M736" s="119" t="s">
        <v>26</v>
      </c>
      <c r="N736" s="119" t="s">
        <v>26</v>
      </c>
      <c r="O736" s="118">
        <v>6</v>
      </c>
      <c r="P736" s="118">
        <v>7.2</v>
      </c>
      <c r="Q736" s="119" t="s">
        <v>26</v>
      </c>
      <c r="R736" s="119" t="s">
        <v>26</v>
      </c>
      <c r="S736" s="127">
        <v>13.5</v>
      </c>
      <c r="T736" s="121" t="s">
        <v>26</v>
      </c>
      <c r="U736" s="130">
        <v>1207</v>
      </c>
      <c r="V736" s="126" t="s">
        <v>26</v>
      </c>
      <c r="AC736" s="33"/>
      <c r="AD736" s="33"/>
      <c r="AE736" s="33"/>
    </row>
    <row r="737" spans="1:31">
      <c r="A737" s="26" t="s">
        <v>754</v>
      </c>
      <c r="B737" s="8" t="s">
        <v>47</v>
      </c>
      <c r="C737" s="8" t="s">
        <v>22</v>
      </c>
      <c r="D737" s="3" t="s">
        <v>23</v>
      </c>
      <c r="E737" s="23" t="s">
        <v>24</v>
      </c>
      <c r="F737" s="16" t="s">
        <v>763</v>
      </c>
      <c r="G737" s="118">
        <v>226</v>
      </c>
      <c r="H737" s="118">
        <v>28.5</v>
      </c>
      <c r="I737" s="119" t="s">
        <v>26</v>
      </c>
      <c r="J737" s="119" t="s">
        <v>26</v>
      </c>
      <c r="K737" s="119" t="s">
        <v>26</v>
      </c>
      <c r="L737" s="118">
        <v>0.3</v>
      </c>
      <c r="M737" s="119" t="s">
        <v>26</v>
      </c>
      <c r="N737" s="119" t="s">
        <v>26</v>
      </c>
      <c r="O737" s="118">
        <v>1.2</v>
      </c>
      <c r="P737" s="118">
        <v>2.5</v>
      </c>
      <c r="Q737" s="118">
        <v>3.5</v>
      </c>
      <c r="R737" s="118">
        <v>1.4</v>
      </c>
      <c r="S737" s="127">
        <v>1.9</v>
      </c>
      <c r="T737" s="121" t="s">
        <v>26</v>
      </c>
      <c r="U737" s="89">
        <v>396</v>
      </c>
      <c r="V737" s="126" t="s">
        <v>26</v>
      </c>
      <c r="AC737" s="33"/>
      <c r="AD737" s="33"/>
      <c r="AE737" s="33"/>
    </row>
    <row r="738" spans="1:31">
      <c r="A738" s="26" t="s">
        <v>754</v>
      </c>
      <c r="B738" s="8" t="s">
        <v>47</v>
      </c>
      <c r="C738" s="8" t="s">
        <v>22</v>
      </c>
      <c r="D738" s="3" t="s">
        <v>23</v>
      </c>
      <c r="E738" s="23" t="s">
        <v>27</v>
      </c>
      <c r="F738" s="16" t="s">
        <v>206</v>
      </c>
      <c r="G738" s="118">
        <v>109</v>
      </c>
      <c r="H738" s="118">
        <v>38.799999999999997</v>
      </c>
      <c r="I738" s="118">
        <v>1.9</v>
      </c>
      <c r="J738" s="118">
        <v>0.5</v>
      </c>
      <c r="K738" s="119" t="s">
        <v>26</v>
      </c>
      <c r="L738" s="119" t="s">
        <v>26</v>
      </c>
      <c r="M738" s="119" t="s">
        <v>26</v>
      </c>
      <c r="N738" s="119" t="s">
        <v>26</v>
      </c>
      <c r="O738" s="118">
        <v>3.8</v>
      </c>
      <c r="P738" s="118">
        <v>3.1</v>
      </c>
      <c r="Q738" s="118">
        <v>1.4</v>
      </c>
      <c r="R738" s="118">
        <v>0.6</v>
      </c>
      <c r="S738" s="127">
        <v>5.6</v>
      </c>
      <c r="T738" s="121" t="s">
        <v>26</v>
      </c>
      <c r="U738" s="89">
        <v>126</v>
      </c>
      <c r="V738" s="126" t="s">
        <v>26</v>
      </c>
      <c r="AC738" s="33"/>
      <c r="AD738" s="33"/>
      <c r="AE738" s="33"/>
    </row>
    <row r="739" spans="1:31">
      <c r="A739" s="26" t="s">
        <v>754</v>
      </c>
      <c r="B739" s="8" t="s">
        <v>47</v>
      </c>
      <c r="C739" s="8" t="s">
        <v>22</v>
      </c>
      <c r="D739" s="3" t="s">
        <v>23</v>
      </c>
      <c r="E739" s="23" t="s">
        <v>29</v>
      </c>
      <c r="F739" s="16" t="s">
        <v>764</v>
      </c>
      <c r="G739" s="118">
        <v>43</v>
      </c>
      <c r="H739" s="118">
        <v>7.5</v>
      </c>
      <c r="I739" s="118">
        <v>8.9</v>
      </c>
      <c r="J739" s="118">
        <v>1.88</v>
      </c>
      <c r="K739" s="118">
        <v>0.5</v>
      </c>
      <c r="L739" s="119" t="s">
        <v>26</v>
      </c>
      <c r="M739" s="119" t="s">
        <v>26</v>
      </c>
      <c r="N739" s="119" t="s">
        <v>26</v>
      </c>
      <c r="O739" s="118">
        <v>5.8</v>
      </c>
      <c r="P739" s="118">
        <v>4.5</v>
      </c>
      <c r="Q739" s="119" t="s">
        <v>26</v>
      </c>
      <c r="R739" s="119" t="s">
        <v>26</v>
      </c>
      <c r="S739" s="127">
        <v>7.9</v>
      </c>
      <c r="T739" s="121" t="s">
        <v>26</v>
      </c>
      <c r="U739" s="89">
        <v>1000</v>
      </c>
      <c r="V739" s="126" t="s">
        <v>26</v>
      </c>
      <c r="AC739" s="33"/>
      <c r="AD739" s="33"/>
      <c r="AE739" s="33"/>
    </row>
    <row r="740" spans="1:31">
      <c r="A740" s="26" t="s">
        <v>754</v>
      </c>
      <c r="B740" s="8" t="s">
        <v>47</v>
      </c>
      <c r="C740" s="8" t="s">
        <v>22</v>
      </c>
      <c r="D740" s="3" t="s">
        <v>23</v>
      </c>
      <c r="E740" s="23" t="s">
        <v>31</v>
      </c>
      <c r="F740" s="16" t="s">
        <v>765</v>
      </c>
      <c r="G740" s="118">
        <v>19</v>
      </c>
      <c r="H740" s="119" t="s">
        <v>26</v>
      </c>
      <c r="I740" s="118">
        <v>12.5</v>
      </c>
      <c r="J740" s="118">
        <v>13.8</v>
      </c>
      <c r="K740" s="119" t="s">
        <v>26</v>
      </c>
      <c r="L740" s="119" t="s">
        <v>26</v>
      </c>
      <c r="M740" s="119" t="s">
        <v>26</v>
      </c>
      <c r="N740" s="119" t="s">
        <v>26</v>
      </c>
      <c r="O740" s="118">
        <v>3.6</v>
      </c>
      <c r="P740" s="118">
        <v>15.5</v>
      </c>
      <c r="Q740" s="119" t="s">
        <v>26</v>
      </c>
      <c r="R740" s="119" t="s">
        <v>26</v>
      </c>
      <c r="S740" s="127">
        <v>10.6</v>
      </c>
      <c r="T740" s="121" t="s">
        <v>26</v>
      </c>
      <c r="U740" s="89">
        <v>1416</v>
      </c>
      <c r="V740" s="126" t="s">
        <v>26</v>
      </c>
      <c r="AC740" s="33"/>
      <c r="AD740" s="33"/>
      <c r="AE740" s="33"/>
    </row>
    <row r="741" spans="1:31">
      <c r="A741" s="26" t="s">
        <v>754</v>
      </c>
      <c r="B741" s="8" t="s">
        <v>47</v>
      </c>
      <c r="C741" s="8" t="s">
        <v>22</v>
      </c>
      <c r="D741" s="3" t="s">
        <v>23</v>
      </c>
      <c r="E741" s="25" t="s">
        <v>131</v>
      </c>
      <c r="F741" s="16" t="s">
        <v>766</v>
      </c>
      <c r="G741" s="118">
        <v>13</v>
      </c>
      <c r="H741" s="118">
        <v>24.6</v>
      </c>
      <c r="I741" s="118">
        <v>2.75</v>
      </c>
      <c r="J741" s="118">
        <v>7.6</v>
      </c>
      <c r="K741" s="119" t="s">
        <v>26</v>
      </c>
      <c r="L741" s="119" t="s">
        <v>26</v>
      </c>
      <c r="M741" s="119" t="s">
        <v>26</v>
      </c>
      <c r="N741" s="119" t="s">
        <v>26</v>
      </c>
      <c r="O741" s="125" t="s">
        <v>26</v>
      </c>
      <c r="P741" s="119" t="s">
        <v>26</v>
      </c>
      <c r="Q741" s="119" t="s">
        <v>26</v>
      </c>
      <c r="R741" s="119" t="s">
        <v>26</v>
      </c>
      <c r="S741" s="127">
        <v>6.5</v>
      </c>
      <c r="T741" s="121" t="s">
        <v>26</v>
      </c>
      <c r="U741" s="89">
        <v>1287</v>
      </c>
      <c r="V741" s="89">
        <v>20</v>
      </c>
      <c r="AC741" s="33"/>
      <c r="AD741" s="33"/>
      <c r="AE741" s="33"/>
    </row>
    <row r="742" spans="1:31">
      <c r="A742" s="26" t="s">
        <v>754</v>
      </c>
      <c r="B742" s="8" t="s">
        <v>179</v>
      </c>
      <c r="C742" s="8" t="s">
        <v>22</v>
      </c>
      <c r="D742" s="3" t="s">
        <v>33</v>
      </c>
      <c r="E742" s="23" t="s">
        <v>24</v>
      </c>
      <c r="F742" s="16" t="s">
        <v>767</v>
      </c>
      <c r="G742" s="118">
        <v>234</v>
      </c>
      <c r="H742" s="118">
        <v>18.5</v>
      </c>
      <c r="I742" s="119" t="s">
        <v>26</v>
      </c>
      <c r="J742" s="119" t="s">
        <v>26</v>
      </c>
      <c r="K742" s="119" t="s">
        <v>26</v>
      </c>
      <c r="L742" s="119" t="s">
        <v>26</v>
      </c>
      <c r="M742" s="118">
        <v>0.4</v>
      </c>
      <c r="N742" s="119" t="s">
        <v>26</v>
      </c>
      <c r="O742" s="118">
        <v>0.9</v>
      </c>
      <c r="P742" s="118">
        <v>0.6</v>
      </c>
      <c r="Q742" s="119" t="s">
        <v>26</v>
      </c>
      <c r="R742" s="118">
        <v>0.4</v>
      </c>
      <c r="S742" s="127">
        <v>1.3</v>
      </c>
      <c r="T742" s="121" t="s">
        <v>26</v>
      </c>
      <c r="U742" s="130">
        <v>116</v>
      </c>
      <c r="V742" s="126" t="s">
        <v>26</v>
      </c>
      <c r="AC742" s="33"/>
      <c r="AD742" s="33"/>
      <c r="AE742" s="33"/>
    </row>
    <row r="743" spans="1:31">
      <c r="A743" s="26" t="s">
        <v>754</v>
      </c>
      <c r="B743" s="8" t="s">
        <v>179</v>
      </c>
      <c r="C743" s="8" t="s">
        <v>22</v>
      </c>
      <c r="D743" s="3" t="s">
        <v>33</v>
      </c>
      <c r="E743" s="23" t="s">
        <v>27</v>
      </c>
      <c r="F743" s="16" t="s">
        <v>608</v>
      </c>
      <c r="G743" s="118">
        <v>92</v>
      </c>
      <c r="H743" s="118">
        <v>41.9</v>
      </c>
      <c r="I743" s="118">
        <v>1.4</v>
      </c>
      <c r="J743" s="119" t="s">
        <v>26</v>
      </c>
      <c r="K743" s="119" t="s">
        <v>26</v>
      </c>
      <c r="L743" s="119" t="s">
        <v>26</v>
      </c>
      <c r="M743" s="118">
        <v>0.8</v>
      </c>
      <c r="N743" s="119" t="s">
        <v>26</v>
      </c>
      <c r="O743" s="118">
        <v>2.8</v>
      </c>
      <c r="P743" s="118">
        <v>1.1000000000000001</v>
      </c>
      <c r="Q743" s="119" t="s">
        <v>26</v>
      </c>
      <c r="R743" s="119" t="s">
        <v>26</v>
      </c>
      <c r="S743" s="127">
        <v>2.4</v>
      </c>
      <c r="T743" s="121" t="s">
        <v>26</v>
      </c>
      <c r="U743" s="130">
        <v>110</v>
      </c>
      <c r="V743" s="126" t="s">
        <v>26</v>
      </c>
      <c r="AC743" s="33"/>
      <c r="AD743" s="33"/>
      <c r="AE743" s="33"/>
    </row>
    <row r="744" spans="1:31">
      <c r="A744" s="26" t="s">
        <v>754</v>
      </c>
      <c r="B744" s="8" t="s">
        <v>179</v>
      </c>
      <c r="C744" s="8" t="s">
        <v>22</v>
      </c>
      <c r="D744" s="3" t="s">
        <v>33</v>
      </c>
      <c r="E744" s="23" t="s">
        <v>29</v>
      </c>
      <c r="F744" s="16" t="s">
        <v>435</v>
      </c>
      <c r="G744" s="118">
        <v>36</v>
      </c>
      <c r="H744" s="118">
        <v>31.5</v>
      </c>
      <c r="I744" s="118">
        <v>5.5</v>
      </c>
      <c r="J744" s="118">
        <v>1.8</v>
      </c>
      <c r="K744" s="119" t="s">
        <v>26</v>
      </c>
      <c r="L744" s="119" t="s">
        <v>26</v>
      </c>
      <c r="M744" s="118">
        <v>0.7</v>
      </c>
      <c r="N744" s="119" t="s">
        <v>26</v>
      </c>
      <c r="O744" s="118">
        <v>2.9</v>
      </c>
      <c r="P744" s="118">
        <v>1.4</v>
      </c>
      <c r="Q744" s="119" t="s">
        <v>26</v>
      </c>
      <c r="R744" s="119" t="s">
        <v>26</v>
      </c>
      <c r="S744" s="127">
        <v>5.6</v>
      </c>
      <c r="T744" s="121" t="s">
        <v>26</v>
      </c>
      <c r="U744" s="130">
        <v>360</v>
      </c>
      <c r="V744" s="126" t="s">
        <v>26</v>
      </c>
      <c r="AC744" s="33"/>
      <c r="AD744" s="33"/>
      <c r="AE744" s="33"/>
    </row>
    <row r="745" spans="1:31">
      <c r="A745" s="26" t="s">
        <v>754</v>
      </c>
      <c r="B745" s="8" t="s">
        <v>179</v>
      </c>
      <c r="C745" s="8" t="s">
        <v>22</v>
      </c>
      <c r="D745" s="3" t="s">
        <v>33</v>
      </c>
      <c r="E745" s="23" t="s">
        <v>31</v>
      </c>
      <c r="F745" s="16" t="s">
        <v>120</v>
      </c>
      <c r="G745" s="118">
        <v>16</v>
      </c>
      <c r="H745" s="119" t="s">
        <v>26</v>
      </c>
      <c r="I745" s="118">
        <v>5.2</v>
      </c>
      <c r="J745" s="118">
        <v>16.5</v>
      </c>
      <c r="K745" s="119" t="s">
        <v>26</v>
      </c>
      <c r="L745" s="119" t="s">
        <v>26</v>
      </c>
      <c r="M745" s="119" t="s">
        <v>26</v>
      </c>
      <c r="N745" s="119" t="s">
        <v>26</v>
      </c>
      <c r="O745" s="118">
        <v>1.8</v>
      </c>
      <c r="P745" s="118">
        <v>2.1</v>
      </c>
      <c r="Q745" s="119" t="s">
        <v>26</v>
      </c>
      <c r="R745" s="119" t="s">
        <v>26</v>
      </c>
      <c r="S745" s="127">
        <v>8.5</v>
      </c>
      <c r="T745" s="121" t="s">
        <v>26</v>
      </c>
      <c r="U745" s="130">
        <v>912</v>
      </c>
      <c r="V745" s="126" t="s">
        <v>26</v>
      </c>
      <c r="AC745" s="33"/>
      <c r="AD745" s="33"/>
      <c r="AE745" s="33"/>
    </row>
    <row r="746" spans="1:31">
      <c r="A746" s="26" t="s">
        <v>754</v>
      </c>
      <c r="B746" s="8" t="s">
        <v>39</v>
      </c>
      <c r="C746" s="8" t="s">
        <v>22</v>
      </c>
      <c r="D746" s="3" t="s">
        <v>33</v>
      </c>
      <c r="E746" s="23" t="s">
        <v>24</v>
      </c>
      <c r="F746" s="16" t="s">
        <v>768</v>
      </c>
      <c r="G746" s="118">
        <v>202</v>
      </c>
      <c r="H746" s="118">
        <v>27.5</v>
      </c>
      <c r="I746" s="119" t="s">
        <v>26</v>
      </c>
      <c r="J746" s="119" t="s">
        <v>26</v>
      </c>
      <c r="K746" s="119" t="s">
        <v>26</v>
      </c>
      <c r="L746" s="119" t="s">
        <v>26</v>
      </c>
      <c r="M746" s="118">
        <v>0.5</v>
      </c>
      <c r="N746" s="119" t="s">
        <v>26</v>
      </c>
      <c r="O746" s="125" t="s">
        <v>26</v>
      </c>
      <c r="P746" s="118">
        <v>0.4</v>
      </c>
      <c r="Q746" s="119" t="s">
        <v>26</v>
      </c>
      <c r="R746" s="118">
        <v>0.7</v>
      </c>
      <c r="S746" s="120" t="s">
        <v>26</v>
      </c>
      <c r="T746" s="121" t="s">
        <v>26</v>
      </c>
      <c r="U746" s="130">
        <v>288</v>
      </c>
      <c r="V746" s="126" t="s">
        <v>26</v>
      </c>
      <c r="AC746" s="33"/>
      <c r="AD746" s="33"/>
      <c r="AE746" s="33"/>
    </row>
    <row r="747" spans="1:31">
      <c r="A747" s="26" t="s">
        <v>754</v>
      </c>
      <c r="B747" s="8" t="s">
        <v>39</v>
      </c>
      <c r="C747" s="8" t="s">
        <v>22</v>
      </c>
      <c r="D747" s="3" t="s">
        <v>33</v>
      </c>
      <c r="E747" s="23" t="s">
        <v>27</v>
      </c>
      <c r="F747" s="16" t="s">
        <v>769</v>
      </c>
      <c r="G747" s="118">
        <v>100</v>
      </c>
      <c r="H747" s="118">
        <v>40.799999999999997</v>
      </c>
      <c r="I747" s="118">
        <v>1.5</v>
      </c>
      <c r="J747" s="119" t="s">
        <v>26</v>
      </c>
      <c r="K747" s="119" t="s">
        <v>26</v>
      </c>
      <c r="L747" s="119" t="s">
        <v>26</v>
      </c>
      <c r="M747" s="118">
        <v>0.4</v>
      </c>
      <c r="N747" s="119" t="s">
        <v>26</v>
      </c>
      <c r="O747" s="125" t="s">
        <v>26</v>
      </c>
      <c r="P747" s="118">
        <v>0.9</v>
      </c>
      <c r="Q747" s="119" t="s">
        <v>26</v>
      </c>
      <c r="R747" s="118">
        <v>0.5</v>
      </c>
      <c r="S747" s="120" t="s">
        <v>26</v>
      </c>
      <c r="T747" s="121" t="s">
        <v>26</v>
      </c>
      <c r="U747" s="130">
        <v>96</v>
      </c>
      <c r="V747" s="126" t="s">
        <v>26</v>
      </c>
      <c r="AC747" s="33"/>
      <c r="AD747" s="33"/>
      <c r="AE747" s="33"/>
    </row>
    <row r="748" spans="1:31">
      <c r="A748" s="26" t="s">
        <v>754</v>
      </c>
      <c r="B748" s="8" t="s">
        <v>39</v>
      </c>
      <c r="C748" s="8" t="s">
        <v>22</v>
      </c>
      <c r="D748" s="3" t="s">
        <v>33</v>
      </c>
      <c r="E748" s="23" t="s">
        <v>29</v>
      </c>
      <c r="F748" s="16" t="s">
        <v>138</v>
      </c>
      <c r="G748" s="118">
        <v>39</v>
      </c>
      <c r="H748" s="118">
        <v>29.5</v>
      </c>
      <c r="I748" s="118">
        <v>6.2</v>
      </c>
      <c r="J748" s="118">
        <v>1.4</v>
      </c>
      <c r="K748" s="119" t="s">
        <v>26</v>
      </c>
      <c r="L748" s="119" t="s">
        <v>26</v>
      </c>
      <c r="M748" s="118">
        <v>0.9</v>
      </c>
      <c r="N748" s="119" t="s">
        <v>26</v>
      </c>
      <c r="O748" s="125" t="s">
        <v>26</v>
      </c>
      <c r="P748" s="118">
        <v>1.2</v>
      </c>
      <c r="Q748" s="119" t="s">
        <v>26</v>
      </c>
      <c r="R748" s="118">
        <v>0.4</v>
      </c>
      <c r="S748" s="120" t="s">
        <v>26</v>
      </c>
      <c r="T748" s="121" t="s">
        <v>26</v>
      </c>
      <c r="U748" s="130">
        <v>280</v>
      </c>
      <c r="V748" s="126" t="s">
        <v>26</v>
      </c>
      <c r="AC748" s="33"/>
      <c r="AD748" s="33"/>
      <c r="AE748" s="33"/>
    </row>
    <row r="749" spans="1:31">
      <c r="A749" s="26" t="s">
        <v>754</v>
      </c>
      <c r="B749" s="8" t="s">
        <v>39</v>
      </c>
      <c r="C749" s="8" t="s">
        <v>22</v>
      </c>
      <c r="D749" s="3" t="s">
        <v>33</v>
      </c>
      <c r="E749" s="23" t="s">
        <v>31</v>
      </c>
      <c r="F749" s="16" t="s">
        <v>770</v>
      </c>
      <c r="G749" s="118">
        <v>16</v>
      </c>
      <c r="H749" s="119" t="s">
        <v>26</v>
      </c>
      <c r="I749" s="118">
        <v>3.9</v>
      </c>
      <c r="J749" s="118">
        <v>16</v>
      </c>
      <c r="K749" s="119" t="s">
        <v>26</v>
      </c>
      <c r="L749" s="119" t="s">
        <v>26</v>
      </c>
      <c r="M749" s="119" t="s">
        <v>26</v>
      </c>
      <c r="N749" s="119" t="s">
        <v>26</v>
      </c>
      <c r="O749" s="125" t="s">
        <v>26</v>
      </c>
      <c r="P749" s="118">
        <v>2.2000000000000002</v>
      </c>
      <c r="Q749" s="119" t="s">
        <v>26</v>
      </c>
      <c r="R749" s="119" t="s">
        <v>26</v>
      </c>
      <c r="S749" s="120" t="s">
        <v>26</v>
      </c>
      <c r="T749" s="121" t="s">
        <v>26</v>
      </c>
      <c r="U749" s="130">
        <v>702</v>
      </c>
      <c r="V749" s="126" t="s">
        <v>26</v>
      </c>
      <c r="AC749" s="33"/>
      <c r="AD749" s="33"/>
      <c r="AE749" s="33"/>
    </row>
    <row r="750" spans="1:31">
      <c r="A750" s="18" t="s">
        <v>771</v>
      </c>
      <c r="B750" s="8" t="s">
        <v>772</v>
      </c>
      <c r="C750" s="8" t="s">
        <v>22</v>
      </c>
      <c r="D750" s="8" t="s">
        <v>730</v>
      </c>
      <c r="E750" s="23" t="s">
        <v>27</v>
      </c>
      <c r="F750" s="16" t="s">
        <v>773</v>
      </c>
      <c r="G750" s="118">
        <v>132</v>
      </c>
      <c r="H750" s="118">
        <v>15.7</v>
      </c>
      <c r="I750" s="118">
        <v>18.100000000000001</v>
      </c>
      <c r="J750" s="119" t="s">
        <v>26</v>
      </c>
      <c r="K750" s="119" t="s">
        <v>26</v>
      </c>
      <c r="L750" s="119" t="s">
        <v>26</v>
      </c>
      <c r="M750" s="119" t="s">
        <v>26</v>
      </c>
      <c r="N750" s="119" t="s">
        <v>26</v>
      </c>
      <c r="O750" s="118">
        <v>1.9</v>
      </c>
      <c r="P750" s="119" t="s">
        <v>26</v>
      </c>
      <c r="Q750" s="118">
        <v>8.1</v>
      </c>
      <c r="R750" s="119" t="s">
        <v>26</v>
      </c>
      <c r="S750" s="127">
        <v>2.2000000000000002</v>
      </c>
      <c r="T750" s="121" t="s">
        <v>26</v>
      </c>
      <c r="U750" s="89">
        <v>900</v>
      </c>
      <c r="V750" s="126" t="s">
        <v>26</v>
      </c>
      <c r="AC750" s="33"/>
      <c r="AD750" s="33"/>
      <c r="AE750" s="33"/>
    </row>
    <row r="751" spans="1:31">
      <c r="A751" s="18" t="s">
        <v>771</v>
      </c>
      <c r="B751" s="8" t="s">
        <v>772</v>
      </c>
      <c r="C751" s="8" t="s">
        <v>22</v>
      </c>
      <c r="D751" s="8" t="s">
        <v>730</v>
      </c>
      <c r="E751" s="23" t="s">
        <v>29</v>
      </c>
      <c r="F751" s="16" t="s">
        <v>273</v>
      </c>
      <c r="G751" s="118">
        <v>49</v>
      </c>
      <c r="H751" s="118">
        <v>5.8</v>
      </c>
      <c r="I751" s="118">
        <v>25.6</v>
      </c>
      <c r="J751" s="118">
        <v>1.5</v>
      </c>
      <c r="K751" s="119" t="s">
        <v>26</v>
      </c>
      <c r="L751" s="119" t="s">
        <v>26</v>
      </c>
      <c r="M751" s="119" t="s">
        <v>26</v>
      </c>
      <c r="N751" s="119" t="s">
        <v>26</v>
      </c>
      <c r="O751" s="118">
        <v>4.9000000000000004</v>
      </c>
      <c r="P751" s="119" t="s">
        <v>26</v>
      </c>
      <c r="Q751" s="119" t="s">
        <v>26</v>
      </c>
      <c r="R751" s="118">
        <v>1.6</v>
      </c>
      <c r="S751" s="127">
        <v>3.4</v>
      </c>
      <c r="T751" s="121" t="s">
        <v>26</v>
      </c>
      <c r="U751" s="89">
        <v>666</v>
      </c>
      <c r="V751" s="126" t="s">
        <v>26</v>
      </c>
      <c r="AC751" s="33"/>
      <c r="AD751" s="33"/>
      <c r="AE751" s="33"/>
    </row>
    <row r="752" spans="1:31">
      <c r="A752" s="18" t="s">
        <v>771</v>
      </c>
      <c r="B752" s="8" t="s">
        <v>772</v>
      </c>
      <c r="C752" s="8" t="s">
        <v>22</v>
      </c>
      <c r="D752" s="8" t="s">
        <v>730</v>
      </c>
      <c r="E752" s="23" t="s">
        <v>31</v>
      </c>
      <c r="F752" s="16" t="s">
        <v>774</v>
      </c>
      <c r="G752" s="118">
        <v>20</v>
      </c>
      <c r="H752" s="119" t="s">
        <v>26</v>
      </c>
      <c r="I752" s="118">
        <v>12.7</v>
      </c>
      <c r="J752" s="118">
        <v>6.5</v>
      </c>
      <c r="K752" s="119" t="s">
        <v>26</v>
      </c>
      <c r="L752" s="119" t="s">
        <v>26</v>
      </c>
      <c r="M752" s="119" t="s">
        <v>26</v>
      </c>
      <c r="N752" s="119" t="s">
        <v>26</v>
      </c>
      <c r="O752" s="118">
        <v>5.0999999999999996</v>
      </c>
      <c r="P752" s="119" t="s">
        <v>26</v>
      </c>
      <c r="Q752" s="119" t="s">
        <v>26</v>
      </c>
      <c r="R752" s="118">
        <v>1.9</v>
      </c>
      <c r="S752" s="127">
        <v>4.5999999999999996</v>
      </c>
      <c r="T752" s="121" t="s">
        <v>26</v>
      </c>
      <c r="U752" s="89">
        <v>322</v>
      </c>
      <c r="V752" s="126" t="s">
        <v>26</v>
      </c>
      <c r="AC752" s="33"/>
      <c r="AD752" s="33"/>
      <c r="AE752" s="33"/>
    </row>
    <row r="753" spans="1:31">
      <c r="A753" s="18" t="s">
        <v>771</v>
      </c>
      <c r="B753" s="8" t="s">
        <v>373</v>
      </c>
      <c r="C753" s="8" t="s">
        <v>22</v>
      </c>
      <c r="D753" s="8" t="s">
        <v>109</v>
      </c>
      <c r="E753" s="23" t="s">
        <v>24</v>
      </c>
      <c r="F753" s="16" t="s">
        <v>775</v>
      </c>
      <c r="G753" s="118">
        <v>234</v>
      </c>
      <c r="H753" s="118">
        <v>16.5</v>
      </c>
      <c r="I753" s="119" t="s">
        <v>26</v>
      </c>
      <c r="J753" s="119" t="s">
        <v>26</v>
      </c>
      <c r="K753" s="118">
        <v>0.3</v>
      </c>
      <c r="L753" s="119" t="s">
        <v>26</v>
      </c>
      <c r="M753" s="118">
        <v>0.5</v>
      </c>
      <c r="N753" s="119" t="s">
        <v>26</v>
      </c>
      <c r="O753" s="118">
        <v>1.2</v>
      </c>
      <c r="P753" s="118">
        <v>0.9</v>
      </c>
      <c r="Q753" s="118">
        <v>0.5</v>
      </c>
      <c r="R753" s="118">
        <v>0.7</v>
      </c>
      <c r="S753" s="127">
        <v>0.9</v>
      </c>
      <c r="T753" s="121" t="s">
        <v>26</v>
      </c>
      <c r="U753" s="130">
        <v>576</v>
      </c>
      <c r="V753" s="89">
        <v>365</v>
      </c>
      <c r="AC753" s="33"/>
      <c r="AD753" s="33"/>
      <c r="AE753" s="33"/>
    </row>
    <row r="754" spans="1:31">
      <c r="A754" s="18" t="s">
        <v>771</v>
      </c>
      <c r="B754" s="8" t="s">
        <v>373</v>
      </c>
      <c r="C754" s="8" t="s">
        <v>22</v>
      </c>
      <c r="D754" s="8" t="s">
        <v>109</v>
      </c>
      <c r="E754" s="23" t="s">
        <v>27</v>
      </c>
      <c r="F754" s="16" t="s">
        <v>442</v>
      </c>
      <c r="G754" s="118">
        <v>109</v>
      </c>
      <c r="H754" s="118">
        <v>27.5</v>
      </c>
      <c r="I754" s="118">
        <v>1</v>
      </c>
      <c r="J754" s="118">
        <v>0.6</v>
      </c>
      <c r="K754" s="118">
        <v>0.4</v>
      </c>
      <c r="L754" s="119" t="s">
        <v>26</v>
      </c>
      <c r="M754" s="118">
        <v>0.4</v>
      </c>
      <c r="N754" s="119" t="s">
        <v>26</v>
      </c>
      <c r="O754" s="118">
        <v>2.5</v>
      </c>
      <c r="P754" s="118">
        <v>2.2999999999999998</v>
      </c>
      <c r="Q754" s="119" t="s">
        <v>26</v>
      </c>
      <c r="R754" s="118">
        <v>0.5</v>
      </c>
      <c r="S754" s="127">
        <v>1.3</v>
      </c>
      <c r="T754" s="121" t="s">
        <v>26</v>
      </c>
      <c r="U754" s="130">
        <v>108</v>
      </c>
      <c r="V754" s="89">
        <v>196</v>
      </c>
      <c r="AC754" s="33"/>
      <c r="AD754" s="33"/>
      <c r="AE754" s="33"/>
    </row>
    <row r="755" spans="1:31">
      <c r="A755" s="18" t="s">
        <v>771</v>
      </c>
      <c r="B755" s="8" t="s">
        <v>373</v>
      </c>
      <c r="C755" s="8" t="s">
        <v>22</v>
      </c>
      <c r="D755" s="8" t="s">
        <v>109</v>
      </c>
      <c r="E755" s="23" t="s">
        <v>29</v>
      </c>
      <c r="F755" s="16" t="s">
        <v>776</v>
      </c>
      <c r="G755" s="118">
        <v>40</v>
      </c>
      <c r="H755" s="118">
        <v>27.5</v>
      </c>
      <c r="I755" s="118">
        <v>8.5</v>
      </c>
      <c r="J755" s="118">
        <v>8.1</v>
      </c>
      <c r="K755" s="118">
        <v>0.7</v>
      </c>
      <c r="L755" s="119" t="s">
        <v>26</v>
      </c>
      <c r="M755" s="118">
        <v>0.7</v>
      </c>
      <c r="N755" s="119" t="s">
        <v>26</v>
      </c>
      <c r="O755" s="118">
        <v>3</v>
      </c>
      <c r="P755" s="118">
        <v>2.6</v>
      </c>
      <c r="Q755" s="119" t="s">
        <v>26</v>
      </c>
      <c r="R755" s="119" t="s">
        <v>26</v>
      </c>
      <c r="S755" s="127">
        <v>5.9</v>
      </c>
      <c r="T755" s="121" t="s">
        <v>26</v>
      </c>
      <c r="U755" s="130">
        <v>1765</v>
      </c>
      <c r="V755" s="89">
        <v>267</v>
      </c>
      <c r="AC755" s="33"/>
      <c r="AD755" s="33"/>
      <c r="AE755" s="33"/>
    </row>
    <row r="756" spans="1:31">
      <c r="A756" s="18" t="s">
        <v>771</v>
      </c>
      <c r="B756" s="8" t="s">
        <v>373</v>
      </c>
      <c r="C756" s="8" t="s">
        <v>22</v>
      </c>
      <c r="D756" s="8" t="s">
        <v>109</v>
      </c>
      <c r="E756" s="23" t="s">
        <v>31</v>
      </c>
      <c r="F756" s="16" t="s">
        <v>777</v>
      </c>
      <c r="G756" s="118">
        <v>16</v>
      </c>
      <c r="H756" s="119" t="s">
        <v>26</v>
      </c>
      <c r="I756" s="118">
        <v>6.2</v>
      </c>
      <c r="J756" s="118">
        <v>19.600000000000001</v>
      </c>
      <c r="K756" s="118">
        <v>0.3</v>
      </c>
      <c r="L756" s="119" t="s">
        <v>26</v>
      </c>
      <c r="M756" s="119" t="s">
        <v>26</v>
      </c>
      <c r="N756" s="119" t="s">
        <v>26</v>
      </c>
      <c r="O756" s="118">
        <v>2.1</v>
      </c>
      <c r="P756" s="118">
        <v>5.6</v>
      </c>
      <c r="Q756" s="119" t="s">
        <v>26</v>
      </c>
      <c r="R756" s="119" t="s">
        <v>26</v>
      </c>
      <c r="S756" s="127">
        <v>6.2</v>
      </c>
      <c r="T756" s="121" t="s">
        <v>26</v>
      </c>
      <c r="U756" s="130">
        <v>1612</v>
      </c>
      <c r="V756" s="89">
        <v>135</v>
      </c>
      <c r="AC756" s="33"/>
      <c r="AD756" s="33"/>
      <c r="AE756" s="33"/>
    </row>
    <row r="757" spans="1:31">
      <c r="A757" s="18" t="s">
        <v>771</v>
      </c>
      <c r="B757" s="8" t="s">
        <v>63</v>
      </c>
      <c r="C757" s="8" t="s">
        <v>22</v>
      </c>
      <c r="D757" s="3" t="s">
        <v>23</v>
      </c>
      <c r="E757" s="23" t="s">
        <v>24</v>
      </c>
      <c r="F757" s="16" t="s">
        <v>778</v>
      </c>
      <c r="G757" s="118">
        <v>230</v>
      </c>
      <c r="H757" s="118">
        <v>18.8</v>
      </c>
      <c r="I757" s="119" t="s">
        <v>26</v>
      </c>
      <c r="J757" s="118">
        <v>0.3</v>
      </c>
      <c r="K757" s="119" t="s">
        <v>26</v>
      </c>
      <c r="L757" s="119" t="s">
        <v>26</v>
      </c>
      <c r="M757" s="118">
        <v>0.6</v>
      </c>
      <c r="N757" s="119" t="s">
        <v>26</v>
      </c>
      <c r="O757" s="118">
        <v>1.4</v>
      </c>
      <c r="P757" s="118">
        <v>2.2000000000000002</v>
      </c>
      <c r="Q757" s="119" t="s">
        <v>26</v>
      </c>
      <c r="R757" s="118">
        <v>3.2</v>
      </c>
      <c r="S757" s="127">
        <v>1.8</v>
      </c>
      <c r="T757" s="121" t="s">
        <v>26</v>
      </c>
      <c r="U757" s="89">
        <v>234</v>
      </c>
      <c r="V757" s="126" t="s">
        <v>26</v>
      </c>
      <c r="AC757" s="33"/>
      <c r="AD757" s="33"/>
      <c r="AE757" s="33"/>
    </row>
    <row r="758" spans="1:31">
      <c r="A758" s="18" t="s">
        <v>771</v>
      </c>
      <c r="B758" s="8" t="s">
        <v>63</v>
      </c>
      <c r="C758" s="8" t="s">
        <v>22</v>
      </c>
      <c r="D758" s="3" t="s">
        <v>23</v>
      </c>
      <c r="E758" s="23" t="s">
        <v>27</v>
      </c>
      <c r="F758" s="16" t="s">
        <v>575</v>
      </c>
      <c r="G758" s="118">
        <v>112</v>
      </c>
      <c r="H758" s="118">
        <v>27.2</v>
      </c>
      <c r="I758" s="118">
        <v>2.2000000000000002</v>
      </c>
      <c r="J758" s="118">
        <v>0.8</v>
      </c>
      <c r="K758" s="119" t="s">
        <v>26</v>
      </c>
      <c r="L758" s="119" t="s">
        <v>26</v>
      </c>
      <c r="M758" s="118">
        <v>0.5</v>
      </c>
      <c r="N758" s="119" t="s">
        <v>26</v>
      </c>
      <c r="O758" s="118">
        <v>3.1</v>
      </c>
      <c r="P758" s="118">
        <v>3.1</v>
      </c>
      <c r="Q758" s="118">
        <v>0.3</v>
      </c>
      <c r="R758" s="118">
        <v>2.4</v>
      </c>
      <c r="S758" s="127">
        <v>3.1</v>
      </c>
      <c r="T758" s="121" t="s">
        <v>26</v>
      </c>
      <c r="U758" s="89">
        <v>252</v>
      </c>
      <c r="V758" s="126" t="s">
        <v>26</v>
      </c>
      <c r="AC758" s="33"/>
      <c r="AD758" s="33"/>
      <c r="AE758" s="33"/>
    </row>
    <row r="759" spans="1:31">
      <c r="A759" s="18" t="s">
        <v>771</v>
      </c>
      <c r="B759" s="8" t="s">
        <v>63</v>
      </c>
      <c r="C759" s="8" t="s">
        <v>22</v>
      </c>
      <c r="D759" s="3" t="s">
        <v>23</v>
      </c>
      <c r="E759" s="23" t="s">
        <v>29</v>
      </c>
      <c r="F759" s="16" t="s">
        <v>779</v>
      </c>
      <c r="G759" s="118">
        <v>47</v>
      </c>
      <c r="H759" s="118">
        <v>8.5</v>
      </c>
      <c r="I759" s="118">
        <v>13.5</v>
      </c>
      <c r="J759" s="118">
        <v>7.76</v>
      </c>
      <c r="K759" s="119" t="s">
        <v>26</v>
      </c>
      <c r="L759" s="119" t="s">
        <v>26</v>
      </c>
      <c r="M759" s="118">
        <v>0.1</v>
      </c>
      <c r="N759" s="119" t="s">
        <v>26</v>
      </c>
      <c r="O759" s="118">
        <v>5.9</v>
      </c>
      <c r="P759" s="118">
        <v>12.5</v>
      </c>
      <c r="Q759" s="118">
        <v>0.5</v>
      </c>
      <c r="R759" s="118">
        <v>1.5</v>
      </c>
      <c r="S759" s="127">
        <v>4.9000000000000004</v>
      </c>
      <c r="T759" s="121" t="s">
        <v>26</v>
      </c>
      <c r="U759" s="89">
        <v>1494</v>
      </c>
      <c r="V759" s="126" t="s">
        <v>26</v>
      </c>
      <c r="AC759" s="33"/>
      <c r="AD759" s="33"/>
      <c r="AE759" s="33"/>
    </row>
    <row r="760" spans="1:31">
      <c r="A760" s="18" t="s">
        <v>771</v>
      </c>
      <c r="B760" s="8" t="s">
        <v>63</v>
      </c>
      <c r="C760" s="8" t="s">
        <v>22</v>
      </c>
      <c r="D760" s="3" t="s">
        <v>23</v>
      </c>
      <c r="E760" s="23" t="s">
        <v>31</v>
      </c>
      <c r="F760" s="16" t="s">
        <v>780</v>
      </c>
      <c r="G760" s="118">
        <v>19</v>
      </c>
      <c r="H760" s="119" t="s">
        <v>26</v>
      </c>
      <c r="I760" s="118">
        <v>8.1</v>
      </c>
      <c r="J760" s="118">
        <v>10.5</v>
      </c>
      <c r="K760" s="119" t="s">
        <v>26</v>
      </c>
      <c r="L760" s="119" t="s">
        <v>26</v>
      </c>
      <c r="M760" s="119" t="s">
        <v>26</v>
      </c>
      <c r="N760" s="119" t="s">
        <v>26</v>
      </c>
      <c r="O760" s="118">
        <v>7.1</v>
      </c>
      <c r="P760" s="118">
        <v>16.399999999999999</v>
      </c>
      <c r="Q760" s="119" t="s">
        <v>26</v>
      </c>
      <c r="R760" s="119" t="s">
        <v>26</v>
      </c>
      <c r="S760" s="127">
        <v>8.4</v>
      </c>
      <c r="T760" s="121" t="s">
        <v>26</v>
      </c>
      <c r="U760" s="89">
        <v>1023</v>
      </c>
      <c r="V760" s="126" t="s">
        <v>26</v>
      </c>
      <c r="AC760" s="33"/>
      <c r="AD760" s="33"/>
      <c r="AE760" s="33"/>
    </row>
    <row r="761" spans="1:31">
      <c r="A761" s="18" t="s">
        <v>771</v>
      </c>
      <c r="B761" s="8" t="s">
        <v>63</v>
      </c>
      <c r="C761" s="8" t="s">
        <v>22</v>
      </c>
      <c r="D761" s="3" t="s">
        <v>23</v>
      </c>
      <c r="E761" s="25" t="s">
        <v>131</v>
      </c>
      <c r="F761" s="16" t="s">
        <v>781</v>
      </c>
      <c r="G761" s="118">
        <v>15</v>
      </c>
      <c r="H761" s="118">
        <v>21.1</v>
      </c>
      <c r="I761" s="118">
        <v>5.7</v>
      </c>
      <c r="J761" s="118">
        <v>3.27</v>
      </c>
      <c r="K761" s="119" t="s">
        <v>26</v>
      </c>
      <c r="L761" s="119" t="s">
        <v>26</v>
      </c>
      <c r="M761" s="119" t="s">
        <v>26</v>
      </c>
      <c r="N761" s="119" t="s">
        <v>26</v>
      </c>
      <c r="O761" s="118">
        <v>1</v>
      </c>
      <c r="P761" s="118">
        <v>5.5</v>
      </c>
      <c r="Q761" s="119" t="s">
        <v>26</v>
      </c>
      <c r="R761" s="119" t="s">
        <v>26</v>
      </c>
      <c r="S761" s="127">
        <v>6.2</v>
      </c>
      <c r="T761" s="121" t="s">
        <v>26</v>
      </c>
      <c r="U761" s="89">
        <v>2447</v>
      </c>
      <c r="V761" s="89">
        <v>70</v>
      </c>
      <c r="AC761" s="33"/>
      <c r="AD761" s="33"/>
      <c r="AE761" s="33"/>
    </row>
    <row r="762" spans="1:31">
      <c r="A762" s="18" t="s">
        <v>771</v>
      </c>
      <c r="B762" s="8" t="s">
        <v>606</v>
      </c>
      <c r="C762" s="8" t="s">
        <v>22</v>
      </c>
      <c r="D762" s="3" t="s">
        <v>23</v>
      </c>
      <c r="E762" s="23" t="s">
        <v>24</v>
      </c>
      <c r="F762" s="16" t="s">
        <v>782</v>
      </c>
      <c r="G762" s="118">
        <v>234</v>
      </c>
      <c r="H762" s="118">
        <v>16.5</v>
      </c>
      <c r="I762" s="119" t="s">
        <v>26</v>
      </c>
      <c r="J762" s="119" t="s">
        <v>26</v>
      </c>
      <c r="K762" s="118">
        <v>0.3</v>
      </c>
      <c r="L762" s="119" t="s">
        <v>26</v>
      </c>
      <c r="M762" s="118">
        <v>0.6</v>
      </c>
      <c r="N762" s="119" t="s">
        <v>26</v>
      </c>
      <c r="O762" s="118">
        <v>1.8</v>
      </c>
      <c r="P762" s="118">
        <v>2.5</v>
      </c>
      <c r="Q762" s="118">
        <v>2.5</v>
      </c>
      <c r="R762" s="118">
        <v>1.4</v>
      </c>
      <c r="S762" s="127">
        <v>2.5</v>
      </c>
      <c r="T762" s="121" t="s">
        <v>26</v>
      </c>
      <c r="U762" s="89">
        <v>504</v>
      </c>
      <c r="V762" s="126" t="s">
        <v>26</v>
      </c>
      <c r="AC762" s="33"/>
      <c r="AD762" s="33"/>
      <c r="AE762" s="33"/>
    </row>
    <row r="763" spans="1:31">
      <c r="A763" s="18" t="s">
        <v>771</v>
      </c>
      <c r="B763" s="8" t="s">
        <v>606</v>
      </c>
      <c r="C763" s="8" t="s">
        <v>22</v>
      </c>
      <c r="D763" s="3" t="s">
        <v>23</v>
      </c>
      <c r="E763" s="23" t="s">
        <v>27</v>
      </c>
      <c r="F763" s="16" t="s">
        <v>783</v>
      </c>
      <c r="G763" s="118">
        <v>114</v>
      </c>
      <c r="H763" s="118">
        <v>26.5</v>
      </c>
      <c r="I763" s="118">
        <v>4.5</v>
      </c>
      <c r="J763" s="118">
        <v>0.8</v>
      </c>
      <c r="K763" s="119" t="s">
        <v>26</v>
      </c>
      <c r="L763" s="119" t="s">
        <v>26</v>
      </c>
      <c r="M763" s="118">
        <v>0.5</v>
      </c>
      <c r="N763" s="119" t="s">
        <v>26</v>
      </c>
      <c r="O763" s="118">
        <v>2.9</v>
      </c>
      <c r="P763" s="118">
        <v>2.8</v>
      </c>
      <c r="Q763" s="119" t="s">
        <v>26</v>
      </c>
      <c r="R763" s="119" t="s">
        <v>26</v>
      </c>
      <c r="S763" s="127">
        <v>3.4</v>
      </c>
      <c r="T763" s="121" t="s">
        <v>26</v>
      </c>
      <c r="U763" s="89">
        <v>126</v>
      </c>
      <c r="V763" s="126" t="s">
        <v>26</v>
      </c>
      <c r="AC763" s="33"/>
      <c r="AD763" s="33"/>
      <c r="AE763" s="33"/>
    </row>
    <row r="764" spans="1:31">
      <c r="A764" s="18" t="s">
        <v>771</v>
      </c>
      <c r="B764" s="8" t="s">
        <v>606</v>
      </c>
      <c r="C764" s="8" t="s">
        <v>22</v>
      </c>
      <c r="D764" s="3" t="s">
        <v>23</v>
      </c>
      <c r="E764" s="23" t="s">
        <v>29</v>
      </c>
      <c r="F764" s="16" t="s">
        <v>203</v>
      </c>
      <c r="G764" s="118">
        <v>48</v>
      </c>
      <c r="H764" s="118">
        <v>5.5</v>
      </c>
      <c r="I764" s="118">
        <v>12.5</v>
      </c>
      <c r="J764" s="118">
        <v>3.5</v>
      </c>
      <c r="K764" s="118">
        <v>0.7</v>
      </c>
      <c r="L764" s="119" t="s">
        <v>26</v>
      </c>
      <c r="M764" s="118">
        <v>0.6</v>
      </c>
      <c r="N764" s="119" t="s">
        <v>26</v>
      </c>
      <c r="O764" s="118">
        <v>4.8</v>
      </c>
      <c r="P764" s="118">
        <v>10.5</v>
      </c>
      <c r="Q764" s="119" t="s">
        <v>26</v>
      </c>
      <c r="R764" s="119" t="s">
        <v>26</v>
      </c>
      <c r="S764" s="127">
        <v>6.1</v>
      </c>
      <c r="T764" s="121" t="s">
        <v>26</v>
      </c>
      <c r="U764" s="89">
        <v>2011</v>
      </c>
      <c r="V764" s="126" t="s">
        <v>26</v>
      </c>
      <c r="AC764" s="33"/>
      <c r="AD764" s="33"/>
      <c r="AE764" s="33"/>
    </row>
    <row r="765" spans="1:31">
      <c r="A765" s="18" t="s">
        <v>771</v>
      </c>
      <c r="B765" s="8" t="s">
        <v>606</v>
      </c>
      <c r="C765" s="8" t="s">
        <v>22</v>
      </c>
      <c r="D765" s="3" t="s">
        <v>23</v>
      </c>
      <c r="E765" s="23" t="s">
        <v>31</v>
      </c>
      <c r="F765" s="16" t="s">
        <v>784</v>
      </c>
      <c r="G765" s="118">
        <v>19</v>
      </c>
      <c r="H765" s="119" t="s">
        <v>26</v>
      </c>
      <c r="I765" s="118">
        <v>9.1999999999999993</v>
      </c>
      <c r="J765" s="118">
        <v>19.5</v>
      </c>
      <c r="K765" s="119" t="s">
        <v>26</v>
      </c>
      <c r="L765" s="119" t="s">
        <v>26</v>
      </c>
      <c r="M765" s="119" t="s">
        <v>26</v>
      </c>
      <c r="N765" s="119" t="s">
        <v>26</v>
      </c>
      <c r="O765" s="118">
        <v>5.0999999999999996</v>
      </c>
      <c r="P765" s="118">
        <v>15.5</v>
      </c>
      <c r="Q765" s="119" t="s">
        <v>26</v>
      </c>
      <c r="R765" s="119" t="s">
        <v>26</v>
      </c>
      <c r="S765" s="127">
        <v>8.5</v>
      </c>
      <c r="T765" s="121" t="s">
        <v>26</v>
      </c>
      <c r="U765" s="89">
        <v>1783</v>
      </c>
      <c r="V765" s="126" t="s">
        <v>26</v>
      </c>
      <c r="AC765" s="33"/>
      <c r="AD765" s="33"/>
      <c r="AE765" s="33"/>
    </row>
    <row r="766" spans="1:31">
      <c r="A766" s="18" t="s">
        <v>771</v>
      </c>
      <c r="B766" s="8" t="s">
        <v>623</v>
      </c>
      <c r="C766" s="8" t="s">
        <v>22</v>
      </c>
      <c r="D766" s="8" t="s">
        <v>109</v>
      </c>
      <c r="E766" s="23" t="s">
        <v>24</v>
      </c>
      <c r="F766" s="16" t="s">
        <v>785</v>
      </c>
      <c r="G766" s="118">
        <v>235</v>
      </c>
      <c r="H766" s="118">
        <v>15.5</v>
      </c>
      <c r="I766" s="119" t="s">
        <v>26</v>
      </c>
      <c r="J766" s="119" t="s">
        <v>26</v>
      </c>
      <c r="K766" s="119" t="s">
        <v>26</v>
      </c>
      <c r="L766" s="119" t="s">
        <v>26</v>
      </c>
      <c r="M766" s="118">
        <v>0.4</v>
      </c>
      <c r="N766" s="119" t="s">
        <v>26</v>
      </c>
      <c r="O766" s="118">
        <v>1.8</v>
      </c>
      <c r="P766" s="118">
        <v>0.6</v>
      </c>
      <c r="Q766" s="118">
        <v>0.5</v>
      </c>
      <c r="R766" s="118">
        <v>1.1000000000000001</v>
      </c>
      <c r="S766" s="127">
        <v>1.5</v>
      </c>
      <c r="T766" s="121" t="s">
        <v>26</v>
      </c>
      <c r="U766" s="130">
        <v>540</v>
      </c>
      <c r="V766" s="126" t="s">
        <v>26</v>
      </c>
      <c r="AC766" s="33"/>
      <c r="AD766" s="33"/>
      <c r="AE766" s="33"/>
    </row>
    <row r="767" spans="1:31">
      <c r="A767" s="18" t="s">
        <v>771</v>
      </c>
      <c r="B767" s="8" t="s">
        <v>623</v>
      </c>
      <c r="C767" s="8" t="s">
        <v>22</v>
      </c>
      <c r="D767" s="8" t="s">
        <v>109</v>
      </c>
      <c r="E767" s="23" t="s">
        <v>27</v>
      </c>
      <c r="F767" s="16" t="s">
        <v>786</v>
      </c>
      <c r="G767" s="118">
        <v>106</v>
      </c>
      <c r="H767" s="118">
        <v>40.9</v>
      </c>
      <c r="I767" s="118">
        <v>0.8</v>
      </c>
      <c r="J767" s="118">
        <v>0.5</v>
      </c>
      <c r="K767" s="119" t="s">
        <v>26</v>
      </c>
      <c r="L767" s="119" t="s">
        <v>26</v>
      </c>
      <c r="M767" s="118">
        <v>0.6</v>
      </c>
      <c r="N767" s="119" t="s">
        <v>26</v>
      </c>
      <c r="O767" s="118">
        <v>2.9</v>
      </c>
      <c r="P767" s="118">
        <v>2.2000000000000002</v>
      </c>
      <c r="Q767" s="118">
        <v>0.6</v>
      </c>
      <c r="R767" s="118">
        <v>0.5</v>
      </c>
      <c r="S767" s="127">
        <v>3.4</v>
      </c>
      <c r="T767" s="121" t="s">
        <v>26</v>
      </c>
      <c r="U767" s="130">
        <v>306</v>
      </c>
      <c r="V767" s="126" t="s">
        <v>26</v>
      </c>
      <c r="AC767" s="33"/>
      <c r="AD767" s="33"/>
      <c r="AE767" s="33"/>
    </row>
    <row r="768" spans="1:31">
      <c r="A768" s="18" t="s">
        <v>771</v>
      </c>
      <c r="B768" s="8" t="s">
        <v>623</v>
      </c>
      <c r="C768" s="8" t="s">
        <v>22</v>
      </c>
      <c r="D768" s="8" t="s">
        <v>109</v>
      </c>
      <c r="E768" s="23" t="s">
        <v>29</v>
      </c>
      <c r="F768" s="16" t="s">
        <v>787</v>
      </c>
      <c r="G768" s="118">
        <v>40</v>
      </c>
      <c r="H768" s="118">
        <v>31.5</v>
      </c>
      <c r="I768" s="118">
        <v>10.5</v>
      </c>
      <c r="J768" s="118">
        <v>9.3000000000000007</v>
      </c>
      <c r="K768" s="118">
        <v>0.5</v>
      </c>
      <c r="L768" s="119" t="s">
        <v>26</v>
      </c>
      <c r="M768" s="118">
        <v>0.9</v>
      </c>
      <c r="N768" s="119" t="s">
        <v>26</v>
      </c>
      <c r="O768" s="118">
        <v>2.8</v>
      </c>
      <c r="P768" s="118">
        <v>3.8</v>
      </c>
      <c r="Q768" s="119" t="s">
        <v>26</v>
      </c>
      <c r="R768" s="118">
        <v>0.7</v>
      </c>
      <c r="S768" s="127">
        <v>7.2</v>
      </c>
      <c r="T768" s="121" t="s">
        <v>26</v>
      </c>
      <c r="U768" s="130">
        <v>1380</v>
      </c>
      <c r="V768" s="126" t="s">
        <v>26</v>
      </c>
      <c r="AC768" s="33"/>
      <c r="AD768" s="33"/>
      <c r="AE768" s="33"/>
    </row>
    <row r="769" spans="1:31">
      <c r="A769" s="18" t="s">
        <v>771</v>
      </c>
      <c r="B769" s="8" t="s">
        <v>623</v>
      </c>
      <c r="C769" s="8" t="s">
        <v>22</v>
      </c>
      <c r="D769" s="8" t="s">
        <v>109</v>
      </c>
      <c r="E769" s="23" t="s">
        <v>31</v>
      </c>
      <c r="F769" s="16" t="s">
        <v>778</v>
      </c>
      <c r="G769" s="118">
        <v>15</v>
      </c>
      <c r="H769" s="119" t="s">
        <v>26</v>
      </c>
      <c r="I769" s="118">
        <v>0.8</v>
      </c>
      <c r="J769" s="118">
        <v>20.7</v>
      </c>
      <c r="K769" s="119" t="s">
        <v>26</v>
      </c>
      <c r="L769" s="119" t="s">
        <v>26</v>
      </c>
      <c r="M769" s="119" t="s">
        <v>26</v>
      </c>
      <c r="N769" s="119" t="s">
        <v>26</v>
      </c>
      <c r="O769" s="118">
        <v>1.5</v>
      </c>
      <c r="P769" s="118">
        <v>2.5</v>
      </c>
      <c r="Q769" s="119" t="s">
        <v>26</v>
      </c>
      <c r="R769" s="119" t="s">
        <v>26</v>
      </c>
      <c r="S769" s="127">
        <v>36.5</v>
      </c>
      <c r="T769" s="121" t="s">
        <v>26</v>
      </c>
      <c r="U769" s="130">
        <v>1256</v>
      </c>
      <c r="V769" s="126" t="s">
        <v>26</v>
      </c>
      <c r="AC769" s="33"/>
      <c r="AD769" s="33"/>
      <c r="AE769" s="33"/>
    </row>
    <row r="770" spans="1:31">
      <c r="A770" s="18" t="s">
        <v>771</v>
      </c>
      <c r="B770" s="8" t="s">
        <v>457</v>
      </c>
      <c r="C770" s="8" t="s">
        <v>22</v>
      </c>
      <c r="D770" s="3" t="s">
        <v>33</v>
      </c>
      <c r="E770" s="23" t="s">
        <v>24</v>
      </c>
      <c r="F770" s="16" t="s">
        <v>788</v>
      </c>
      <c r="G770" s="118">
        <v>196</v>
      </c>
      <c r="H770" s="118">
        <v>32.5</v>
      </c>
      <c r="I770" s="119" t="s">
        <v>26</v>
      </c>
      <c r="J770" s="119" t="s">
        <v>26</v>
      </c>
      <c r="K770" s="119" t="s">
        <v>26</v>
      </c>
      <c r="L770" s="118">
        <v>0.4</v>
      </c>
      <c r="M770" s="118">
        <v>0.7</v>
      </c>
      <c r="N770" s="119" t="s">
        <v>26</v>
      </c>
      <c r="O770" s="118">
        <v>0.9</v>
      </c>
      <c r="P770" s="118">
        <v>0.7</v>
      </c>
      <c r="Q770" s="119" t="s">
        <v>26</v>
      </c>
      <c r="R770" s="118">
        <v>0.5</v>
      </c>
      <c r="S770" s="127">
        <v>1.9</v>
      </c>
      <c r="T770" s="121" t="s">
        <v>26</v>
      </c>
      <c r="U770" s="130">
        <v>342</v>
      </c>
      <c r="V770" s="126" t="s">
        <v>26</v>
      </c>
      <c r="AC770" s="33"/>
      <c r="AD770" s="33"/>
      <c r="AE770" s="33"/>
    </row>
    <row r="771" spans="1:31">
      <c r="A771" s="18" t="s">
        <v>771</v>
      </c>
      <c r="B771" s="8" t="s">
        <v>457</v>
      </c>
      <c r="C771" s="8" t="s">
        <v>22</v>
      </c>
      <c r="D771" s="3" t="s">
        <v>33</v>
      </c>
      <c r="E771" s="23" t="s">
        <v>27</v>
      </c>
      <c r="F771" s="16" t="s">
        <v>570</v>
      </c>
      <c r="G771" s="118">
        <v>105</v>
      </c>
      <c r="H771" s="118">
        <v>37.5</v>
      </c>
      <c r="I771" s="118">
        <v>2</v>
      </c>
      <c r="J771" s="118">
        <v>0.6</v>
      </c>
      <c r="K771" s="119" t="s">
        <v>26</v>
      </c>
      <c r="L771" s="119" t="s">
        <v>26</v>
      </c>
      <c r="M771" s="118">
        <v>0.4</v>
      </c>
      <c r="N771" s="119" t="s">
        <v>26</v>
      </c>
      <c r="O771" s="118">
        <v>2.2999999999999998</v>
      </c>
      <c r="P771" s="118">
        <v>1.8</v>
      </c>
      <c r="Q771" s="119" t="s">
        <v>26</v>
      </c>
      <c r="R771" s="118">
        <v>0.7</v>
      </c>
      <c r="S771" s="127">
        <v>3.9</v>
      </c>
      <c r="T771" s="121" t="s">
        <v>26</v>
      </c>
      <c r="U771" s="130">
        <v>54</v>
      </c>
      <c r="V771" s="126" t="s">
        <v>26</v>
      </c>
      <c r="AC771" s="33"/>
      <c r="AD771" s="33"/>
      <c r="AE771" s="33"/>
    </row>
    <row r="772" spans="1:31">
      <c r="A772" s="18" t="s">
        <v>771</v>
      </c>
      <c r="B772" s="8" t="s">
        <v>457</v>
      </c>
      <c r="C772" s="8" t="s">
        <v>22</v>
      </c>
      <c r="D772" s="3" t="s">
        <v>33</v>
      </c>
      <c r="E772" s="23" t="s">
        <v>29</v>
      </c>
      <c r="F772" s="16" t="s">
        <v>789</v>
      </c>
      <c r="G772" s="118">
        <v>39</v>
      </c>
      <c r="H772" s="118">
        <v>27.9</v>
      </c>
      <c r="I772" s="118">
        <v>7.9</v>
      </c>
      <c r="J772" s="118">
        <v>1.92</v>
      </c>
      <c r="K772" s="119" t="s">
        <v>26</v>
      </c>
      <c r="L772" s="118">
        <v>0.5</v>
      </c>
      <c r="M772" s="118">
        <v>1.2</v>
      </c>
      <c r="N772" s="119" t="s">
        <v>26</v>
      </c>
      <c r="O772" s="118">
        <v>2.8</v>
      </c>
      <c r="P772" s="118">
        <v>1.9</v>
      </c>
      <c r="Q772" s="119" t="s">
        <v>26</v>
      </c>
      <c r="R772" s="119" t="s">
        <v>26</v>
      </c>
      <c r="S772" s="127">
        <v>7.5</v>
      </c>
      <c r="T772" s="121" t="s">
        <v>26</v>
      </c>
      <c r="U772" s="130">
        <v>640</v>
      </c>
      <c r="V772" s="126" t="s">
        <v>26</v>
      </c>
      <c r="AC772" s="33"/>
      <c r="AD772" s="33"/>
      <c r="AE772" s="33"/>
    </row>
    <row r="773" spans="1:31">
      <c r="A773" s="18" t="s">
        <v>771</v>
      </c>
      <c r="B773" s="8" t="s">
        <v>457</v>
      </c>
      <c r="C773" s="8" t="s">
        <v>22</v>
      </c>
      <c r="D773" s="3" t="s">
        <v>33</v>
      </c>
      <c r="E773" s="23" t="s">
        <v>31</v>
      </c>
      <c r="F773" s="16" t="s">
        <v>790</v>
      </c>
      <c r="G773" s="118">
        <v>22</v>
      </c>
      <c r="H773" s="119" t="s">
        <v>26</v>
      </c>
      <c r="I773" s="118">
        <v>18.5</v>
      </c>
      <c r="J773" s="118">
        <v>18.5</v>
      </c>
      <c r="K773" s="119" t="s">
        <v>26</v>
      </c>
      <c r="L773" s="119" t="s">
        <v>26</v>
      </c>
      <c r="M773" s="119" t="s">
        <v>26</v>
      </c>
      <c r="N773" s="119" t="s">
        <v>26</v>
      </c>
      <c r="O773" s="118">
        <v>1.5</v>
      </c>
      <c r="P773" s="118">
        <v>1.4</v>
      </c>
      <c r="Q773" s="119" t="s">
        <v>26</v>
      </c>
      <c r="R773" s="119" t="s">
        <v>26</v>
      </c>
      <c r="S773" s="127">
        <v>12.5</v>
      </c>
      <c r="T773" s="121" t="s">
        <v>26</v>
      </c>
      <c r="U773" s="130">
        <v>917</v>
      </c>
      <c r="V773" s="126" t="s">
        <v>26</v>
      </c>
      <c r="AC773" s="33"/>
      <c r="AD773" s="33"/>
      <c r="AE773" s="33"/>
    </row>
    <row r="774" spans="1:31">
      <c r="A774" s="26" t="s">
        <v>791</v>
      </c>
      <c r="B774" s="8" t="s">
        <v>535</v>
      </c>
      <c r="C774" s="8" t="s">
        <v>22</v>
      </c>
      <c r="D774" s="3" t="s">
        <v>23</v>
      </c>
      <c r="E774" s="23" t="s">
        <v>24</v>
      </c>
      <c r="F774" s="16" t="s">
        <v>792</v>
      </c>
      <c r="G774" s="118">
        <v>215</v>
      </c>
      <c r="H774" s="118">
        <v>15.6</v>
      </c>
      <c r="I774" s="119" t="s">
        <v>26</v>
      </c>
      <c r="J774" s="119" t="s">
        <v>26</v>
      </c>
      <c r="K774" s="119" t="s">
        <v>26</v>
      </c>
      <c r="L774" s="119" t="s">
        <v>26</v>
      </c>
      <c r="M774" s="119" t="s">
        <v>26</v>
      </c>
      <c r="N774" s="119" t="s">
        <v>26</v>
      </c>
      <c r="O774" s="118">
        <v>3.4</v>
      </c>
      <c r="P774" s="118">
        <v>1.7</v>
      </c>
      <c r="Q774" s="118">
        <v>3.2</v>
      </c>
      <c r="R774" s="119" t="s">
        <v>26</v>
      </c>
      <c r="S774" s="127">
        <v>1.1000000000000001</v>
      </c>
      <c r="T774" s="121" t="s">
        <v>26</v>
      </c>
      <c r="U774" s="89">
        <v>713</v>
      </c>
      <c r="V774" s="126" t="s">
        <v>26</v>
      </c>
      <c r="AC774" s="33"/>
      <c r="AD774" s="33"/>
      <c r="AE774" s="33"/>
    </row>
    <row r="775" spans="1:31">
      <c r="A775" s="26" t="s">
        <v>791</v>
      </c>
      <c r="B775" s="8" t="s">
        <v>535</v>
      </c>
      <c r="C775" s="8" t="s">
        <v>22</v>
      </c>
      <c r="D775" s="3" t="s">
        <v>23</v>
      </c>
      <c r="E775" s="23" t="s">
        <v>27</v>
      </c>
      <c r="F775" s="16" t="s">
        <v>793</v>
      </c>
      <c r="G775" s="118">
        <v>135</v>
      </c>
      <c r="H775" s="118">
        <v>17.399999999999999</v>
      </c>
      <c r="I775" s="118">
        <v>15.4</v>
      </c>
      <c r="J775" s="119" t="s">
        <v>26</v>
      </c>
      <c r="K775" s="119" t="s">
        <v>26</v>
      </c>
      <c r="L775" s="119" t="s">
        <v>26</v>
      </c>
      <c r="M775" s="119" t="s">
        <v>26</v>
      </c>
      <c r="N775" s="119" t="s">
        <v>26</v>
      </c>
      <c r="O775" s="118">
        <v>6.2</v>
      </c>
      <c r="P775" s="118">
        <v>1.9</v>
      </c>
      <c r="Q775" s="118">
        <v>4.0999999999999996</v>
      </c>
      <c r="R775" s="119" t="s">
        <v>26</v>
      </c>
      <c r="S775" s="127">
        <v>1.7</v>
      </c>
      <c r="T775" s="121" t="s">
        <v>26</v>
      </c>
      <c r="U775" s="89">
        <v>384</v>
      </c>
      <c r="V775" s="126" t="s">
        <v>26</v>
      </c>
      <c r="AC775" s="33"/>
      <c r="AD775" s="33"/>
      <c r="AE775" s="33"/>
    </row>
    <row r="776" spans="1:31">
      <c r="A776" s="26" t="s">
        <v>791</v>
      </c>
      <c r="B776" s="8" t="s">
        <v>535</v>
      </c>
      <c r="C776" s="8" t="s">
        <v>22</v>
      </c>
      <c r="D776" s="3" t="s">
        <v>23</v>
      </c>
      <c r="E776" s="25" t="s">
        <v>131</v>
      </c>
      <c r="F776" s="16" t="s">
        <v>794</v>
      </c>
      <c r="G776" s="118">
        <v>15</v>
      </c>
      <c r="H776" s="118">
        <v>10.5</v>
      </c>
      <c r="I776" s="118">
        <v>7.5</v>
      </c>
      <c r="J776" s="118">
        <v>9.5</v>
      </c>
      <c r="K776" s="119" t="s">
        <v>26</v>
      </c>
      <c r="L776" s="119" t="s">
        <v>26</v>
      </c>
      <c r="M776" s="119" t="s">
        <v>26</v>
      </c>
      <c r="N776" s="119" t="s">
        <v>26</v>
      </c>
      <c r="O776" s="125" t="s">
        <v>26</v>
      </c>
      <c r="P776" s="119" t="s">
        <v>26</v>
      </c>
      <c r="Q776" s="119" t="s">
        <v>26</v>
      </c>
      <c r="R776" s="119" t="s">
        <v>26</v>
      </c>
      <c r="S776" s="127">
        <v>2.2999999999999998</v>
      </c>
      <c r="T776" s="121" t="s">
        <v>26</v>
      </c>
      <c r="U776" s="89">
        <v>715</v>
      </c>
      <c r="V776" s="126" t="s">
        <v>26</v>
      </c>
      <c r="AC776" s="33"/>
      <c r="AD776" s="33"/>
      <c r="AE776" s="33"/>
    </row>
    <row r="777" spans="1:31">
      <c r="A777" s="26" t="s">
        <v>791</v>
      </c>
      <c r="B777" s="8" t="s">
        <v>535</v>
      </c>
      <c r="C777" s="8" t="s">
        <v>22</v>
      </c>
      <c r="D777" s="3" t="s">
        <v>23</v>
      </c>
      <c r="E777" s="23" t="s">
        <v>29</v>
      </c>
      <c r="F777" s="16" t="s">
        <v>795</v>
      </c>
      <c r="G777" s="118">
        <v>52</v>
      </c>
      <c r="H777" s="118">
        <v>11.2</v>
      </c>
      <c r="I777" s="118">
        <v>20.399999999999999</v>
      </c>
      <c r="J777" s="118">
        <v>5.4</v>
      </c>
      <c r="K777" s="119" t="s">
        <v>26</v>
      </c>
      <c r="L777" s="119" t="s">
        <v>26</v>
      </c>
      <c r="M777" s="118">
        <v>0.9</v>
      </c>
      <c r="N777" s="119" t="s">
        <v>26</v>
      </c>
      <c r="O777" s="118">
        <v>6.7</v>
      </c>
      <c r="P777" s="118">
        <v>1.8</v>
      </c>
      <c r="Q777" s="119" t="s">
        <v>26</v>
      </c>
      <c r="R777" s="119" t="s">
        <v>26</v>
      </c>
      <c r="S777" s="127">
        <v>3.4</v>
      </c>
      <c r="T777" s="121" t="s">
        <v>26</v>
      </c>
      <c r="U777" s="89">
        <v>1651</v>
      </c>
      <c r="V777" s="126" t="s">
        <v>26</v>
      </c>
      <c r="AC777" s="33"/>
      <c r="AD777" s="33"/>
      <c r="AE777" s="33"/>
    </row>
    <row r="778" spans="1:31">
      <c r="A778" s="26" t="s">
        <v>791</v>
      </c>
      <c r="B778" s="8" t="s">
        <v>535</v>
      </c>
      <c r="C778" s="8" t="s">
        <v>22</v>
      </c>
      <c r="D778" s="3" t="s">
        <v>23</v>
      </c>
      <c r="E778" s="23" t="s">
        <v>31</v>
      </c>
      <c r="F778" s="16" t="s">
        <v>289</v>
      </c>
      <c r="G778" s="118">
        <v>17</v>
      </c>
      <c r="H778" s="119" t="s">
        <v>26</v>
      </c>
      <c r="I778" s="118">
        <v>6.9</v>
      </c>
      <c r="J778" s="118">
        <v>7.4</v>
      </c>
      <c r="K778" s="119" t="s">
        <v>26</v>
      </c>
      <c r="L778" s="119" t="s">
        <v>26</v>
      </c>
      <c r="M778" s="119" t="s">
        <v>26</v>
      </c>
      <c r="N778" s="119" t="s">
        <v>26</v>
      </c>
      <c r="O778" s="118">
        <v>5.0999999999999996</v>
      </c>
      <c r="P778" s="118">
        <v>1.8</v>
      </c>
      <c r="Q778" s="119" t="s">
        <v>26</v>
      </c>
      <c r="R778" s="119" t="s">
        <v>26</v>
      </c>
      <c r="S778" s="127">
        <v>4.9000000000000004</v>
      </c>
      <c r="T778" s="121" t="s">
        <v>26</v>
      </c>
      <c r="U778" s="89">
        <v>380</v>
      </c>
      <c r="V778" s="126" t="s">
        <v>26</v>
      </c>
      <c r="AC778" s="33"/>
      <c r="AD778" s="33"/>
      <c r="AE778" s="33"/>
    </row>
    <row r="779" spans="1:31">
      <c r="A779" s="26" t="s">
        <v>791</v>
      </c>
      <c r="B779" s="8" t="s">
        <v>179</v>
      </c>
      <c r="C779" s="8" t="s">
        <v>22</v>
      </c>
      <c r="D779" s="3" t="s">
        <v>23</v>
      </c>
      <c r="E779" s="23" t="s">
        <v>24</v>
      </c>
      <c r="F779" s="16" t="s">
        <v>796</v>
      </c>
      <c r="G779" s="118">
        <v>235</v>
      </c>
      <c r="H779" s="118">
        <v>13.2</v>
      </c>
      <c r="I779" s="119" t="s">
        <v>26</v>
      </c>
      <c r="J779" s="119" t="s">
        <v>26</v>
      </c>
      <c r="K779" s="118">
        <v>0.3</v>
      </c>
      <c r="L779" s="118">
        <v>0.3</v>
      </c>
      <c r="M779" s="118">
        <v>0.6</v>
      </c>
      <c r="N779" s="119" t="s">
        <v>26</v>
      </c>
      <c r="O779" s="118">
        <v>1.3</v>
      </c>
      <c r="P779" s="118">
        <v>2</v>
      </c>
      <c r="Q779" s="118">
        <v>2</v>
      </c>
      <c r="R779" s="118">
        <v>1.4</v>
      </c>
      <c r="S779" s="127">
        <v>0.9</v>
      </c>
      <c r="T779" s="121" t="s">
        <v>26</v>
      </c>
      <c r="U779" s="89">
        <v>306</v>
      </c>
      <c r="V779" s="89">
        <v>296</v>
      </c>
      <c r="AC779" s="33"/>
      <c r="AD779" s="33"/>
      <c r="AE779" s="33"/>
    </row>
    <row r="780" spans="1:31">
      <c r="A780" s="26" t="s">
        <v>791</v>
      </c>
      <c r="B780" s="8" t="s">
        <v>179</v>
      </c>
      <c r="C780" s="8" t="s">
        <v>22</v>
      </c>
      <c r="D780" s="3" t="s">
        <v>23</v>
      </c>
      <c r="E780" s="23" t="s">
        <v>27</v>
      </c>
      <c r="F780" s="16" t="s">
        <v>797</v>
      </c>
      <c r="G780" s="118">
        <v>110</v>
      </c>
      <c r="H780" s="118">
        <v>28.5</v>
      </c>
      <c r="I780" s="118">
        <v>2.9</v>
      </c>
      <c r="J780" s="118">
        <v>0.7</v>
      </c>
      <c r="K780" s="119" t="s">
        <v>26</v>
      </c>
      <c r="L780" s="118">
        <v>0.5</v>
      </c>
      <c r="M780" s="118">
        <v>0.7</v>
      </c>
      <c r="N780" s="119" t="s">
        <v>26</v>
      </c>
      <c r="O780" s="118">
        <v>2.6</v>
      </c>
      <c r="P780" s="118">
        <v>2.9</v>
      </c>
      <c r="Q780" s="118">
        <v>1.5</v>
      </c>
      <c r="R780" s="118">
        <v>1.2</v>
      </c>
      <c r="S780" s="127">
        <v>2.2000000000000002</v>
      </c>
      <c r="T780" s="121" t="s">
        <v>26</v>
      </c>
      <c r="U780" s="89">
        <v>288</v>
      </c>
      <c r="V780" s="89">
        <v>174</v>
      </c>
      <c r="AC780" s="33"/>
      <c r="AD780" s="33"/>
      <c r="AE780" s="33"/>
    </row>
    <row r="781" spans="1:31">
      <c r="A781" s="26" t="s">
        <v>791</v>
      </c>
      <c r="B781" s="8" t="s">
        <v>179</v>
      </c>
      <c r="C781" s="8" t="s">
        <v>22</v>
      </c>
      <c r="D781" s="3" t="s">
        <v>23</v>
      </c>
      <c r="E781" s="23" t="s">
        <v>29</v>
      </c>
      <c r="F781" s="16" t="s">
        <v>798</v>
      </c>
      <c r="G781" s="118">
        <v>49</v>
      </c>
      <c r="H781" s="118">
        <v>7.5</v>
      </c>
      <c r="I781" s="118">
        <v>16.5</v>
      </c>
      <c r="J781" s="118">
        <v>5.8</v>
      </c>
      <c r="K781" s="119" t="s">
        <v>26</v>
      </c>
      <c r="L781" s="118">
        <v>0.9</v>
      </c>
      <c r="M781" s="118">
        <v>0.8</v>
      </c>
      <c r="N781" s="119" t="s">
        <v>26</v>
      </c>
      <c r="O781" s="118">
        <v>6.2</v>
      </c>
      <c r="P781" s="118">
        <v>6.7</v>
      </c>
      <c r="Q781" s="119" t="s">
        <v>26</v>
      </c>
      <c r="R781" s="119" t="s">
        <v>26</v>
      </c>
      <c r="S781" s="127">
        <v>5.6</v>
      </c>
      <c r="T781" s="121" t="s">
        <v>26</v>
      </c>
      <c r="U781" s="89">
        <v>1120</v>
      </c>
      <c r="V781" s="89">
        <v>683</v>
      </c>
      <c r="AC781" s="33"/>
      <c r="AD781" s="33"/>
      <c r="AE781" s="33"/>
    </row>
    <row r="782" spans="1:31">
      <c r="A782" s="26" t="s">
        <v>791</v>
      </c>
      <c r="B782" s="8" t="s">
        <v>179</v>
      </c>
      <c r="C782" s="8" t="s">
        <v>22</v>
      </c>
      <c r="D782" s="3" t="s">
        <v>23</v>
      </c>
      <c r="E782" s="23" t="s">
        <v>31</v>
      </c>
      <c r="F782" s="16" t="s">
        <v>553</v>
      </c>
      <c r="G782" s="118">
        <v>20</v>
      </c>
      <c r="H782" s="119" t="s">
        <v>26</v>
      </c>
      <c r="I782" s="118">
        <v>8.1</v>
      </c>
      <c r="J782" s="118">
        <v>16.5</v>
      </c>
      <c r="K782" s="119" t="s">
        <v>26</v>
      </c>
      <c r="L782" s="119" t="s">
        <v>26</v>
      </c>
      <c r="M782" s="119" t="s">
        <v>26</v>
      </c>
      <c r="N782" s="119" t="s">
        <v>26</v>
      </c>
      <c r="O782" s="118">
        <v>11.5</v>
      </c>
      <c r="P782" s="118">
        <v>20.5</v>
      </c>
      <c r="Q782" s="119" t="s">
        <v>26</v>
      </c>
      <c r="R782" s="119" t="s">
        <v>26</v>
      </c>
      <c r="S782" s="127">
        <v>9.5</v>
      </c>
      <c r="T782" s="121" t="s">
        <v>26</v>
      </c>
      <c r="U782" s="89">
        <v>1529</v>
      </c>
      <c r="V782" s="89">
        <v>144</v>
      </c>
      <c r="AC782" s="33"/>
      <c r="AD782" s="33"/>
      <c r="AE782" s="33"/>
    </row>
    <row r="783" spans="1:31">
      <c r="A783" s="26" t="s">
        <v>791</v>
      </c>
      <c r="B783" s="8" t="s">
        <v>179</v>
      </c>
      <c r="C783" s="8" t="s">
        <v>22</v>
      </c>
      <c r="D783" s="3" t="s">
        <v>23</v>
      </c>
      <c r="E783" s="25" t="s">
        <v>131</v>
      </c>
      <c r="F783" s="16" t="s">
        <v>262</v>
      </c>
      <c r="G783" s="118">
        <v>13</v>
      </c>
      <c r="H783" s="118">
        <v>28.97</v>
      </c>
      <c r="I783" s="119" t="s">
        <v>26</v>
      </c>
      <c r="J783" s="118">
        <v>6.13</v>
      </c>
      <c r="K783" s="119" t="s">
        <v>26</v>
      </c>
      <c r="L783" s="118">
        <v>1.2</v>
      </c>
      <c r="M783" s="119" t="s">
        <v>26</v>
      </c>
      <c r="N783" s="119" t="s">
        <v>26</v>
      </c>
      <c r="O783" s="125" t="s">
        <v>26</v>
      </c>
      <c r="P783" s="119" t="s">
        <v>26</v>
      </c>
      <c r="Q783" s="119" t="s">
        <v>26</v>
      </c>
      <c r="R783" s="119" t="s">
        <v>26</v>
      </c>
      <c r="S783" s="120" t="s">
        <v>26</v>
      </c>
      <c r="T783" s="121" t="s">
        <v>26</v>
      </c>
      <c r="U783" s="89">
        <v>140</v>
      </c>
      <c r="V783" s="89">
        <v>79</v>
      </c>
      <c r="AC783" s="33"/>
      <c r="AD783" s="33"/>
      <c r="AE783" s="33"/>
    </row>
    <row r="784" spans="1:31">
      <c r="A784" s="26" t="s">
        <v>791</v>
      </c>
      <c r="B784" s="8" t="s">
        <v>519</v>
      </c>
      <c r="C784" s="8" t="s">
        <v>22</v>
      </c>
      <c r="D784" s="3" t="s">
        <v>33</v>
      </c>
      <c r="E784" s="23" t="s">
        <v>24</v>
      </c>
      <c r="F784" s="16" t="s">
        <v>799</v>
      </c>
      <c r="G784" s="118">
        <v>190</v>
      </c>
      <c r="H784" s="118">
        <v>32.5</v>
      </c>
      <c r="I784" s="119" t="s">
        <v>26</v>
      </c>
      <c r="J784" s="119" t="s">
        <v>26</v>
      </c>
      <c r="K784" s="119" t="s">
        <v>26</v>
      </c>
      <c r="L784" s="119" t="s">
        <v>26</v>
      </c>
      <c r="M784" s="118">
        <v>0.4</v>
      </c>
      <c r="N784" s="119" t="s">
        <v>26</v>
      </c>
      <c r="O784" s="118">
        <v>0.9</v>
      </c>
      <c r="P784" s="118">
        <v>0.6</v>
      </c>
      <c r="Q784" s="119" t="s">
        <v>26</v>
      </c>
      <c r="R784" s="118">
        <v>1.4</v>
      </c>
      <c r="S784" s="127">
        <v>1.5</v>
      </c>
      <c r="T784" s="121" t="s">
        <v>26</v>
      </c>
      <c r="U784" s="130">
        <v>558</v>
      </c>
      <c r="V784" s="126" t="s">
        <v>26</v>
      </c>
      <c r="AC784" s="33"/>
      <c r="AD784" s="33"/>
      <c r="AE784" s="33"/>
    </row>
    <row r="785" spans="1:31">
      <c r="A785" s="26" t="s">
        <v>791</v>
      </c>
      <c r="B785" s="8" t="s">
        <v>519</v>
      </c>
      <c r="C785" s="8" t="s">
        <v>22</v>
      </c>
      <c r="D785" s="3" t="s">
        <v>33</v>
      </c>
      <c r="E785" s="23" t="s">
        <v>27</v>
      </c>
      <c r="F785" s="16" t="s">
        <v>800</v>
      </c>
      <c r="G785" s="118">
        <v>89</v>
      </c>
      <c r="H785" s="118">
        <v>43.5</v>
      </c>
      <c r="I785" s="118">
        <v>0.5</v>
      </c>
      <c r="J785" s="118">
        <v>0.6</v>
      </c>
      <c r="K785" s="119" t="s">
        <v>26</v>
      </c>
      <c r="L785" s="119" t="s">
        <v>26</v>
      </c>
      <c r="M785" s="118">
        <v>0.5</v>
      </c>
      <c r="N785" s="119" t="s">
        <v>26</v>
      </c>
      <c r="O785" s="118">
        <v>3.1</v>
      </c>
      <c r="P785" s="118">
        <v>1.3</v>
      </c>
      <c r="Q785" s="119" t="s">
        <v>26</v>
      </c>
      <c r="R785" s="119" t="s">
        <v>26</v>
      </c>
      <c r="S785" s="127">
        <v>3.9</v>
      </c>
      <c r="T785" s="121" t="s">
        <v>26</v>
      </c>
      <c r="U785" s="130">
        <v>180</v>
      </c>
      <c r="V785" s="126" t="s">
        <v>26</v>
      </c>
      <c r="AC785" s="33"/>
      <c r="AD785" s="33"/>
      <c r="AE785" s="33"/>
    </row>
    <row r="786" spans="1:31">
      <c r="A786" s="26" t="s">
        <v>791</v>
      </c>
      <c r="B786" s="8" t="s">
        <v>519</v>
      </c>
      <c r="C786" s="8" t="s">
        <v>22</v>
      </c>
      <c r="D786" s="3" t="s">
        <v>33</v>
      </c>
      <c r="E786" s="23" t="s">
        <v>29</v>
      </c>
      <c r="F786" s="16" t="s">
        <v>801</v>
      </c>
      <c r="G786" s="118">
        <v>45</v>
      </c>
      <c r="H786" s="118">
        <v>9.5</v>
      </c>
      <c r="I786" s="118">
        <v>12.5</v>
      </c>
      <c r="J786" s="118">
        <v>1.88</v>
      </c>
      <c r="K786" s="119" t="s">
        <v>26</v>
      </c>
      <c r="L786" s="119" t="s">
        <v>26</v>
      </c>
      <c r="M786" s="118">
        <v>0.9</v>
      </c>
      <c r="N786" s="119" t="s">
        <v>26</v>
      </c>
      <c r="O786" s="118">
        <v>4.5</v>
      </c>
      <c r="P786" s="118">
        <v>2.5</v>
      </c>
      <c r="Q786" s="119" t="s">
        <v>26</v>
      </c>
      <c r="R786" s="118">
        <v>0.6</v>
      </c>
      <c r="S786" s="127">
        <v>7.5</v>
      </c>
      <c r="T786" s="121" t="s">
        <v>26</v>
      </c>
      <c r="U786" s="130">
        <v>440</v>
      </c>
      <c r="V786" s="126" t="s">
        <v>26</v>
      </c>
      <c r="AC786" s="33"/>
      <c r="AD786" s="33"/>
      <c r="AE786" s="33"/>
    </row>
    <row r="787" spans="1:31">
      <c r="A787" s="26" t="s">
        <v>791</v>
      </c>
      <c r="B787" s="8" t="s">
        <v>519</v>
      </c>
      <c r="C787" s="8" t="s">
        <v>22</v>
      </c>
      <c r="D787" s="3" t="s">
        <v>33</v>
      </c>
      <c r="E787" s="23" t="s">
        <v>31</v>
      </c>
      <c r="F787" s="16" t="s">
        <v>802</v>
      </c>
      <c r="G787" s="118">
        <v>18</v>
      </c>
      <c r="H787" s="119" t="s">
        <v>26</v>
      </c>
      <c r="I787" s="118">
        <v>9.8000000000000007</v>
      </c>
      <c r="J787" s="118">
        <v>21.4</v>
      </c>
      <c r="K787" s="119" t="s">
        <v>26</v>
      </c>
      <c r="L787" s="119" t="s">
        <v>26</v>
      </c>
      <c r="M787" s="119" t="s">
        <v>26</v>
      </c>
      <c r="N787" s="119" t="s">
        <v>26</v>
      </c>
      <c r="O787" s="118">
        <v>5.0999999999999996</v>
      </c>
      <c r="P787" s="118">
        <v>3.4</v>
      </c>
      <c r="Q787" s="119" t="s">
        <v>26</v>
      </c>
      <c r="R787" s="119" t="s">
        <v>26</v>
      </c>
      <c r="S787" s="127">
        <v>16.5</v>
      </c>
      <c r="T787" s="121" t="s">
        <v>26</v>
      </c>
      <c r="U787" s="130">
        <v>808</v>
      </c>
      <c r="V787" s="126" t="s">
        <v>26</v>
      </c>
      <c r="AC787" s="33"/>
      <c r="AD787" s="33"/>
      <c r="AE787" s="33"/>
    </row>
    <row r="788" spans="1:31">
      <c r="A788" s="26" t="s">
        <v>803</v>
      </c>
      <c r="B788" s="8" t="s">
        <v>676</v>
      </c>
      <c r="C788" s="8" t="s">
        <v>22</v>
      </c>
      <c r="D788" s="8" t="s">
        <v>730</v>
      </c>
      <c r="E788" s="23" t="s">
        <v>27</v>
      </c>
      <c r="F788" s="16" t="s">
        <v>804</v>
      </c>
      <c r="G788" s="118">
        <v>142</v>
      </c>
      <c r="H788" s="118">
        <v>11.3</v>
      </c>
      <c r="I788" s="118">
        <v>21.6</v>
      </c>
      <c r="J788" s="119" t="s">
        <v>26</v>
      </c>
      <c r="K788" s="119" t="s">
        <v>26</v>
      </c>
      <c r="L788" s="119" t="s">
        <v>26</v>
      </c>
      <c r="M788" s="119" t="s">
        <v>26</v>
      </c>
      <c r="N788" s="119" t="s">
        <v>26</v>
      </c>
      <c r="O788" s="118">
        <v>4.0999999999999996</v>
      </c>
      <c r="P788" s="119" t="s">
        <v>26</v>
      </c>
      <c r="Q788" s="118">
        <v>12.2</v>
      </c>
      <c r="R788" s="119" t="s">
        <v>26</v>
      </c>
      <c r="S788" s="127">
        <v>2.6</v>
      </c>
      <c r="T788" s="121" t="s">
        <v>26</v>
      </c>
      <c r="U788" s="89">
        <v>624</v>
      </c>
      <c r="V788" s="126" t="s">
        <v>26</v>
      </c>
      <c r="AC788" s="33"/>
      <c r="AD788" s="33"/>
      <c r="AE788" s="33"/>
    </row>
    <row r="789" spans="1:31">
      <c r="A789" s="26" t="s">
        <v>803</v>
      </c>
      <c r="B789" s="8" t="s">
        <v>676</v>
      </c>
      <c r="C789" s="8" t="s">
        <v>22</v>
      </c>
      <c r="D789" s="8" t="s">
        <v>730</v>
      </c>
      <c r="E789" s="23" t="s">
        <v>29</v>
      </c>
      <c r="F789" s="16" t="s">
        <v>60</v>
      </c>
      <c r="G789" s="118">
        <v>61</v>
      </c>
      <c r="H789" s="119" t="s">
        <v>26</v>
      </c>
      <c r="I789" s="118">
        <v>22.2</v>
      </c>
      <c r="J789" s="119" t="s">
        <v>26</v>
      </c>
      <c r="K789" s="119" t="s">
        <v>26</v>
      </c>
      <c r="L789" s="119" t="s">
        <v>26</v>
      </c>
      <c r="M789" s="119" t="s">
        <v>26</v>
      </c>
      <c r="N789" s="119" t="s">
        <v>26</v>
      </c>
      <c r="O789" s="118">
        <v>6</v>
      </c>
      <c r="P789" s="119" t="s">
        <v>26</v>
      </c>
      <c r="Q789" s="119" t="s">
        <v>26</v>
      </c>
      <c r="R789" s="119" t="s">
        <v>26</v>
      </c>
      <c r="S789" s="120" t="s">
        <v>26</v>
      </c>
      <c r="T789" s="121" t="s">
        <v>26</v>
      </c>
      <c r="U789" s="89">
        <v>82</v>
      </c>
      <c r="V789" s="126" t="s">
        <v>26</v>
      </c>
      <c r="AC789" s="33"/>
      <c r="AD789" s="33"/>
      <c r="AE789" s="33"/>
    </row>
    <row r="790" spans="1:31">
      <c r="A790" s="26" t="s">
        <v>803</v>
      </c>
      <c r="B790" s="8" t="s">
        <v>676</v>
      </c>
      <c r="C790" s="8" t="s">
        <v>22</v>
      </c>
      <c r="D790" s="8" t="s">
        <v>730</v>
      </c>
      <c r="E790" s="23" t="s">
        <v>31</v>
      </c>
      <c r="F790" s="16" t="s">
        <v>805</v>
      </c>
      <c r="G790" s="118">
        <v>202</v>
      </c>
      <c r="H790" s="119" t="s">
        <v>26</v>
      </c>
      <c r="I790" s="118">
        <v>8.1999999999999993</v>
      </c>
      <c r="J790" s="119" t="s">
        <v>26</v>
      </c>
      <c r="K790" s="119" t="s">
        <v>26</v>
      </c>
      <c r="L790" s="119" t="s">
        <v>26</v>
      </c>
      <c r="M790" s="119" t="s">
        <v>26</v>
      </c>
      <c r="N790" s="119" t="s">
        <v>26</v>
      </c>
      <c r="O790" s="125" t="s">
        <v>26</v>
      </c>
      <c r="P790" s="119" t="s">
        <v>26</v>
      </c>
      <c r="Q790" s="118">
        <v>22.3</v>
      </c>
      <c r="R790" s="119" t="s">
        <v>26</v>
      </c>
      <c r="S790" s="120" t="s">
        <v>26</v>
      </c>
      <c r="T790" s="121" t="s">
        <v>26</v>
      </c>
      <c r="U790" s="123" t="s">
        <v>26</v>
      </c>
      <c r="V790" s="126" t="s">
        <v>26</v>
      </c>
      <c r="AC790" s="33"/>
      <c r="AD790" s="33"/>
      <c r="AE790" s="33"/>
    </row>
    <row r="791" spans="1:31">
      <c r="A791" s="26" t="s">
        <v>803</v>
      </c>
      <c r="B791" s="8" t="s">
        <v>373</v>
      </c>
      <c r="C791" s="8" t="s">
        <v>22</v>
      </c>
      <c r="D791" s="3" t="s">
        <v>23</v>
      </c>
      <c r="E791" s="23" t="s">
        <v>24</v>
      </c>
      <c r="F791" s="16" t="s">
        <v>806</v>
      </c>
      <c r="G791" s="118">
        <v>260</v>
      </c>
      <c r="H791" s="118">
        <v>16.899999999999999</v>
      </c>
      <c r="I791" s="119" t="s">
        <v>26</v>
      </c>
      <c r="J791" s="119" t="s">
        <v>26</v>
      </c>
      <c r="K791" s="119" t="s">
        <v>26</v>
      </c>
      <c r="L791" s="118">
        <v>0.3</v>
      </c>
      <c r="M791" s="119" t="s">
        <v>26</v>
      </c>
      <c r="N791" s="119" t="s">
        <v>26</v>
      </c>
      <c r="O791" s="118">
        <v>0.9</v>
      </c>
      <c r="P791" s="118">
        <v>0.8</v>
      </c>
      <c r="Q791" s="118">
        <v>0.5</v>
      </c>
      <c r="R791" s="118">
        <v>1</v>
      </c>
      <c r="S791" s="127">
        <v>1.4</v>
      </c>
      <c r="T791" s="121" t="s">
        <v>26</v>
      </c>
      <c r="U791" s="89">
        <v>36</v>
      </c>
      <c r="V791" s="89">
        <v>424</v>
      </c>
      <c r="AC791" s="33"/>
      <c r="AD791" s="33"/>
      <c r="AE791" s="33"/>
    </row>
    <row r="792" spans="1:31">
      <c r="A792" s="26" t="s">
        <v>803</v>
      </c>
      <c r="B792" s="8" t="s">
        <v>373</v>
      </c>
      <c r="C792" s="8" t="s">
        <v>22</v>
      </c>
      <c r="D792" s="3" t="s">
        <v>23</v>
      </c>
      <c r="E792" s="23" t="s">
        <v>27</v>
      </c>
      <c r="F792" s="16" t="s">
        <v>807</v>
      </c>
      <c r="G792" s="118">
        <v>125</v>
      </c>
      <c r="H792" s="118">
        <v>24.7</v>
      </c>
      <c r="I792" s="118">
        <v>11.5</v>
      </c>
      <c r="J792" s="118">
        <v>0.6</v>
      </c>
      <c r="K792" s="119" t="s">
        <v>26</v>
      </c>
      <c r="L792" s="118">
        <v>0.5</v>
      </c>
      <c r="M792" s="119" t="s">
        <v>26</v>
      </c>
      <c r="N792" s="119" t="s">
        <v>26</v>
      </c>
      <c r="O792" s="118">
        <v>2.8</v>
      </c>
      <c r="P792" s="118">
        <v>1.8</v>
      </c>
      <c r="Q792" s="119" t="s">
        <v>26</v>
      </c>
      <c r="R792" s="118">
        <v>0.9</v>
      </c>
      <c r="S792" s="127">
        <v>2</v>
      </c>
      <c r="T792" s="121" t="s">
        <v>26</v>
      </c>
      <c r="U792" s="89">
        <v>72</v>
      </c>
      <c r="V792" s="89">
        <v>210</v>
      </c>
      <c r="AC792" s="33"/>
      <c r="AD792" s="33"/>
      <c r="AE792" s="33"/>
    </row>
    <row r="793" spans="1:31">
      <c r="A793" s="26" t="s">
        <v>803</v>
      </c>
      <c r="B793" s="8" t="s">
        <v>373</v>
      </c>
      <c r="C793" s="8" t="s">
        <v>22</v>
      </c>
      <c r="D793" s="3" t="s">
        <v>23</v>
      </c>
      <c r="E793" s="23" t="s">
        <v>29</v>
      </c>
      <c r="F793" s="16" t="s">
        <v>808</v>
      </c>
      <c r="G793" s="118">
        <v>51</v>
      </c>
      <c r="H793" s="118">
        <v>3.8</v>
      </c>
      <c r="I793" s="118">
        <v>20.6</v>
      </c>
      <c r="J793" s="118">
        <v>3.44</v>
      </c>
      <c r="K793" s="119" t="s">
        <v>26</v>
      </c>
      <c r="L793" s="118">
        <v>0.6</v>
      </c>
      <c r="M793" s="119" t="s">
        <v>26</v>
      </c>
      <c r="N793" s="119" t="s">
        <v>26</v>
      </c>
      <c r="O793" s="118">
        <v>3.1</v>
      </c>
      <c r="P793" s="118">
        <v>3.5</v>
      </c>
      <c r="Q793" s="119" t="s">
        <v>26</v>
      </c>
      <c r="R793" s="118">
        <v>0.5</v>
      </c>
      <c r="S793" s="127">
        <v>3.5</v>
      </c>
      <c r="T793" s="121" t="s">
        <v>26</v>
      </c>
      <c r="U793" s="89">
        <v>2401</v>
      </c>
      <c r="V793" s="89">
        <v>493</v>
      </c>
      <c r="AC793" s="33"/>
      <c r="AD793" s="33"/>
      <c r="AE793" s="33"/>
    </row>
    <row r="794" spans="1:31">
      <c r="A794" s="26" t="s">
        <v>803</v>
      </c>
      <c r="B794" s="8" t="s">
        <v>373</v>
      </c>
      <c r="C794" s="8" t="s">
        <v>22</v>
      </c>
      <c r="D794" s="3" t="s">
        <v>23</v>
      </c>
      <c r="E794" s="23" t="s">
        <v>31</v>
      </c>
      <c r="F794" s="16" t="s">
        <v>809</v>
      </c>
      <c r="G794" s="118">
        <v>23</v>
      </c>
      <c r="H794" s="119" t="s">
        <v>26</v>
      </c>
      <c r="I794" s="118">
        <v>18.5</v>
      </c>
      <c r="J794" s="118">
        <v>14.8</v>
      </c>
      <c r="K794" s="119" t="s">
        <v>26</v>
      </c>
      <c r="L794" s="119" t="s">
        <v>26</v>
      </c>
      <c r="M794" s="119" t="s">
        <v>26</v>
      </c>
      <c r="N794" s="119" t="s">
        <v>26</v>
      </c>
      <c r="O794" s="118">
        <v>2.9</v>
      </c>
      <c r="P794" s="118">
        <v>6.6</v>
      </c>
      <c r="Q794" s="119" t="s">
        <v>26</v>
      </c>
      <c r="R794" s="119" t="s">
        <v>26</v>
      </c>
      <c r="S794" s="127">
        <v>6.5</v>
      </c>
      <c r="T794" s="121" t="s">
        <v>26</v>
      </c>
      <c r="U794" s="89">
        <v>1454</v>
      </c>
      <c r="V794" s="89">
        <v>98</v>
      </c>
      <c r="AC794" s="33"/>
      <c r="AD794" s="33"/>
      <c r="AE794" s="33"/>
    </row>
    <row r="795" spans="1:31">
      <c r="A795" s="26" t="s">
        <v>803</v>
      </c>
      <c r="B795" s="8" t="s">
        <v>89</v>
      </c>
      <c r="C795" s="8" t="s">
        <v>22</v>
      </c>
      <c r="D795" s="3" t="s">
        <v>23</v>
      </c>
      <c r="E795" s="23" t="s">
        <v>24</v>
      </c>
      <c r="F795" s="16" t="s">
        <v>810</v>
      </c>
      <c r="G795" s="118">
        <v>261</v>
      </c>
      <c r="H795" s="118">
        <v>15.9</v>
      </c>
      <c r="I795" s="119" t="s">
        <v>26</v>
      </c>
      <c r="J795" s="119" t="s">
        <v>26</v>
      </c>
      <c r="K795" s="119" t="s">
        <v>26</v>
      </c>
      <c r="L795" s="119" t="s">
        <v>26</v>
      </c>
      <c r="M795" s="119" t="s">
        <v>26</v>
      </c>
      <c r="N795" s="119" t="s">
        <v>26</v>
      </c>
      <c r="O795" s="118">
        <v>1.6</v>
      </c>
      <c r="P795" s="118">
        <v>1.5</v>
      </c>
      <c r="Q795" s="118">
        <v>1.3</v>
      </c>
      <c r="R795" s="118">
        <v>1.4</v>
      </c>
      <c r="S795" s="127">
        <v>1.8</v>
      </c>
      <c r="T795" s="121" t="s">
        <v>26</v>
      </c>
      <c r="U795" s="89">
        <v>198</v>
      </c>
      <c r="V795" s="126" t="s">
        <v>26</v>
      </c>
      <c r="AC795" s="33"/>
      <c r="AD795" s="33"/>
      <c r="AE795" s="33"/>
    </row>
    <row r="796" spans="1:31">
      <c r="A796" s="26" t="s">
        <v>803</v>
      </c>
      <c r="B796" s="8" t="s">
        <v>89</v>
      </c>
      <c r="C796" s="8" t="s">
        <v>22</v>
      </c>
      <c r="D796" s="3" t="s">
        <v>23</v>
      </c>
      <c r="E796" s="23" t="s">
        <v>27</v>
      </c>
      <c r="F796" s="16" t="s">
        <v>811</v>
      </c>
      <c r="G796" s="118">
        <v>115</v>
      </c>
      <c r="H796" s="118">
        <v>17.5</v>
      </c>
      <c r="I796" s="118">
        <v>8.5</v>
      </c>
      <c r="J796" s="118">
        <v>0.5</v>
      </c>
      <c r="K796" s="119" t="s">
        <v>26</v>
      </c>
      <c r="L796" s="119" t="s">
        <v>26</v>
      </c>
      <c r="M796" s="119" t="s">
        <v>26</v>
      </c>
      <c r="N796" s="119" t="s">
        <v>26</v>
      </c>
      <c r="O796" s="118">
        <v>2.4</v>
      </c>
      <c r="P796" s="118">
        <v>2.2000000000000002</v>
      </c>
      <c r="Q796" s="119" t="s">
        <v>26</v>
      </c>
      <c r="R796" s="118">
        <v>1.2</v>
      </c>
      <c r="S796" s="127">
        <v>2.5</v>
      </c>
      <c r="T796" s="121" t="s">
        <v>26</v>
      </c>
      <c r="U796" s="89">
        <v>72</v>
      </c>
      <c r="V796" s="126" t="s">
        <v>26</v>
      </c>
      <c r="AC796" s="33"/>
      <c r="AD796" s="33"/>
      <c r="AE796" s="33"/>
    </row>
    <row r="797" spans="1:31">
      <c r="A797" s="26" t="s">
        <v>803</v>
      </c>
      <c r="B797" s="8" t="s">
        <v>89</v>
      </c>
      <c r="C797" s="8" t="s">
        <v>22</v>
      </c>
      <c r="D797" s="3" t="s">
        <v>23</v>
      </c>
      <c r="E797" s="23" t="s">
        <v>29</v>
      </c>
      <c r="F797" s="16" t="s">
        <v>812</v>
      </c>
      <c r="G797" s="118">
        <v>48</v>
      </c>
      <c r="H797" s="118">
        <v>3.8</v>
      </c>
      <c r="I797" s="118">
        <v>19.5</v>
      </c>
      <c r="J797" s="118">
        <v>1.8</v>
      </c>
      <c r="K797" s="118">
        <v>0.8</v>
      </c>
      <c r="L797" s="118">
        <v>0.5</v>
      </c>
      <c r="M797" s="119" t="s">
        <v>26</v>
      </c>
      <c r="N797" s="119" t="s">
        <v>26</v>
      </c>
      <c r="O797" s="118">
        <v>3.9</v>
      </c>
      <c r="P797" s="118">
        <v>2.5</v>
      </c>
      <c r="Q797" s="119" t="s">
        <v>26</v>
      </c>
      <c r="R797" s="119" t="s">
        <v>26</v>
      </c>
      <c r="S797" s="127">
        <v>3.8</v>
      </c>
      <c r="T797" s="128">
        <v>1</v>
      </c>
      <c r="U797" s="89">
        <v>2109</v>
      </c>
      <c r="V797" s="126" t="s">
        <v>26</v>
      </c>
      <c r="AC797" s="33"/>
      <c r="AD797" s="33"/>
      <c r="AE797" s="33"/>
    </row>
    <row r="798" spans="1:31">
      <c r="A798" s="26" t="s">
        <v>803</v>
      </c>
      <c r="B798" s="8" t="s">
        <v>89</v>
      </c>
      <c r="C798" s="8" t="s">
        <v>22</v>
      </c>
      <c r="D798" s="3" t="s">
        <v>23</v>
      </c>
      <c r="E798" s="23" t="s">
        <v>31</v>
      </c>
      <c r="F798" s="16" t="s">
        <v>813</v>
      </c>
      <c r="G798" s="118">
        <v>25</v>
      </c>
      <c r="H798" s="119" t="s">
        <v>26</v>
      </c>
      <c r="I798" s="118">
        <v>24.5</v>
      </c>
      <c r="J798" s="118">
        <v>16.8</v>
      </c>
      <c r="K798" s="119" t="s">
        <v>26</v>
      </c>
      <c r="L798" s="119" t="s">
        <v>26</v>
      </c>
      <c r="M798" s="119" t="s">
        <v>26</v>
      </c>
      <c r="N798" s="119" t="s">
        <v>26</v>
      </c>
      <c r="O798" s="118">
        <v>9.5</v>
      </c>
      <c r="P798" s="118">
        <v>6.5</v>
      </c>
      <c r="Q798" s="119" t="s">
        <v>26</v>
      </c>
      <c r="R798" s="119" t="s">
        <v>26</v>
      </c>
      <c r="S798" s="127">
        <v>4.5999999999999996</v>
      </c>
      <c r="T798" s="121" t="s">
        <v>26</v>
      </c>
      <c r="U798" s="89">
        <v>1298</v>
      </c>
      <c r="V798" s="126" t="s">
        <v>26</v>
      </c>
      <c r="AC798" s="33"/>
      <c r="AD798" s="33"/>
      <c r="AE798" s="33"/>
    </row>
    <row r="799" spans="1:31">
      <c r="A799" s="26" t="s">
        <v>803</v>
      </c>
      <c r="B799" s="8" t="s">
        <v>47</v>
      </c>
      <c r="C799" s="8" t="s">
        <v>22</v>
      </c>
      <c r="D799" s="3" t="s">
        <v>23</v>
      </c>
      <c r="E799" s="23" t="s">
        <v>24</v>
      </c>
      <c r="F799" s="16" t="s">
        <v>814</v>
      </c>
      <c r="G799" s="118">
        <v>258</v>
      </c>
      <c r="H799" s="118">
        <v>16.5</v>
      </c>
      <c r="I799" s="119" t="s">
        <v>26</v>
      </c>
      <c r="J799" s="119" t="s">
        <v>26</v>
      </c>
      <c r="K799" s="119" t="s">
        <v>26</v>
      </c>
      <c r="L799" s="119" t="s">
        <v>26</v>
      </c>
      <c r="M799" s="119" t="s">
        <v>26</v>
      </c>
      <c r="N799" s="119" t="s">
        <v>26</v>
      </c>
      <c r="O799" s="118">
        <v>1.6</v>
      </c>
      <c r="P799" s="118">
        <v>1.5</v>
      </c>
      <c r="Q799" s="118">
        <v>1.3</v>
      </c>
      <c r="R799" s="118">
        <v>1.4</v>
      </c>
      <c r="S799" s="127">
        <v>1.8</v>
      </c>
      <c r="T799" s="121" t="s">
        <v>26</v>
      </c>
      <c r="U799" s="89">
        <v>54</v>
      </c>
      <c r="V799" s="126" t="s">
        <v>26</v>
      </c>
      <c r="AC799" s="33"/>
      <c r="AD799" s="33"/>
      <c r="AE799" s="33"/>
    </row>
    <row r="800" spans="1:31">
      <c r="A800" s="26" t="s">
        <v>803</v>
      </c>
      <c r="B800" s="8" t="s">
        <v>47</v>
      </c>
      <c r="C800" s="8" t="s">
        <v>22</v>
      </c>
      <c r="D800" s="3" t="s">
        <v>23</v>
      </c>
      <c r="E800" s="23" t="s">
        <v>27</v>
      </c>
      <c r="F800" s="16" t="s">
        <v>815</v>
      </c>
      <c r="G800" s="118">
        <v>118</v>
      </c>
      <c r="H800" s="118">
        <v>22.5</v>
      </c>
      <c r="I800" s="118">
        <v>8.9</v>
      </c>
      <c r="J800" s="118">
        <v>0.5</v>
      </c>
      <c r="K800" s="119" t="s">
        <v>26</v>
      </c>
      <c r="L800" s="119" t="s">
        <v>26</v>
      </c>
      <c r="M800" s="118">
        <v>0.5</v>
      </c>
      <c r="N800" s="119" t="s">
        <v>26</v>
      </c>
      <c r="O800" s="118">
        <v>2.4</v>
      </c>
      <c r="P800" s="118">
        <v>2.2000000000000002</v>
      </c>
      <c r="Q800" s="119" t="s">
        <v>26</v>
      </c>
      <c r="R800" s="118">
        <v>1.2</v>
      </c>
      <c r="S800" s="127">
        <v>2.5</v>
      </c>
      <c r="T800" s="121" t="s">
        <v>26</v>
      </c>
      <c r="U800" s="89">
        <v>116</v>
      </c>
      <c r="V800" s="126" t="s">
        <v>26</v>
      </c>
      <c r="AC800" s="33"/>
      <c r="AD800" s="33"/>
      <c r="AE800" s="33"/>
    </row>
    <row r="801" spans="1:31">
      <c r="A801" s="26" t="s">
        <v>803</v>
      </c>
      <c r="B801" s="8" t="s">
        <v>47</v>
      </c>
      <c r="C801" s="8" t="s">
        <v>22</v>
      </c>
      <c r="D801" s="3" t="s">
        <v>23</v>
      </c>
      <c r="E801" s="23" t="s">
        <v>29</v>
      </c>
      <c r="F801" s="16" t="s">
        <v>533</v>
      </c>
      <c r="G801" s="118">
        <v>50</v>
      </c>
      <c r="H801" s="118">
        <v>3.9</v>
      </c>
      <c r="I801" s="118">
        <v>21.5</v>
      </c>
      <c r="J801" s="118">
        <v>1.8</v>
      </c>
      <c r="K801" s="119" t="s">
        <v>26</v>
      </c>
      <c r="L801" s="118">
        <v>0.5</v>
      </c>
      <c r="M801" s="119" t="s">
        <v>26</v>
      </c>
      <c r="N801" s="119" t="s">
        <v>26</v>
      </c>
      <c r="O801" s="118">
        <v>3.9</v>
      </c>
      <c r="P801" s="118">
        <v>2.5</v>
      </c>
      <c r="Q801" s="119" t="s">
        <v>26</v>
      </c>
      <c r="R801" s="119" t="s">
        <v>26</v>
      </c>
      <c r="S801" s="127">
        <v>3.8</v>
      </c>
      <c r="T801" s="121" t="s">
        <v>26</v>
      </c>
      <c r="U801" s="89">
        <v>300</v>
      </c>
      <c r="V801" s="126" t="s">
        <v>26</v>
      </c>
      <c r="AC801" s="33"/>
      <c r="AD801" s="33"/>
      <c r="AE801" s="33"/>
    </row>
    <row r="802" spans="1:31">
      <c r="A802" s="26" t="s">
        <v>803</v>
      </c>
      <c r="B802" s="8" t="s">
        <v>47</v>
      </c>
      <c r="C802" s="8" t="s">
        <v>22</v>
      </c>
      <c r="D802" s="3" t="s">
        <v>23</v>
      </c>
      <c r="E802" s="23" t="s">
        <v>31</v>
      </c>
      <c r="F802" s="16" t="s">
        <v>816</v>
      </c>
      <c r="G802" s="118">
        <v>21</v>
      </c>
      <c r="H802" s="119" t="s">
        <v>26</v>
      </c>
      <c r="I802" s="118">
        <v>8.5</v>
      </c>
      <c r="J802" s="118">
        <v>16.8</v>
      </c>
      <c r="K802" s="119" t="s">
        <v>26</v>
      </c>
      <c r="L802" s="119" t="s">
        <v>26</v>
      </c>
      <c r="M802" s="119" t="s">
        <v>26</v>
      </c>
      <c r="N802" s="119" t="s">
        <v>26</v>
      </c>
      <c r="O802" s="118">
        <v>9.5</v>
      </c>
      <c r="P802" s="118">
        <v>6.5</v>
      </c>
      <c r="Q802" s="119" t="s">
        <v>26</v>
      </c>
      <c r="R802" s="119" t="s">
        <v>26</v>
      </c>
      <c r="S802" s="127">
        <v>4.5999999999999996</v>
      </c>
      <c r="T802" s="121" t="s">
        <v>26</v>
      </c>
      <c r="U802" s="89">
        <v>923</v>
      </c>
      <c r="V802" s="126" t="s">
        <v>26</v>
      </c>
      <c r="AC802" s="33"/>
      <c r="AD802" s="33"/>
      <c r="AE802" s="33"/>
    </row>
    <row r="803" spans="1:31">
      <c r="A803" s="26" t="s">
        <v>803</v>
      </c>
      <c r="B803" s="8" t="s">
        <v>47</v>
      </c>
      <c r="C803" s="8" t="s">
        <v>22</v>
      </c>
      <c r="D803" s="3" t="s">
        <v>23</v>
      </c>
      <c r="E803" s="25" t="s">
        <v>131</v>
      </c>
      <c r="F803" s="16" t="s">
        <v>817</v>
      </c>
      <c r="G803" s="118">
        <v>14</v>
      </c>
      <c r="H803" s="118">
        <v>11.8</v>
      </c>
      <c r="I803" s="118">
        <v>6.9</v>
      </c>
      <c r="J803" s="118">
        <v>6.1</v>
      </c>
      <c r="K803" s="119" t="s">
        <v>26</v>
      </c>
      <c r="L803" s="118">
        <v>1.2</v>
      </c>
      <c r="M803" s="119" t="s">
        <v>26</v>
      </c>
      <c r="N803" s="119" t="s">
        <v>26</v>
      </c>
      <c r="O803" s="125" t="s">
        <v>26</v>
      </c>
      <c r="P803" s="119" t="s">
        <v>26</v>
      </c>
      <c r="Q803" s="119" t="s">
        <v>26</v>
      </c>
      <c r="R803" s="119" t="s">
        <v>26</v>
      </c>
      <c r="S803" s="127">
        <v>5.6</v>
      </c>
      <c r="T803" s="121" t="s">
        <v>26</v>
      </c>
      <c r="U803" s="89">
        <v>3714</v>
      </c>
      <c r="V803" s="89">
        <v>15</v>
      </c>
      <c r="AC803" s="33"/>
      <c r="AD803" s="33"/>
      <c r="AE803" s="33"/>
    </row>
    <row r="804" spans="1:31">
      <c r="A804" s="26" t="s">
        <v>803</v>
      </c>
      <c r="B804" s="8" t="s">
        <v>623</v>
      </c>
      <c r="C804" s="8" t="s">
        <v>22</v>
      </c>
      <c r="D804" s="3" t="s">
        <v>33</v>
      </c>
      <c r="E804" s="23" t="s">
        <v>24</v>
      </c>
      <c r="F804" s="16" t="s">
        <v>818</v>
      </c>
      <c r="G804" s="118">
        <v>242</v>
      </c>
      <c r="H804" s="118">
        <v>11.5</v>
      </c>
      <c r="I804" s="119" t="s">
        <v>26</v>
      </c>
      <c r="J804" s="119" t="s">
        <v>26</v>
      </c>
      <c r="K804" s="119" t="s">
        <v>26</v>
      </c>
      <c r="L804" s="118">
        <v>1.2</v>
      </c>
      <c r="M804" s="118">
        <v>0.6</v>
      </c>
      <c r="N804" s="119" t="s">
        <v>26</v>
      </c>
      <c r="O804" s="118">
        <v>0.8</v>
      </c>
      <c r="P804" s="119" t="s">
        <v>26</v>
      </c>
      <c r="Q804" s="119" t="s">
        <v>26</v>
      </c>
      <c r="R804" s="118">
        <v>1.4</v>
      </c>
      <c r="S804" s="127">
        <v>1.2</v>
      </c>
      <c r="T804" s="121" t="s">
        <v>26</v>
      </c>
      <c r="U804" s="130">
        <v>170</v>
      </c>
      <c r="V804" s="126" t="s">
        <v>26</v>
      </c>
      <c r="AC804" s="33"/>
      <c r="AD804" s="33"/>
      <c r="AE804" s="33"/>
    </row>
    <row r="805" spans="1:31">
      <c r="A805" s="26" t="s">
        <v>803</v>
      </c>
      <c r="B805" s="8" t="s">
        <v>623</v>
      </c>
      <c r="C805" s="8" t="s">
        <v>22</v>
      </c>
      <c r="D805" s="3" t="s">
        <v>33</v>
      </c>
      <c r="E805" s="23" t="s">
        <v>27</v>
      </c>
      <c r="F805" s="16" t="s">
        <v>819</v>
      </c>
      <c r="G805" s="118">
        <v>128</v>
      </c>
      <c r="H805" s="118">
        <v>17.100000000000001</v>
      </c>
      <c r="I805" s="118">
        <v>8.9</v>
      </c>
      <c r="J805" s="118">
        <v>0.4</v>
      </c>
      <c r="K805" s="119" t="s">
        <v>26</v>
      </c>
      <c r="L805" s="118">
        <v>0.4</v>
      </c>
      <c r="M805" s="119" t="s">
        <v>26</v>
      </c>
      <c r="N805" s="119" t="s">
        <v>26</v>
      </c>
      <c r="O805" s="118">
        <v>2.2000000000000002</v>
      </c>
      <c r="P805" s="119" t="s">
        <v>26</v>
      </c>
      <c r="Q805" s="119" t="s">
        <v>26</v>
      </c>
      <c r="R805" s="118">
        <v>1.8</v>
      </c>
      <c r="S805" s="127">
        <v>2.9</v>
      </c>
      <c r="T805" s="121" t="s">
        <v>26</v>
      </c>
      <c r="U805" s="130">
        <v>126</v>
      </c>
      <c r="V805" s="126" t="s">
        <v>26</v>
      </c>
      <c r="AC805" s="33"/>
      <c r="AD805" s="33"/>
      <c r="AE805" s="33"/>
    </row>
    <row r="806" spans="1:31">
      <c r="A806" s="26" t="s">
        <v>803</v>
      </c>
      <c r="B806" s="8" t="s">
        <v>623</v>
      </c>
      <c r="C806" s="8" t="s">
        <v>22</v>
      </c>
      <c r="D806" s="3" t="s">
        <v>33</v>
      </c>
      <c r="E806" s="23" t="s">
        <v>29</v>
      </c>
      <c r="F806" s="16" t="s">
        <v>820</v>
      </c>
      <c r="G806" s="118">
        <v>46</v>
      </c>
      <c r="H806" s="118">
        <v>8.9</v>
      </c>
      <c r="I806" s="118">
        <v>3.5</v>
      </c>
      <c r="J806" s="118">
        <v>1.88</v>
      </c>
      <c r="K806" s="119" t="s">
        <v>26</v>
      </c>
      <c r="L806" s="119" t="s">
        <v>26</v>
      </c>
      <c r="M806" s="118">
        <v>0.4</v>
      </c>
      <c r="N806" s="119" t="s">
        <v>26</v>
      </c>
      <c r="O806" s="118">
        <v>2.8</v>
      </c>
      <c r="P806" s="119" t="s">
        <v>26</v>
      </c>
      <c r="Q806" s="119" t="s">
        <v>26</v>
      </c>
      <c r="R806" s="118">
        <v>0.7</v>
      </c>
      <c r="S806" s="127">
        <v>3.5</v>
      </c>
      <c r="T806" s="121" t="s">
        <v>26</v>
      </c>
      <c r="U806" s="130">
        <v>857</v>
      </c>
      <c r="V806" s="126" t="s">
        <v>26</v>
      </c>
      <c r="AC806" s="33"/>
      <c r="AD806" s="33"/>
      <c r="AE806" s="33"/>
    </row>
    <row r="807" spans="1:31">
      <c r="A807" s="26" t="s">
        <v>803</v>
      </c>
      <c r="B807" s="8" t="s">
        <v>623</v>
      </c>
      <c r="C807" s="8" t="s">
        <v>22</v>
      </c>
      <c r="D807" s="3" t="s">
        <v>33</v>
      </c>
      <c r="E807" s="23" t="s">
        <v>31</v>
      </c>
      <c r="F807" s="16" t="s">
        <v>821</v>
      </c>
      <c r="G807" s="118">
        <v>24</v>
      </c>
      <c r="H807" s="119" t="s">
        <v>26</v>
      </c>
      <c r="I807" s="118">
        <v>6.4</v>
      </c>
      <c r="J807" s="118">
        <v>17.5</v>
      </c>
      <c r="K807" s="119" t="s">
        <v>26</v>
      </c>
      <c r="L807" s="119" t="s">
        <v>26</v>
      </c>
      <c r="M807" s="119" t="s">
        <v>26</v>
      </c>
      <c r="N807" s="119" t="s">
        <v>26</v>
      </c>
      <c r="O807" s="118">
        <v>2.2999999999999998</v>
      </c>
      <c r="P807" s="119" t="s">
        <v>26</v>
      </c>
      <c r="Q807" s="119" t="s">
        <v>26</v>
      </c>
      <c r="R807" s="119" t="s">
        <v>26</v>
      </c>
      <c r="S807" s="127">
        <v>6.4</v>
      </c>
      <c r="T807" s="121" t="s">
        <v>26</v>
      </c>
      <c r="U807" s="133">
        <v>1120</v>
      </c>
      <c r="V807" s="126" t="s">
        <v>26</v>
      </c>
      <c r="AC807" s="33"/>
      <c r="AD807" s="33"/>
      <c r="AE807" s="33"/>
    </row>
    <row r="808" spans="1:31">
      <c r="A808" s="26" t="s">
        <v>803</v>
      </c>
      <c r="B808" s="8" t="s">
        <v>381</v>
      </c>
      <c r="C808" s="8" t="s">
        <v>22</v>
      </c>
      <c r="D808" s="3" t="s">
        <v>142</v>
      </c>
      <c r="E808" s="23" t="s">
        <v>24</v>
      </c>
      <c r="F808" s="16" t="s">
        <v>643</v>
      </c>
      <c r="G808" s="118">
        <v>210</v>
      </c>
      <c r="H808" s="118">
        <v>29.8</v>
      </c>
      <c r="I808" s="119" t="s">
        <v>26</v>
      </c>
      <c r="J808" s="119" t="s">
        <v>26</v>
      </c>
      <c r="K808" s="119" t="s">
        <v>26</v>
      </c>
      <c r="L808" s="118">
        <v>0.3</v>
      </c>
      <c r="M808" s="118">
        <v>0.5</v>
      </c>
      <c r="N808" s="119" t="s">
        <v>26</v>
      </c>
      <c r="O808" s="118">
        <v>0.6</v>
      </c>
      <c r="P808" s="118">
        <v>0.9</v>
      </c>
      <c r="Q808" s="119" t="s">
        <v>26</v>
      </c>
      <c r="R808" s="118">
        <v>0.8</v>
      </c>
      <c r="S808" s="127">
        <v>1.2</v>
      </c>
      <c r="T808" s="121" t="s">
        <v>26</v>
      </c>
      <c r="U808" s="89">
        <v>540</v>
      </c>
      <c r="V808" s="126" t="s">
        <v>26</v>
      </c>
      <c r="AC808" s="33"/>
      <c r="AD808" s="33"/>
      <c r="AE808" s="33"/>
    </row>
    <row r="809" spans="1:31">
      <c r="A809" s="26" t="s">
        <v>803</v>
      </c>
      <c r="B809" s="8" t="s">
        <v>381</v>
      </c>
      <c r="C809" s="8" t="s">
        <v>22</v>
      </c>
      <c r="D809" s="3" t="s">
        <v>142</v>
      </c>
      <c r="E809" s="23" t="s">
        <v>27</v>
      </c>
      <c r="F809" s="16" t="s">
        <v>469</v>
      </c>
      <c r="G809" s="118">
        <v>107</v>
      </c>
      <c r="H809" s="118">
        <v>29.5</v>
      </c>
      <c r="I809" s="118">
        <v>5.5</v>
      </c>
      <c r="J809" s="118">
        <v>0.6</v>
      </c>
      <c r="K809" s="119" t="s">
        <v>26</v>
      </c>
      <c r="L809" s="118">
        <v>0.5</v>
      </c>
      <c r="M809" s="119" t="s">
        <v>26</v>
      </c>
      <c r="N809" s="119" t="s">
        <v>26</v>
      </c>
      <c r="O809" s="118">
        <v>2.4</v>
      </c>
      <c r="P809" s="118">
        <v>1.2</v>
      </c>
      <c r="Q809" s="119" t="s">
        <v>26</v>
      </c>
      <c r="R809" s="118">
        <v>0.5</v>
      </c>
      <c r="S809" s="127">
        <v>2.5</v>
      </c>
      <c r="T809" s="121" t="s">
        <v>26</v>
      </c>
      <c r="U809" s="89">
        <v>162</v>
      </c>
      <c r="V809" s="126" t="s">
        <v>26</v>
      </c>
      <c r="AC809" s="33"/>
      <c r="AD809" s="33"/>
      <c r="AE809" s="33"/>
    </row>
    <row r="810" spans="1:31">
      <c r="A810" s="26" t="s">
        <v>803</v>
      </c>
      <c r="B810" s="8" t="s">
        <v>381</v>
      </c>
      <c r="C810" s="8" t="s">
        <v>22</v>
      </c>
      <c r="D810" s="3" t="s">
        <v>142</v>
      </c>
      <c r="E810" s="23" t="s">
        <v>29</v>
      </c>
      <c r="F810" s="16" t="s">
        <v>822</v>
      </c>
      <c r="G810" s="118">
        <v>36</v>
      </c>
      <c r="H810" s="118">
        <v>32.5</v>
      </c>
      <c r="I810" s="118">
        <v>6.9</v>
      </c>
      <c r="J810" s="118">
        <v>8.5</v>
      </c>
      <c r="K810" s="119" t="s">
        <v>26</v>
      </c>
      <c r="L810" s="118">
        <v>0.8</v>
      </c>
      <c r="M810" s="118">
        <v>0.9</v>
      </c>
      <c r="N810" s="119" t="s">
        <v>26</v>
      </c>
      <c r="O810" s="118">
        <v>3.1</v>
      </c>
      <c r="P810" s="118">
        <v>2.5</v>
      </c>
      <c r="Q810" s="119" t="s">
        <v>26</v>
      </c>
      <c r="R810" s="119" t="s">
        <v>26</v>
      </c>
      <c r="S810" s="127">
        <v>5.5</v>
      </c>
      <c r="T810" s="121" t="s">
        <v>26</v>
      </c>
      <c r="U810" s="89">
        <v>2410</v>
      </c>
      <c r="V810" s="126" t="s">
        <v>26</v>
      </c>
      <c r="AC810" s="33"/>
      <c r="AD810" s="33"/>
      <c r="AE810" s="33"/>
    </row>
    <row r="811" spans="1:31">
      <c r="A811" s="26" t="s">
        <v>803</v>
      </c>
      <c r="B811" s="8" t="s">
        <v>381</v>
      </c>
      <c r="C811" s="8" t="s">
        <v>22</v>
      </c>
      <c r="D811" s="3" t="s">
        <v>142</v>
      </c>
      <c r="E811" s="23" t="s">
        <v>31</v>
      </c>
      <c r="F811" s="16" t="s">
        <v>823</v>
      </c>
      <c r="G811" s="118">
        <v>14</v>
      </c>
      <c r="H811" s="119" t="s">
        <v>26</v>
      </c>
      <c r="I811" s="118">
        <v>3.2</v>
      </c>
      <c r="J811" s="118">
        <v>19.8</v>
      </c>
      <c r="K811" s="119" t="s">
        <v>26</v>
      </c>
      <c r="L811" s="119" t="s">
        <v>26</v>
      </c>
      <c r="M811" s="119" t="s">
        <v>26</v>
      </c>
      <c r="N811" s="119" t="s">
        <v>26</v>
      </c>
      <c r="O811" s="118">
        <v>2.9</v>
      </c>
      <c r="P811" s="118">
        <v>2.4</v>
      </c>
      <c r="Q811" s="119" t="s">
        <v>26</v>
      </c>
      <c r="R811" s="119" t="s">
        <v>26</v>
      </c>
      <c r="S811" s="127">
        <v>9.8000000000000007</v>
      </c>
      <c r="T811" s="121" t="s">
        <v>26</v>
      </c>
      <c r="U811" s="89">
        <v>979</v>
      </c>
      <c r="V811" s="126" t="s">
        <v>26</v>
      </c>
      <c r="AC811" s="33"/>
      <c r="AD811" s="33"/>
      <c r="AE811" s="33"/>
    </row>
    <row r="812" spans="1:31">
      <c r="A812" s="18" t="s">
        <v>824</v>
      </c>
      <c r="B812" s="8" t="s">
        <v>388</v>
      </c>
      <c r="C812" s="8" t="s">
        <v>22</v>
      </c>
      <c r="D812" s="3" t="s">
        <v>23</v>
      </c>
      <c r="E812" s="23" t="s">
        <v>24</v>
      </c>
      <c r="F812" s="16" t="s">
        <v>825</v>
      </c>
      <c r="G812" s="118">
        <v>235</v>
      </c>
      <c r="H812" s="118">
        <v>15.4</v>
      </c>
      <c r="I812" s="119" t="s">
        <v>26</v>
      </c>
      <c r="J812" s="119" t="s">
        <v>26</v>
      </c>
      <c r="K812" s="119" t="s">
        <v>26</v>
      </c>
      <c r="L812" s="119" t="s">
        <v>26</v>
      </c>
      <c r="M812" s="119" t="s">
        <v>26</v>
      </c>
      <c r="N812" s="119" t="s">
        <v>26</v>
      </c>
      <c r="O812" s="118">
        <v>2.7</v>
      </c>
      <c r="P812" s="119" t="s">
        <v>26</v>
      </c>
      <c r="Q812" s="119" t="s">
        <v>26</v>
      </c>
      <c r="R812" s="118">
        <v>1.9</v>
      </c>
      <c r="S812" s="127">
        <v>1.4</v>
      </c>
      <c r="T812" s="121" t="s">
        <v>26</v>
      </c>
      <c r="U812" s="89">
        <v>288</v>
      </c>
      <c r="V812" s="89">
        <v>375</v>
      </c>
      <c r="AC812" s="33"/>
      <c r="AD812" s="33"/>
      <c r="AE812" s="33"/>
    </row>
    <row r="813" spans="1:31">
      <c r="A813" s="18" t="s">
        <v>824</v>
      </c>
      <c r="B813" s="8" t="s">
        <v>388</v>
      </c>
      <c r="C813" s="8" t="s">
        <v>22</v>
      </c>
      <c r="D813" s="3" t="s">
        <v>23</v>
      </c>
      <c r="E813" s="23" t="s">
        <v>27</v>
      </c>
      <c r="F813" s="16" t="s">
        <v>826</v>
      </c>
      <c r="G813" s="118">
        <v>115</v>
      </c>
      <c r="H813" s="118">
        <v>14.6</v>
      </c>
      <c r="I813" s="118">
        <v>10.199999999999999</v>
      </c>
      <c r="J813" s="119" t="s">
        <v>26</v>
      </c>
      <c r="K813" s="119" t="s">
        <v>26</v>
      </c>
      <c r="L813" s="119" t="s">
        <v>26</v>
      </c>
      <c r="M813" s="119" t="s">
        <v>26</v>
      </c>
      <c r="N813" s="119" t="s">
        <v>26</v>
      </c>
      <c r="O813" s="118">
        <v>5.4</v>
      </c>
      <c r="P813" s="118">
        <v>1.7</v>
      </c>
      <c r="Q813" s="119" t="s">
        <v>26</v>
      </c>
      <c r="R813" s="118">
        <v>1.6</v>
      </c>
      <c r="S813" s="127">
        <v>1.4</v>
      </c>
      <c r="T813" s="121" t="s">
        <v>26</v>
      </c>
      <c r="U813" s="89">
        <v>72</v>
      </c>
      <c r="V813" s="89">
        <v>141</v>
      </c>
      <c r="AC813" s="33"/>
      <c r="AD813" s="33"/>
      <c r="AE813" s="33"/>
    </row>
    <row r="814" spans="1:31">
      <c r="A814" s="18" t="s">
        <v>824</v>
      </c>
      <c r="B814" s="8" t="s">
        <v>388</v>
      </c>
      <c r="C814" s="8" t="s">
        <v>22</v>
      </c>
      <c r="D814" s="3" t="s">
        <v>23</v>
      </c>
      <c r="E814" s="23" t="s">
        <v>29</v>
      </c>
      <c r="F814" s="16" t="s">
        <v>827</v>
      </c>
      <c r="G814" s="118">
        <v>50</v>
      </c>
      <c r="H814" s="118">
        <v>9.4</v>
      </c>
      <c r="I814" s="118">
        <v>16.399999999999999</v>
      </c>
      <c r="J814" s="118">
        <v>7.2</v>
      </c>
      <c r="K814" s="119" t="s">
        <v>26</v>
      </c>
      <c r="L814" s="119" t="s">
        <v>26</v>
      </c>
      <c r="M814" s="119" t="s">
        <v>26</v>
      </c>
      <c r="N814" s="119" t="s">
        <v>26</v>
      </c>
      <c r="O814" s="118">
        <v>5.8</v>
      </c>
      <c r="P814" s="118">
        <v>1.9</v>
      </c>
      <c r="Q814" s="119" t="s">
        <v>26</v>
      </c>
      <c r="R814" s="118">
        <v>1.4</v>
      </c>
      <c r="S814" s="127">
        <v>3.1</v>
      </c>
      <c r="T814" s="121" t="s">
        <v>26</v>
      </c>
      <c r="U814" s="89">
        <v>1607</v>
      </c>
      <c r="V814" s="89">
        <v>411</v>
      </c>
      <c r="AC814" s="33"/>
      <c r="AD814" s="33"/>
      <c r="AE814" s="33"/>
    </row>
    <row r="815" spans="1:31">
      <c r="A815" s="18" t="s">
        <v>824</v>
      </c>
      <c r="B815" s="8" t="s">
        <v>388</v>
      </c>
      <c r="C815" s="8" t="s">
        <v>22</v>
      </c>
      <c r="D815" s="3" t="s">
        <v>23</v>
      </c>
      <c r="E815" s="23" t="s">
        <v>31</v>
      </c>
      <c r="F815" s="16" t="s">
        <v>828</v>
      </c>
      <c r="G815" s="118">
        <v>15</v>
      </c>
      <c r="H815" s="119" t="s">
        <v>26</v>
      </c>
      <c r="I815" s="118">
        <v>8.4</v>
      </c>
      <c r="J815" s="118">
        <v>10</v>
      </c>
      <c r="K815" s="119" t="s">
        <v>26</v>
      </c>
      <c r="L815" s="119" t="s">
        <v>26</v>
      </c>
      <c r="M815" s="119" t="s">
        <v>26</v>
      </c>
      <c r="N815" s="119" t="s">
        <v>26</v>
      </c>
      <c r="O815" s="118">
        <v>5.0999999999999996</v>
      </c>
      <c r="P815" s="118">
        <v>1.7</v>
      </c>
      <c r="Q815" s="119" t="s">
        <v>26</v>
      </c>
      <c r="R815" s="118">
        <v>1</v>
      </c>
      <c r="S815" s="127">
        <v>4.5999999999999996</v>
      </c>
      <c r="T815" s="121" t="s">
        <v>26</v>
      </c>
      <c r="U815" s="89">
        <v>1662</v>
      </c>
      <c r="V815" s="89">
        <v>87</v>
      </c>
      <c r="AC815" s="33"/>
      <c r="AD815" s="33"/>
      <c r="AE815" s="33"/>
    </row>
    <row r="816" spans="1:31">
      <c r="A816" s="18" t="s">
        <v>824</v>
      </c>
      <c r="B816" s="8" t="s">
        <v>388</v>
      </c>
      <c r="C816" s="8" t="s">
        <v>22</v>
      </c>
      <c r="D816" s="3" t="s">
        <v>23</v>
      </c>
      <c r="E816" s="25" t="s">
        <v>131</v>
      </c>
      <c r="F816" s="16" t="s">
        <v>286</v>
      </c>
      <c r="G816" s="118">
        <v>9</v>
      </c>
      <c r="H816" s="118">
        <v>34</v>
      </c>
      <c r="I816" s="118">
        <v>7.4</v>
      </c>
      <c r="J816" s="118">
        <v>9</v>
      </c>
      <c r="K816" s="119" t="s">
        <v>26</v>
      </c>
      <c r="L816" s="119" t="s">
        <v>26</v>
      </c>
      <c r="M816" s="119" t="s">
        <v>26</v>
      </c>
      <c r="N816" s="119" t="s">
        <v>26</v>
      </c>
      <c r="O816" s="125" t="s">
        <v>26</v>
      </c>
      <c r="P816" s="119" t="s">
        <v>26</v>
      </c>
      <c r="Q816" s="119" t="s">
        <v>26</v>
      </c>
      <c r="R816" s="119" t="s">
        <v>26</v>
      </c>
      <c r="S816" s="127">
        <v>5.7</v>
      </c>
      <c r="T816" s="121" t="s">
        <v>26</v>
      </c>
      <c r="U816" s="89">
        <v>1186</v>
      </c>
      <c r="V816" s="89">
        <v>19</v>
      </c>
      <c r="AC816" s="33"/>
      <c r="AD816" s="33"/>
      <c r="AE816" s="33"/>
    </row>
    <row r="817" spans="1:31">
      <c r="A817" s="18" t="s">
        <v>824</v>
      </c>
      <c r="B817" s="8" t="s">
        <v>63</v>
      </c>
      <c r="C817" s="8" t="s">
        <v>22</v>
      </c>
      <c r="D817" s="3" t="s">
        <v>33</v>
      </c>
      <c r="E817" s="23" t="s">
        <v>24</v>
      </c>
      <c r="F817" s="16" t="s">
        <v>829</v>
      </c>
      <c r="G817" s="118">
        <v>182</v>
      </c>
      <c r="H817" s="118">
        <v>34.5</v>
      </c>
      <c r="I817" s="119" t="s">
        <v>26</v>
      </c>
      <c r="J817" s="119" t="s">
        <v>26</v>
      </c>
      <c r="K817" s="119" t="s">
        <v>26</v>
      </c>
      <c r="L817" s="118">
        <v>0.3</v>
      </c>
      <c r="M817" s="119" t="s">
        <v>26</v>
      </c>
      <c r="N817" s="119" t="s">
        <v>26</v>
      </c>
      <c r="O817" s="118">
        <v>0.8</v>
      </c>
      <c r="P817" s="118">
        <v>0.9</v>
      </c>
      <c r="Q817" s="119" t="s">
        <v>26</v>
      </c>
      <c r="R817" s="118">
        <v>1.4</v>
      </c>
      <c r="S817" s="127">
        <v>1.4</v>
      </c>
      <c r="T817" s="121" t="s">
        <v>26</v>
      </c>
      <c r="U817" s="130">
        <v>170</v>
      </c>
      <c r="V817" s="126" t="s">
        <v>26</v>
      </c>
      <c r="AC817" s="33"/>
      <c r="AD817" s="33"/>
      <c r="AE817" s="33"/>
    </row>
    <row r="818" spans="1:31">
      <c r="A818" s="18" t="s">
        <v>824</v>
      </c>
      <c r="B818" s="8" t="s">
        <v>63</v>
      </c>
      <c r="C818" s="8" t="s">
        <v>22</v>
      </c>
      <c r="D818" s="3" t="s">
        <v>33</v>
      </c>
      <c r="E818" s="23" t="s">
        <v>27</v>
      </c>
      <c r="F818" s="16" t="s">
        <v>830</v>
      </c>
      <c r="G818" s="118">
        <v>101</v>
      </c>
      <c r="H818" s="118">
        <v>42.6</v>
      </c>
      <c r="I818" s="118">
        <v>0.9</v>
      </c>
      <c r="J818" s="118">
        <v>0.4</v>
      </c>
      <c r="K818" s="119" t="s">
        <v>26</v>
      </c>
      <c r="L818" s="119" t="s">
        <v>26</v>
      </c>
      <c r="M818" s="119" t="s">
        <v>26</v>
      </c>
      <c r="N818" s="119" t="s">
        <v>26</v>
      </c>
      <c r="O818" s="118">
        <v>2.8</v>
      </c>
      <c r="P818" s="118">
        <v>1.2</v>
      </c>
      <c r="Q818" s="119" t="s">
        <v>26</v>
      </c>
      <c r="R818" s="119" t="s">
        <v>26</v>
      </c>
      <c r="S818" s="127">
        <v>3.1</v>
      </c>
      <c r="T818" s="121" t="s">
        <v>26</v>
      </c>
      <c r="U818" s="123" t="s">
        <v>26</v>
      </c>
      <c r="V818" s="126" t="s">
        <v>26</v>
      </c>
      <c r="AC818" s="33"/>
      <c r="AD818" s="33"/>
      <c r="AE818" s="33"/>
    </row>
    <row r="819" spans="1:31">
      <c r="A819" s="18" t="s">
        <v>824</v>
      </c>
      <c r="B819" s="8" t="s">
        <v>63</v>
      </c>
      <c r="C819" s="8" t="s">
        <v>22</v>
      </c>
      <c r="D819" s="3" t="s">
        <v>33</v>
      </c>
      <c r="E819" s="23" t="s">
        <v>29</v>
      </c>
      <c r="F819" s="16" t="s">
        <v>203</v>
      </c>
      <c r="G819" s="118">
        <v>41</v>
      </c>
      <c r="H819" s="118">
        <v>18.5</v>
      </c>
      <c r="I819" s="118">
        <v>7.5</v>
      </c>
      <c r="J819" s="118">
        <v>5</v>
      </c>
      <c r="K819" s="119" t="s">
        <v>26</v>
      </c>
      <c r="L819" s="118">
        <v>0.3</v>
      </c>
      <c r="M819" s="119" t="s">
        <v>26</v>
      </c>
      <c r="N819" s="119" t="s">
        <v>26</v>
      </c>
      <c r="O819" s="118">
        <v>2.7</v>
      </c>
      <c r="P819" s="118">
        <v>2.5</v>
      </c>
      <c r="Q819" s="119" t="s">
        <v>26</v>
      </c>
      <c r="R819" s="118">
        <v>0.6</v>
      </c>
      <c r="S819" s="127">
        <v>5.9</v>
      </c>
      <c r="T819" s="121" t="s">
        <v>26</v>
      </c>
      <c r="U819" s="130">
        <v>264</v>
      </c>
      <c r="V819" s="126" t="s">
        <v>26</v>
      </c>
      <c r="AC819" s="33"/>
      <c r="AD819" s="33"/>
      <c r="AE819" s="33"/>
    </row>
    <row r="820" spans="1:31">
      <c r="A820" s="18" t="s">
        <v>824</v>
      </c>
      <c r="B820" s="8" t="s">
        <v>63</v>
      </c>
      <c r="C820" s="8" t="s">
        <v>22</v>
      </c>
      <c r="D820" s="3" t="s">
        <v>33</v>
      </c>
      <c r="E820" s="23" t="s">
        <v>31</v>
      </c>
      <c r="F820" s="16" t="s">
        <v>159</v>
      </c>
      <c r="G820" s="118">
        <v>15</v>
      </c>
      <c r="H820" s="119" t="s">
        <v>26</v>
      </c>
      <c r="I820" s="118">
        <v>3.8</v>
      </c>
      <c r="J820" s="118">
        <v>16.2</v>
      </c>
      <c r="K820" s="119" t="s">
        <v>26</v>
      </c>
      <c r="L820" s="119" t="s">
        <v>26</v>
      </c>
      <c r="M820" s="119" t="s">
        <v>26</v>
      </c>
      <c r="N820" s="119" t="s">
        <v>26</v>
      </c>
      <c r="O820" s="118">
        <v>2.1</v>
      </c>
      <c r="P820" s="118">
        <v>2.9</v>
      </c>
      <c r="Q820" s="119" t="s">
        <v>26</v>
      </c>
      <c r="R820" s="119" t="s">
        <v>26</v>
      </c>
      <c r="S820" s="127">
        <v>7.2</v>
      </c>
      <c r="T820" s="121" t="s">
        <v>26</v>
      </c>
      <c r="U820" s="130">
        <v>960</v>
      </c>
      <c r="V820" s="126" t="s">
        <v>26</v>
      </c>
      <c r="AC820" s="33"/>
      <c r="AD820" s="33"/>
      <c r="AE820" s="33"/>
    </row>
    <row r="821" spans="1:31">
      <c r="A821" s="18" t="s">
        <v>824</v>
      </c>
      <c r="B821" s="8" t="s">
        <v>606</v>
      </c>
      <c r="C821" s="8" t="s">
        <v>22</v>
      </c>
      <c r="D821" s="3" t="s">
        <v>23</v>
      </c>
      <c r="E821" s="23" t="s">
        <v>24</v>
      </c>
      <c r="F821" s="16" t="s">
        <v>831</v>
      </c>
      <c r="G821" s="118">
        <v>249</v>
      </c>
      <c r="H821" s="118">
        <v>13.5</v>
      </c>
      <c r="I821" s="119" t="s">
        <v>26</v>
      </c>
      <c r="J821" s="119" t="s">
        <v>26</v>
      </c>
      <c r="K821" s="119" t="s">
        <v>26</v>
      </c>
      <c r="L821" s="118">
        <v>0.4</v>
      </c>
      <c r="M821" s="119" t="s">
        <v>26</v>
      </c>
      <c r="N821" s="119" t="s">
        <v>26</v>
      </c>
      <c r="O821" s="118">
        <v>0.9</v>
      </c>
      <c r="P821" s="118">
        <v>0.9</v>
      </c>
      <c r="Q821" s="118">
        <v>0.4</v>
      </c>
      <c r="R821" s="118">
        <v>1.4</v>
      </c>
      <c r="S821" s="127">
        <v>0.9</v>
      </c>
      <c r="T821" s="121" t="s">
        <v>26</v>
      </c>
      <c r="U821" s="89">
        <v>198</v>
      </c>
      <c r="V821" s="126" t="s">
        <v>26</v>
      </c>
      <c r="AC821" s="33"/>
      <c r="AD821" s="33"/>
      <c r="AE821" s="33"/>
    </row>
    <row r="822" spans="1:31">
      <c r="A822" s="18" t="s">
        <v>824</v>
      </c>
      <c r="B822" s="8" t="s">
        <v>606</v>
      </c>
      <c r="C822" s="8" t="s">
        <v>22</v>
      </c>
      <c r="D822" s="3" t="s">
        <v>23</v>
      </c>
      <c r="E822" s="23" t="s">
        <v>27</v>
      </c>
      <c r="F822" s="16" t="s">
        <v>32</v>
      </c>
      <c r="G822" s="118">
        <v>108</v>
      </c>
      <c r="H822" s="118">
        <v>33.5</v>
      </c>
      <c r="I822" s="118">
        <v>6.5</v>
      </c>
      <c r="J822" s="118">
        <v>0.6</v>
      </c>
      <c r="K822" s="119" t="s">
        <v>26</v>
      </c>
      <c r="L822" s="119" t="s">
        <v>26</v>
      </c>
      <c r="M822" s="119" t="s">
        <v>26</v>
      </c>
      <c r="N822" s="119" t="s">
        <v>26</v>
      </c>
      <c r="O822" s="118">
        <v>3.5</v>
      </c>
      <c r="P822" s="118">
        <v>1.2</v>
      </c>
      <c r="Q822" s="118">
        <v>0.8</v>
      </c>
      <c r="R822" s="118">
        <v>0.6</v>
      </c>
      <c r="S822" s="127">
        <v>2.2999999999999998</v>
      </c>
      <c r="T822" s="121" t="s">
        <v>26</v>
      </c>
      <c r="U822" s="123" t="s">
        <v>26</v>
      </c>
      <c r="V822" s="126" t="s">
        <v>26</v>
      </c>
      <c r="AC822" s="33"/>
      <c r="AD822" s="33"/>
      <c r="AE822" s="33"/>
    </row>
    <row r="823" spans="1:31">
      <c r="A823" s="18" t="s">
        <v>824</v>
      </c>
      <c r="B823" s="8" t="s">
        <v>606</v>
      </c>
      <c r="C823" s="8" t="s">
        <v>22</v>
      </c>
      <c r="D823" s="3" t="s">
        <v>23</v>
      </c>
      <c r="E823" s="23" t="s">
        <v>29</v>
      </c>
      <c r="F823" s="16" t="s">
        <v>832</v>
      </c>
      <c r="G823" s="118">
        <v>52</v>
      </c>
      <c r="H823" s="118">
        <v>3.1</v>
      </c>
      <c r="I823" s="118">
        <v>21.5</v>
      </c>
      <c r="J823" s="118">
        <v>5.2</v>
      </c>
      <c r="K823" s="119" t="s">
        <v>26</v>
      </c>
      <c r="L823" s="119" t="s">
        <v>26</v>
      </c>
      <c r="M823" s="119" t="s">
        <v>26</v>
      </c>
      <c r="N823" s="119" t="s">
        <v>26</v>
      </c>
      <c r="O823" s="118">
        <v>4.9000000000000004</v>
      </c>
      <c r="P823" s="118">
        <v>2.9</v>
      </c>
      <c r="Q823" s="118">
        <v>0.5</v>
      </c>
      <c r="R823" s="119" t="s">
        <v>26</v>
      </c>
      <c r="S823" s="127">
        <v>4.5</v>
      </c>
      <c r="T823" s="121" t="s">
        <v>26</v>
      </c>
      <c r="U823" s="89">
        <v>1160</v>
      </c>
      <c r="V823" s="126" t="s">
        <v>26</v>
      </c>
      <c r="AC823" s="33"/>
      <c r="AD823" s="33"/>
      <c r="AE823" s="33"/>
    </row>
    <row r="824" spans="1:31">
      <c r="A824" s="18" t="s">
        <v>824</v>
      </c>
      <c r="B824" s="8" t="s">
        <v>606</v>
      </c>
      <c r="C824" s="8" t="s">
        <v>22</v>
      </c>
      <c r="D824" s="3" t="s">
        <v>23</v>
      </c>
      <c r="E824" s="23" t="s">
        <v>31</v>
      </c>
      <c r="F824" s="16" t="s">
        <v>833</v>
      </c>
      <c r="G824" s="118">
        <v>24</v>
      </c>
      <c r="H824" s="119" t="s">
        <v>26</v>
      </c>
      <c r="I824" s="118">
        <v>25.5</v>
      </c>
      <c r="J824" s="118">
        <v>15.6</v>
      </c>
      <c r="K824" s="119" t="s">
        <v>26</v>
      </c>
      <c r="L824" s="119" t="s">
        <v>26</v>
      </c>
      <c r="M824" s="119" t="s">
        <v>26</v>
      </c>
      <c r="N824" s="119" t="s">
        <v>26</v>
      </c>
      <c r="O824" s="118">
        <v>5.0999999999999996</v>
      </c>
      <c r="P824" s="118">
        <v>3.5</v>
      </c>
      <c r="Q824" s="119" t="s">
        <v>26</v>
      </c>
      <c r="R824" s="119" t="s">
        <v>26</v>
      </c>
      <c r="S824" s="127">
        <v>6.5</v>
      </c>
      <c r="T824" s="121" t="s">
        <v>26</v>
      </c>
      <c r="U824" s="89">
        <v>1707</v>
      </c>
      <c r="V824" s="126" t="s">
        <v>26</v>
      </c>
      <c r="AC824" s="33"/>
      <c r="AD824" s="33"/>
      <c r="AE824" s="33"/>
    </row>
    <row r="825" spans="1:31">
      <c r="A825" s="18" t="s">
        <v>834</v>
      </c>
      <c r="B825" s="8" t="s">
        <v>21</v>
      </c>
      <c r="C825" s="8" t="s">
        <v>22</v>
      </c>
      <c r="D825" s="8" t="s">
        <v>730</v>
      </c>
      <c r="E825" s="23" t="s">
        <v>27</v>
      </c>
      <c r="F825" s="16" t="s">
        <v>835</v>
      </c>
      <c r="G825" s="118">
        <v>155</v>
      </c>
      <c r="H825" s="118">
        <v>12.4</v>
      </c>
      <c r="I825" s="118">
        <v>30.4</v>
      </c>
      <c r="J825" s="119" t="s">
        <v>26</v>
      </c>
      <c r="K825" s="119" t="s">
        <v>26</v>
      </c>
      <c r="L825" s="119" t="s">
        <v>26</v>
      </c>
      <c r="M825" s="119" t="s">
        <v>26</v>
      </c>
      <c r="N825" s="119" t="s">
        <v>26</v>
      </c>
      <c r="O825" s="118">
        <v>3.1</v>
      </c>
      <c r="P825" s="119" t="s">
        <v>26</v>
      </c>
      <c r="Q825" s="118">
        <v>6.2</v>
      </c>
      <c r="R825" s="118">
        <v>1.5</v>
      </c>
      <c r="S825" s="120" t="s">
        <v>26</v>
      </c>
      <c r="T825" s="121" t="s">
        <v>26</v>
      </c>
      <c r="U825" s="89">
        <v>680</v>
      </c>
      <c r="V825" s="126" t="s">
        <v>26</v>
      </c>
      <c r="AC825" s="33"/>
      <c r="AD825" s="33"/>
      <c r="AE825" s="33"/>
    </row>
    <row r="826" spans="1:31">
      <c r="A826" s="18" t="s">
        <v>834</v>
      </c>
      <c r="B826" s="8" t="s">
        <v>21</v>
      </c>
      <c r="C826" s="8" t="s">
        <v>22</v>
      </c>
      <c r="D826" s="8" t="s">
        <v>730</v>
      </c>
      <c r="E826" s="23" t="s">
        <v>29</v>
      </c>
      <c r="F826" s="16" t="s">
        <v>836</v>
      </c>
      <c r="G826" s="118">
        <v>57</v>
      </c>
      <c r="H826" s="118">
        <v>5.3</v>
      </c>
      <c r="I826" s="118">
        <v>34.200000000000003</v>
      </c>
      <c r="J826" s="118">
        <v>4.5</v>
      </c>
      <c r="K826" s="119" t="s">
        <v>26</v>
      </c>
      <c r="L826" s="119" t="s">
        <v>26</v>
      </c>
      <c r="M826" s="119" t="s">
        <v>26</v>
      </c>
      <c r="N826" s="119" t="s">
        <v>26</v>
      </c>
      <c r="O826" s="118">
        <v>5.0999999999999996</v>
      </c>
      <c r="P826" s="119" t="s">
        <v>26</v>
      </c>
      <c r="Q826" s="119" t="s">
        <v>26</v>
      </c>
      <c r="R826" s="118">
        <v>1.9</v>
      </c>
      <c r="S826" s="120" t="s">
        <v>26</v>
      </c>
      <c r="T826" s="121" t="s">
        <v>26</v>
      </c>
      <c r="U826" s="89">
        <v>2662</v>
      </c>
      <c r="V826" s="126" t="s">
        <v>26</v>
      </c>
      <c r="AC826" s="33"/>
      <c r="AD826" s="33"/>
      <c r="AE826" s="33"/>
    </row>
    <row r="827" spans="1:31">
      <c r="A827" s="18" t="s">
        <v>834</v>
      </c>
      <c r="B827" s="8" t="s">
        <v>21</v>
      </c>
      <c r="C827" s="8" t="s">
        <v>22</v>
      </c>
      <c r="D827" s="8" t="s">
        <v>730</v>
      </c>
      <c r="E827" s="23" t="s">
        <v>31</v>
      </c>
      <c r="F827" s="16" t="s">
        <v>837</v>
      </c>
      <c r="G827" s="118">
        <v>23</v>
      </c>
      <c r="H827" s="119" t="s">
        <v>26</v>
      </c>
      <c r="I827" s="118">
        <v>12.5</v>
      </c>
      <c r="J827" s="118">
        <v>7.3</v>
      </c>
      <c r="K827" s="119" t="s">
        <v>26</v>
      </c>
      <c r="L827" s="119" t="s">
        <v>26</v>
      </c>
      <c r="M827" s="119" t="s">
        <v>26</v>
      </c>
      <c r="N827" s="119" t="s">
        <v>26</v>
      </c>
      <c r="O827" s="118">
        <v>5.4</v>
      </c>
      <c r="P827" s="119" t="s">
        <v>26</v>
      </c>
      <c r="Q827" s="119" t="s">
        <v>26</v>
      </c>
      <c r="R827" s="118">
        <v>1.8</v>
      </c>
      <c r="S827" s="120" t="s">
        <v>26</v>
      </c>
      <c r="T827" s="121" t="s">
        <v>26</v>
      </c>
      <c r="U827" s="89">
        <v>435</v>
      </c>
      <c r="V827" s="126" t="s">
        <v>26</v>
      </c>
      <c r="AC827" s="33"/>
      <c r="AD827" s="33"/>
      <c r="AE827" s="33"/>
    </row>
    <row r="828" spans="1:31">
      <c r="A828" s="18" t="s">
        <v>834</v>
      </c>
      <c r="B828" s="8" t="s">
        <v>535</v>
      </c>
      <c r="C828" s="8" t="s">
        <v>22</v>
      </c>
      <c r="D828" s="3" t="s">
        <v>23</v>
      </c>
      <c r="E828" s="23" t="s">
        <v>24</v>
      </c>
      <c r="F828" s="16" t="s">
        <v>838</v>
      </c>
      <c r="G828" s="118">
        <v>250</v>
      </c>
      <c r="H828" s="118">
        <v>15.7</v>
      </c>
      <c r="I828" s="119" t="s">
        <v>26</v>
      </c>
      <c r="J828" s="119" t="s">
        <v>26</v>
      </c>
      <c r="K828" s="119" t="s">
        <v>26</v>
      </c>
      <c r="L828" s="119" t="s">
        <v>26</v>
      </c>
      <c r="M828" s="119" t="s">
        <v>26</v>
      </c>
      <c r="N828" s="119" t="s">
        <v>26</v>
      </c>
      <c r="O828" s="118">
        <v>3.1</v>
      </c>
      <c r="P828" s="118">
        <v>1</v>
      </c>
      <c r="Q828" s="119" t="s">
        <v>26</v>
      </c>
      <c r="R828" s="118">
        <v>1.9</v>
      </c>
      <c r="S828" s="127">
        <v>1.7</v>
      </c>
      <c r="T828" s="121" t="s">
        <v>26</v>
      </c>
      <c r="U828" s="89">
        <v>89</v>
      </c>
      <c r="V828" s="89">
        <v>431</v>
      </c>
      <c r="AC828" s="33"/>
      <c r="AD828" s="33"/>
      <c r="AE828" s="33"/>
    </row>
    <row r="829" spans="1:31">
      <c r="A829" s="18" t="s">
        <v>834</v>
      </c>
      <c r="B829" s="8" t="s">
        <v>535</v>
      </c>
      <c r="C829" s="8" t="s">
        <v>22</v>
      </c>
      <c r="D829" s="3" t="s">
        <v>23</v>
      </c>
      <c r="E829" s="23" t="s">
        <v>27</v>
      </c>
      <c r="F829" s="16" t="s">
        <v>839</v>
      </c>
      <c r="G829" s="118">
        <v>130</v>
      </c>
      <c r="H829" s="118">
        <v>17.399999999999999</v>
      </c>
      <c r="I829" s="118">
        <v>16.399999999999999</v>
      </c>
      <c r="J829" s="118">
        <v>0.4</v>
      </c>
      <c r="K829" s="119" t="s">
        <v>26</v>
      </c>
      <c r="L829" s="119" t="s">
        <v>26</v>
      </c>
      <c r="M829" s="119" t="s">
        <v>26</v>
      </c>
      <c r="N829" s="119" t="s">
        <v>26</v>
      </c>
      <c r="O829" s="118">
        <v>5.8</v>
      </c>
      <c r="P829" s="118">
        <v>1.9</v>
      </c>
      <c r="Q829" s="119" t="s">
        <v>26</v>
      </c>
      <c r="R829" s="118">
        <v>1.6</v>
      </c>
      <c r="S829" s="127">
        <v>2.7</v>
      </c>
      <c r="T829" s="121" t="s">
        <v>26</v>
      </c>
      <c r="U829" s="89">
        <v>17.899999999999999</v>
      </c>
      <c r="V829" s="89">
        <v>224</v>
      </c>
      <c r="AC829" s="33"/>
      <c r="AD829" s="33"/>
      <c r="AE829" s="33"/>
    </row>
    <row r="830" spans="1:31">
      <c r="A830" s="18" t="s">
        <v>834</v>
      </c>
      <c r="B830" s="8" t="s">
        <v>535</v>
      </c>
      <c r="C830" s="8" t="s">
        <v>22</v>
      </c>
      <c r="D830" s="3" t="s">
        <v>23</v>
      </c>
      <c r="E830" s="23" t="s">
        <v>29</v>
      </c>
      <c r="F830" s="16" t="s">
        <v>840</v>
      </c>
      <c r="G830" s="118">
        <v>50</v>
      </c>
      <c r="H830" s="118">
        <v>4.5</v>
      </c>
      <c r="I830" s="118">
        <v>22.4</v>
      </c>
      <c r="J830" s="118">
        <v>6.7</v>
      </c>
      <c r="K830" s="119" t="s">
        <v>26</v>
      </c>
      <c r="L830" s="119" t="s">
        <v>26</v>
      </c>
      <c r="M830" s="119" t="s">
        <v>26</v>
      </c>
      <c r="N830" s="119" t="s">
        <v>26</v>
      </c>
      <c r="O830" s="118">
        <v>6.1</v>
      </c>
      <c r="P830" s="118">
        <v>2.1</v>
      </c>
      <c r="Q830" s="119" t="s">
        <v>26</v>
      </c>
      <c r="R830" s="118">
        <v>1.9</v>
      </c>
      <c r="S830" s="127">
        <v>3.1</v>
      </c>
      <c r="T830" s="121" t="s">
        <v>26</v>
      </c>
      <c r="U830" s="89">
        <v>2040</v>
      </c>
      <c r="V830" s="89">
        <v>342</v>
      </c>
      <c r="AC830" s="33"/>
      <c r="AD830" s="33"/>
      <c r="AE830" s="33"/>
    </row>
    <row r="831" spans="1:31">
      <c r="A831" s="18" t="s">
        <v>834</v>
      </c>
      <c r="B831" s="8" t="s">
        <v>535</v>
      </c>
      <c r="C831" s="8" t="s">
        <v>22</v>
      </c>
      <c r="D831" s="3" t="s">
        <v>23</v>
      </c>
      <c r="E831" s="23" t="s">
        <v>31</v>
      </c>
      <c r="F831" s="16" t="s">
        <v>841</v>
      </c>
      <c r="G831" s="118">
        <v>23</v>
      </c>
      <c r="H831" s="119" t="s">
        <v>26</v>
      </c>
      <c r="I831" s="118">
        <v>5.6</v>
      </c>
      <c r="J831" s="118">
        <v>11.2</v>
      </c>
      <c r="K831" s="119" t="s">
        <v>26</v>
      </c>
      <c r="L831" s="119" t="s">
        <v>26</v>
      </c>
      <c r="M831" s="119" t="s">
        <v>26</v>
      </c>
      <c r="N831" s="119" t="s">
        <v>26</v>
      </c>
      <c r="O831" s="118">
        <v>2.1</v>
      </c>
      <c r="P831" s="118">
        <v>1.9</v>
      </c>
      <c r="Q831" s="119" t="s">
        <v>26</v>
      </c>
      <c r="R831" s="118">
        <v>1.6</v>
      </c>
      <c r="S831" s="127">
        <v>4.2</v>
      </c>
      <c r="T831" s="121" t="s">
        <v>26</v>
      </c>
      <c r="U831" s="89">
        <v>2296</v>
      </c>
      <c r="V831" s="89">
        <v>96</v>
      </c>
      <c r="AC831" s="33"/>
      <c r="AD831" s="33"/>
      <c r="AE831" s="33"/>
    </row>
    <row r="832" spans="1:31">
      <c r="A832" s="18" t="s">
        <v>834</v>
      </c>
      <c r="B832" s="8" t="s">
        <v>119</v>
      </c>
      <c r="C832" s="8" t="s">
        <v>22</v>
      </c>
      <c r="D832" s="3" t="s">
        <v>142</v>
      </c>
      <c r="E832" s="23" t="s">
        <v>24</v>
      </c>
      <c r="F832" s="16" t="s">
        <v>404</v>
      </c>
      <c r="G832" s="118">
        <v>198</v>
      </c>
      <c r="H832" s="118">
        <v>36.5</v>
      </c>
      <c r="I832" s="119" t="s">
        <v>26</v>
      </c>
      <c r="J832" s="119" t="s">
        <v>26</v>
      </c>
      <c r="K832" s="119" t="s">
        <v>26</v>
      </c>
      <c r="L832" s="118">
        <v>0.3</v>
      </c>
      <c r="M832" s="118">
        <v>0.4</v>
      </c>
      <c r="N832" s="119" t="s">
        <v>26</v>
      </c>
      <c r="O832" s="118">
        <v>1.8</v>
      </c>
      <c r="P832" s="118">
        <v>2.5</v>
      </c>
      <c r="Q832" s="118">
        <v>3.5</v>
      </c>
      <c r="R832" s="118">
        <v>1.8</v>
      </c>
      <c r="S832" s="127">
        <v>1.8</v>
      </c>
      <c r="T832" s="121" t="s">
        <v>26</v>
      </c>
      <c r="U832" s="89">
        <v>540</v>
      </c>
      <c r="V832" s="126" t="s">
        <v>26</v>
      </c>
      <c r="AC832" s="33"/>
      <c r="AD832" s="33"/>
      <c r="AE832" s="33"/>
    </row>
    <row r="833" spans="1:31">
      <c r="A833" s="18" t="s">
        <v>834</v>
      </c>
      <c r="B833" s="8" t="s">
        <v>119</v>
      </c>
      <c r="C833" s="8" t="s">
        <v>22</v>
      </c>
      <c r="D833" s="3" t="s">
        <v>142</v>
      </c>
      <c r="E833" s="23" t="s">
        <v>27</v>
      </c>
      <c r="F833" s="16" t="s">
        <v>842</v>
      </c>
      <c r="G833" s="118">
        <v>102</v>
      </c>
      <c r="H833" s="118">
        <v>45.5</v>
      </c>
      <c r="I833" s="118">
        <v>3.5</v>
      </c>
      <c r="J833" s="118">
        <v>5.6</v>
      </c>
      <c r="K833" s="119" t="s">
        <v>26</v>
      </c>
      <c r="L833" s="118">
        <v>0.6</v>
      </c>
      <c r="M833" s="118">
        <v>0.3</v>
      </c>
      <c r="N833" s="119" t="s">
        <v>26</v>
      </c>
      <c r="O833" s="118">
        <v>3.9</v>
      </c>
      <c r="P833" s="118">
        <v>3.8</v>
      </c>
      <c r="Q833" s="118">
        <v>1.8</v>
      </c>
      <c r="R833" s="118">
        <v>1.2</v>
      </c>
      <c r="S833" s="127">
        <v>3.5</v>
      </c>
      <c r="T833" s="121" t="s">
        <v>26</v>
      </c>
      <c r="U833" s="89">
        <v>252</v>
      </c>
      <c r="V833" s="126" t="s">
        <v>26</v>
      </c>
      <c r="AC833" s="33"/>
      <c r="AD833" s="33"/>
      <c r="AE833" s="33"/>
    </row>
    <row r="834" spans="1:31">
      <c r="A834" s="18" t="s">
        <v>834</v>
      </c>
      <c r="B834" s="8" t="s">
        <v>119</v>
      </c>
      <c r="C834" s="8" t="s">
        <v>22</v>
      </c>
      <c r="D834" s="3" t="s">
        <v>142</v>
      </c>
      <c r="E834" s="23" t="s">
        <v>29</v>
      </c>
      <c r="F834" s="16" t="s">
        <v>843</v>
      </c>
      <c r="G834" s="118">
        <v>39</v>
      </c>
      <c r="H834" s="118">
        <v>32.5</v>
      </c>
      <c r="I834" s="118">
        <v>12.4</v>
      </c>
      <c r="J834" s="118">
        <v>13.5</v>
      </c>
      <c r="K834" s="119" t="s">
        <v>26</v>
      </c>
      <c r="L834" s="118">
        <v>1.2</v>
      </c>
      <c r="M834" s="119" t="s">
        <v>26</v>
      </c>
      <c r="N834" s="119" t="s">
        <v>26</v>
      </c>
      <c r="O834" s="118">
        <v>5.6</v>
      </c>
      <c r="P834" s="118">
        <v>5.0999999999999996</v>
      </c>
      <c r="Q834" s="119" t="s">
        <v>26</v>
      </c>
      <c r="R834" s="118">
        <v>1.6</v>
      </c>
      <c r="S834" s="127">
        <v>4.9000000000000004</v>
      </c>
      <c r="T834" s="121" t="s">
        <v>26</v>
      </c>
      <c r="U834" s="89">
        <v>2763</v>
      </c>
      <c r="V834" s="126" t="s">
        <v>26</v>
      </c>
      <c r="AC834" s="33"/>
      <c r="AD834" s="33"/>
      <c r="AE834" s="33"/>
    </row>
    <row r="835" spans="1:31">
      <c r="A835" s="18" t="s">
        <v>834</v>
      </c>
      <c r="B835" s="8" t="s">
        <v>119</v>
      </c>
      <c r="C835" s="8" t="s">
        <v>22</v>
      </c>
      <c r="D835" s="3" t="s">
        <v>142</v>
      </c>
      <c r="E835" s="23" t="s">
        <v>31</v>
      </c>
      <c r="F835" s="16" t="s">
        <v>844</v>
      </c>
      <c r="G835" s="118">
        <v>15</v>
      </c>
      <c r="H835" s="119" t="s">
        <v>26</v>
      </c>
      <c r="I835" s="118">
        <v>3.6</v>
      </c>
      <c r="J835" s="118">
        <v>34.6</v>
      </c>
      <c r="K835" s="119" t="s">
        <v>26</v>
      </c>
      <c r="L835" s="119" t="s">
        <v>26</v>
      </c>
      <c r="M835" s="119" t="s">
        <v>26</v>
      </c>
      <c r="N835" s="119" t="s">
        <v>26</v>
      </c>
      <c r="O835" s="118">
        <v>5.5</v>
      </c>
      <c r="P835" s="118">
        <v>5.4</v>
      </c>
      <c r="Q835" s="119" t="s">
        <v>26</v>
      </c>
      <c r="R835" s="119" t="s">
        <v>26</v>
      </c>
      <c r="S835" s="127">
        <v>8.5</v>
      </c>
      <c r="T835" s="121" t="s">
        <v>26</v>
      </c>
      <c r="U835" s="89">
        <v>976</v>
      </c>
      <c r="V835" s="126" t="s">
        <v>26</v>
      </c>
      <c r="AC835" s="33"/>
      <c r="AD835" s="33"/>
      <c r="AE835" s="33"/>
    </row>
    <row r="836" spans="1:31">
      <c r="A836" s="18" t="s">
        <v>834</v>
      </c>
      <c r="B836" s="8" t="s">
        <v>179</v>
      </c>
      <c r="C836" s="8" t="s">
        <v>22</v>
      </c>
      <c r="D836" s="3" t="s">
        <v>23</v>
      </c>
      <c r="E836" s="23" t="s">
        <v>24</v>
      </c>
      <c r="F836" s="16" t="s">
        <v>845</v>
      </c>
      <c r="G836" s="118">
        <v>203</v>
      </c>
      <c r="H836" s="118">
        <v>24.1</v>
      </c>
      <c r="I836" s="119" t="s">
        <v>26</v>
      </c>
      <c r="J836" s="119" t="s">
        <v>26</v>
      </c>
      <c r="K836" s="119" t="s">
        <v>26</v>
      </c>
      <c r="L836" s="119" t="s">
        <v>26</v>
      </c>
      <c r="M836" s="118">
        <v>0.5</v>
      </c>
      <c r="N836" s="119" t="s">
        <v>26</v>
      </c>
      <c r="O836" s="118">
        <v>1.5</v>
      </c>
      <c r="P836" s="118">
        <v>1.4</v>
      </c>
      <c r="Q836" s="118">
        <v>3.1</v>
      </c>
      <c r="R836" s="118">
        <v>1.1000000000000001</v>
      </c>
      <c r="S836" s="127">
        <v>1.8</v>
      </c>
      <c r="T836" s="121" t="s">
        <v>26</v>
      </c>
      <c r="U836" s="89">
        <v>92</v>
      </c>
      <c r="V836" s="126" t="s">
        <v>26</v>
      </c>
      <c r="AC836" s="33"/>
      <c r="AD836" s="33"/>
      <c r="AE836" s="33"/>
    </row>
    <row r="837" spans="1:31">
      <c r="A837" s="18" t="s">
        <v>834</v>
      </c>
      <c r="B837" s="8" t="s">
        <v>179</v>
      </c>
      <c r="C837" s="8" t="s">
        <v>22</v>
      </c>
      <c r="D837" s="3" t="s">
        <v>23</v>
      </c>
      <c r="E837" s="23" t="s">
        <v>27</v>
      </c>
      <c r="F837" s="16" t="s">
        <v>846</v>
      </c>
      <c r="G837" s="118">
        <v>110</v>
      </c>
      <c r="H837" s="118">
        <v>27.5</v>
      </c>
      <c r="I837" s="118">
        <v>6.9</v>
      </c>
      <c r="J837" s="119" t="s">
        <v>26</v>
      </c>
      <c r="K837" s="119" t="s">
        <v>26</v>
      </c>
      <c r="L837" s="119" t="s">
        <v>26</v>
      </c>
      <c r="M837" s="118">
        <v>0.4</v>
      </c>
      <c r="N837" s="119" t="s">
        <v>26</v>
      </c>
      <c r="O837" s="118">
        <v>2.1</v>
      </c>
      <c r="P837" s="118">
        <v>1.5</v>
      </c>
      <c r="Q837" s="118">
        <v>2.5</v>
      </c>
      <c r="R837" s="118">
        <v>1.4</v>
      </c>
      <c r="S837" s="127">
        <v>3.1</v>
      </c>
      <c r="T837" s="121" t="s">
        <v>26</v>
      </c>
      <c r="U837" s="89">
        <v>80</v>
      </c>
      <c r="V837" s="126" t="s">
        <v>26</v>
      </c>
      <c r="AC837" s="33"/>
      <c r="AD837" s="33"/>
      <c r="AE837" s="33"/>
    </row>
    <row r="838" spans="1:31">
      <c r="A838" s="18" t="s">
        <v>834</v>
      </c>
      <c r="B838" s="8" t="s">
        <v>179</v>
      </c>
      <c r="C838" s="8" t="s">
        <v>22</v>
      </c>
      <c r="D838" s="3" t="s">
        <v>23</v>
      </c>
      <c r="E838" s="23" t="s">
        <v>29</v>
      </c>
      <c r="F838" s="16" t="s">
        <v>847</v>
      </c>
      <c r="G838" s="118">
        <v>45</v>
      </c>
      <c r="H838" s="118">
        <v>14.6</v>
      </c>
      <c r="I838" s="118">
        <v>5.9</v>
      </c>
      <c r="J838" s="118">
        <v>1.8</v>
      </c>
      <c r="K838" s="119" t="s">
        <v>26</v>
      </c>
      <c r="L838" s="119" t="s">
        <v>26</v>
      </c>
      <c r="M838" s="118">
        <v>0.8</v>
      </c>
      <c r="N838" s="119" t="s">
        <v>26</v>
      </c>
      <c r="O838" s="118">
        <v>3.5</v>
      </c>
      <c r="P838" s="118">
        <v>2.4</v>
      </c>
      <c r="Q838" s="119" t="s">
        <v>26</v>
      </c>
      <c r="R838" s="118">
        <v>0.9</v>
      </c>
      <c r="S838" s="127">
        <v>5.8</v>
      </c>
      <c r="T838" s="121" t="s">
        <v>26</v>
      </c>
      <c r="U838" s="89">
        <v>600</v>
      </c>
      <c r="V838" s="126" t="s">
        <v>26</v>
      </c>
      <c r="AC838" s="33"/>
      <c r="AD838" s="33"/>
      <c r="AE838" s="33"/>
    </row>
    <row r="839" spans="1:31">
      <c r="A839" s="18" t="s">
        <v>834</v>
      </c>
      <c r="B839" s="8" t="s">
        <v>179</v>
      </c>
      <c r="C839" s="8" t="s">
        <v>22</v>
      </c>
      <c r="D839" s="3" t="s">
        <v>23</v>
      </c>
      <c r="E839" s="23" t="s">
        <v>31</v>
      </c>
      <c r="F839" s="16" t="s">
        <v>848</v>
      </c>
      <c r="G839" s="118">
        <v>16</v>
      </c>
      <c r="H839" s="119" t="s">
        <v>26</v>
      </c>
      <c r="I839" s="118">
        <v>5.8</v>
      </c>
      <c r="J839" s="118">
        <v>14.5</v>
      </c>
      <c r="K839" s="119" t="s">
        <v>26</v>
      </c>
      <c r="L839" s="119" t="s">
        <v>26</v>
      </c>
      <c r="M839" s="119" t="s">
        <v>26</v>
      </c>
      <c r="N839" s="119" t="s">
        <v>26</v>
      </c>
      <c r="O839" s="118">
        <v>2.9</v>
      </c>
      <c r="P839" s="118">
        <v>3.1</v>
      </c>
      <c r="Q839" s="119" t="s">
        <v>26</v>
      </c>
      <c r="R839" s="119" t="s">
        <v>26</v>
      </c>
      <c r="S839" s="127">
        <v>8.9</v>
      </c>
      <c r="T839" s="121" t="s">
        <v>26</v>
      </c>
      <c r="U839" s="89">
        <v>433</v>
      </c>
      <c r="V839" s="126" t="s">
        <v>26</v>
      </c>
      <c r="AC839" s="33"/>
      <c r="AD839" s="33"/>
      <c r="AE839" s="33"/>
    </row>
    <row r="840" spans="1:31">
      <c r="A840" s="18" t="s">
        <v>834</v>
      </c>
      <c r="B840" s="8" t="s">
        <v>179</v>
      </c>
      <c r="C840" s="8" t="s">
        <v>22</v>
      </c>
      <c r="D840" s="3" t="s">
        <v>23</v>
      </c>
      <c r="E840" s="25" t="s">
        <v>131</v>
      </c>
      <c r="F840" s="16" t="s">
        <v>696</v>
      </c>
      <c r="G840" s="118">
        <v>14</v>
      </c>
      <c r="H840" s="118">
        <v>15</v>
      </c>
      <c r="I840" s="118">
        <v>2.4</v>
      </c>
      <c r="J840" s="118">
        <v>6.8</v>
      </c>
      <c r="K840" s="119" t="s">
        <v>26</v>
      </c>
      <c r="L840" s="118">
        <v>1.8</v>
      </c>
      <c r="M840" s="119" t="s">
        <v>26</v>
      </c>
      <c r="N840" s="119" t="s">
        <v>26</v>
      </c>
      <c r="O840" s="125" t="s">
        <v>26</v>
      </c>
      <c r="P840" s="119" t="s">
        <v>26</v>
      </c>
      <c r="Q840" s="119" t="s">
        <v>26</v>
      </c>
      <c r="R840" s="119" t="s">
        <v>26</v>
      </c>
      <c r="S840" s="127">
        <v>2.5</v>
      </c>
      <c r="T840" s="121" t="s">
        <v>26</v>
      </c>
      <c r="U840" s="89">
        <v>1914</v>
      </c>
      <c r="V840" s="89">
        <v>324</v>
      </c>
      <c r="AC840" s="33"/>
      <c r="AD840" s="33"/>
      <c r="AE840" s="33"/>
    </row>
    <row r="841" spans="1:31">
      <c r="A841" s="18" t="s">
        <v>834</v>
      </c>
      <c r="B841" s="8" t="s">
        <v>373</v>
      </c>
      <c r="C841" s="8" t="s">
        <v>22</v>
      </c>
      <c r="D841" s="3" t="s">
        <v>33</v>
      </c>
      <c r="E841" s="23" t="s">
        <v>24</v>
      </c>
      <c r="F841" s="16" t="s">
        <v>849</v>
      </c>
      <c r="G841" s="118">
        <v>212</v>
      </c>
      <c r="H841" s="118">
        <v>24.5</v>
      </c>
      <c r="I841" s="119" t="s">
        <v>26</v>
      </c>
      <c r="J841" s="119" t="s">
        <v>26</v>
      </c>
      <c r="K841" s="119" t="s">
        <v>26</v>
      </c>
      <c r="L841" s="118">
        <v>0.3</v>
      </c>
      <c r="M841" s="118">
        <v>0.4</v>
      </c>
      <c r="N841" s="119" t="s">
        <v>26</v>
      </c>
      <c r="O841" s="118">
        <v>1.4</v>
      </c>
      <c r="P841" s="118">
        <v>0.6</v>
      </c>
      <c r="Q841" s="118">
        <v>0.5</v>
      </c>
      <c r="R841" s="118">
        <v>1.4</v>
      </c>
      <c r="S841" s="127">
        <v>1.3</v>
      </c>
      <c r="T841" s="121" t="s">
        <v>26</v>
      </c>
      <c r="U841" s="130">
        <v>414</v>
      </c>
      <c r="V841" s="126" t="s">
        <v>26</v>
      </c>
      <c r="AC841" s="33"/>
      <c r="AD841" s="33"/>
      <c r="AE841" s="33"/>
    </row>
    <row r="842" spans="1:31">
      <c r="A842" s="18" t="s">
        <v>834</v>
      </c>
      <c r="B842" s="8" t="s">
        <v>373</v>
      </c>
      <c r="C842" s="8" t="s">
        <v>22</v>
      </c>
      <c r="D842" s="3" t="s">
        <v>33</v>
      </c>
      <c r="E842" s="23" t="s">
        <v>27</v>
      </c>
      <c r="F842" s="16" t="s">
        <v>361</v>
      </c>
      <c r="G842" s="118">
        <v>115</v>
      </c>
      <c r="H842" s="118">
        <v>24.7</v>
      </c>
      <c r="I842" s="118">
        <v>8.1999999999999993</v>
      </c>
      <c r="J842" s="118">
        <v>0.6</v>
      </c>
      <c r="K842" s="119" t="s">
        <v>26</v>
      </c>
      <c r="L842" s="118">
        <v>0.5</v>
      </c>
      <c r="M842" s="118">
        <v>0.5</v>
      </c>
      <c r="N842" s="119" t="s">
        <v>26</v>
      </c>
      <c r="O842" s="118">
        <v>2.5</v>
      </c>
      <c r="P842" s="118">
        <v>0.8</v>
      </c>
      <c r="Q842" s="119" t="s">
        <v>26</v>
      </c>
      <c r="R842" s="118">
        <v>0.9</v>
      </c>
      <c r="S842" s="127">
        <v>2.9</v>
      </c>
      <c r="T842" s="121" t="s">
        <v>26</v>
      </c>
      <c r="U842" s="130">
        <v>15</v>
      </c>
      <c r="V842" s="126" t="s">
        <v>26</v>
      </c>
      <c r="AC842" s="33"/>
      <c r="AD842" s="33"/>
      <c r="AE842" s="33"/>
    </row>
    <row r="843" spans="1:31">
      <c r="A843" s="18" t="s">
        <v>834</v>
      </c>
      <c r="B843" s="8" t="s">
        <v>373</v>
      </c>
      <c r="C843" s="8" t="s">
        <v>22</v>
      </c>
      <c r="D843" s="3" t="s">
        <v>33</v>
      </c>
      <c r="E843" s="23" t="s">
        <v>29</v>
      </c>
      <c r="F843" s="16" t="s">
        <v>850</v>
      </c>
      <c r="G843" s="118">
        <v>42</v>
      </c>
      <c r="H843" s="118">
        <v>25.5</v>
      </c>
      <c r="I843" s="118">
        <v>7.2</v>
      </c>
      <c r="J843" s="118">
        <v>3.2</v>
      </c>
      <c r="K843" s="118">
        <v>0.8</v>
      </c>
      <c r="L843" s="119" t="s">
        <v>26</v>
      </c>
      <c r="M843" s="118">
        <v>0.8</v>
      </c>
      <c r="N843" s="119" t="s">
        <v>26</v>
      </c>
      <c r="O843" s="118">
        <v>2.8</v>
      </c>
      <c r="P843" s="118">
        <v>1.4</v>
      </c>
      <c r="Q843" s="119" t="s">
        <v>26</v>
      </c>
      <c r="R843" s="118">
        <v>1.2</v>
      </c>
      <c r="S843" s="127">
        <v>6.8</v>
      </c>
      <c r="T843" s="121" t="s">
        <v>26</v>
      </c>
      <c r="U843" s="130">
        <v>1480</v>
      </c>
      <c r="V843" s="126" t="s">
        <v>26</v>
      </c>
      <c r="AC843" s="33"/>
      <c r="AD843" s="33"/>
      <c r="AE843" s="33"/>
    </row>
    <row r="844" spans="1:31">
      <c r="A844" s="18" t="s">
        <v>834</v>
      </c>
      <c r="B844" s="8" t="s">
        <v>373</v>
      </c>
      <c r="C844" s="8" t="s">
        <v>22</v>
      </c>
      <c r="D844" s="3" t="s">
        <v>33</v>
      </c>
      <c r="E844" s="23" t="s">
        <v>31</v>
      </c>
      <c r="F844" s="16" t="s">
        <v>851</v>
      </c>
      <c r="G844" s="118">
        <v>16</v>
      </c>
      <c r="H844" s="119" t="s">
        <v>26</v>
      </c>
      <c r="I844" s="118">
        <v>3.9</v>
      </c>
      <c r="J844" s="118">
        <v>14.2</v>
      </c>
      <c r="K844" s="119" t="s">
        <v>26</v>
      </c>
      <c r="L844" s="119" t="s">
        <v>26</v>
      </c>
      <c r="M844" s="119" t="s">
        <v>26</v>
      </c>
      <c r="N844" s="119" t="s">
        <v>26</v>
      </c>
      <c r="O844" s="118">
        <v>2</v>
      </c>
      <c r="P844" s="118">
        <v>2.1</v>
      </c>
      <c r="Q844" s="119" t="s">
        <v>26</v>
      </c>
      <c r="R844" s="119" t="s">
        <v>26</v>
      </c>
      <c r="S844" s="127">
        <v>10.5</v>
      </c>
      <c r="T844" s="121" t="s">
        <v>26</v>
      </c>
      <c r="U844" s="130">
        <v>1127</v>
      </c>
      <c r="V844" s="126" t="s">
        <v>26</v>
      </c>
      <c r="AC844" s="33"/>
      <c r="AD844" s="33"/>
      <c r="AE844" s="33"/>
    </row>
    <row r="845" spans="1:31">
      <c r="A845" s="26" t="s">
        <v>852</v>
      </c>
      <c r="B845" s="8" t="s">
        <v>381</v>
      </c>
      <c r="C845" s="8" t="s">
        <v>22</v>
      </c>
      <c r="D845" s="3" t="s">
        <v>33</v>
      </c>
      <c r="E845" s="23" t="s">
        <v>24</v>
      </c>
      <c r="F845" s="16" t="s">
        <v>853</v>
      </c>
      <c r="G845" s="118">
        <v>225</v>
      </c>
      <c r="H845" s="118">
        <v>19.399999999999999</v>
      </c>
      <c r="I845" s="119" t="s">
        <v>26</v>
      </c>
      <c r="J845" s="119" t="s">
        <v>26</v>
      </c>
      <c r="K845" s="119" t="s">
        <v>26</v>
      </c>
      <c r="L845" s="119" t="s">
        <v>26</v>
      </c>
      <c r="M845" s="119" t="s">
        <v>26</v>
      </c>
      <c r="N845" s="119" t="s">
        <v>26</v>
      </c>
      <c r="O845" s="118">
        <v>5.2</v>
      </c>
      <c r="P845" s="118">
        <v>1</v>
      </c>
      <c r="Q845" s="119" t="s">
        <v>26</v>
      </c>
      <c r="R845" s="118">
        <v>1.6</v>
      </c>
      <c r="S845" s="120" t="s">
        <v>26</v>
      </c>
      <c r="T845" s="121" t="s">
        <v>26</v>
      </c>
      <c r="U845" s="130">
        <v>254</v>
      </c>
      <c r="V845" s="126" t="s">
        <v>26</v>
      </c>
      <c r="AC845" s="33"/>
      <c r="AD845" s="33"/>
      <c r="AE845" s="33"/>
    </row>
    <row r="846" spans="1:31">
      <c r="A846" s="26" t="s">
        <v>852</v>
      </c>
      <c r="B846" s="8" t="s">
        <v>381</v>
      </c>
      <c r="C846" s="8" t="s">
        <v>22</v>
      </c>
      <c r="D846" s="3" t="s">
        <v>33</v>
      </c>
      <c r="E846" s="23" t="s">
        <v>27</v>
      </c>
      <c r="F846" s="16" t="s">
        <v>854</v>
      </c>
      <c r="G846" s="118">
        <v>130</v>
      </c>
      <c r="H846" s="118">
        <v>16.399999999999999</v>
      </c>
      <c r="I846" s="118">
        <v>10.7</v>
      </c>
      <c r="J846" s="119" t="s">
        <v>26</v>
      </c>
      <c r="K846" s="119" t="s">
        <v>26</v>
      </c>
      <c r="L846" s="119" t="s">
        <v>26</v>
      </c>
      <c r="M846" s="119" t="s">
        <v>26</v>
      </c>
      <c r="N846" s="119" t="s">
        <v>26</v>
      </c>
      <c r="O846" s="118">
        <v>6.7</v>
      </c>
      <c r="P846" s="118">
        <v>1.3</v>
      </c>
      <c r="Q846" s="119" t="s">
        <v>26</v>
      </c>
      <c r="R846" s="118">
        <v>1.6</v>
      </c>
      <c r="S846" s="120" t="s">
        <v>26</v>
      </c>
      <c r="T846" s="121" t="s">
        <v>26</v>
      </c>
      <c r="U846" s="123" t="s">
        <v>26</v>
      </c>
      <c r="V846" s="126" t="s">
        <v>26</v>
      </c>
      <c r="AC846" s="33"/>
      <c r="AD846" s="33"/>
      <c r="AE846" s="33"/>
    </row>
    <row r="847" spans="1:31">
      <c r="A847" s="26" t="s">
        <v>852</v>
      </c>
      <c r="B847" s="8" t="s">
        <v>381</v>
      </c>
      <c r="C847" s="8" t="s">
        <v>22</v>
      </c>
      <c r="D847" s="3" t="s">
        <v>33</v>
      </c>
      <c r="E847" s="23" t="s">
        <v>29</v>
      </c>
      <c r="F847" s="16" t="s">
        <v>855</v>
      </c>
      <c r="G847" s="118">
        <v>43</v>
      </c>
      <c r="H847" s="118">
        <v>16.2</v>
      </c>
      <c r="I847" s="118">
        <v>10.7</v>
      </c>
      <c r="J847" s="118">
        <v>2.2999999999999998</v>
      </c>
      <c r="K847" s="119" t="s">
        <v>26</v>
      </c>
      <c r="L847" s="119" t="s">
        <v>26</v>
      </c>
      <c r="M847" s="119" t="s">
        <v>26</v>
      </c>
      <c r="N847" s="119" t="s">
        <v>26</v>
      </c>
      <c r="O847" s="118">
        <v>5.0999999999999996</v>
      </c>
      <c r="P847" s="118">
        <v>1.7</v>
      </c>
      <c r="Q847" s="119" t="s">
        <v>26</v>
      </c>
      <c r="R847" s="119" t="s">
        <v>26</v>
      </c>
      <c r="S847" s="127">
        <v>3.7</v>
      </c>
      <c r="T847" s="121" t="s">
        <v>26</v>
      </c>
      <c r="U847" s="130">
        <v>2223</v>
      </c>
      <c r="V847" s="126" t="s">
        <v>26</v>
      </c>
      <c r="AC847" s="33"/>
      <c r="AD847" s="33"/>
      <c r="AE847" s="33"/>
    </row>
    <row r="848" spans="1:31">
      <c r="A848" s="26" t="s">
        <v>852</v>
      </c>
      <c r="B848" s="8" t="s">
        <v>381</v>
      </c>
      <c r="C848" s="8" t="s">
        <v>22</v>
      </c>
      <c r="D848" s="3" t="s">
        <v>33</v>
      </c>
      <c r="E848" s="23" t="s">
        <v>31</v>
      </c>
      <c r="F848" s="16" t="s">
        <v>856</v>
      </c>
      <c r="G848" s="118">
        <v>13</v>
      </c>
      <c r="H848" s="118">
        <v>24.4</v>
      </c>
      <c r="I848" s="118">
        <v>6.4</v>
      </c>
      <c r="J848" s="118">
        <v>5.4</v>
      </c>
      <c r="K848" s="119" t="s">
        <v>26</v>
      </c>
      <c r="L848" s="119" t="s">
        <v>26</v>
      </c>
      <c r="M848" s="119" t="s">
        <v>26</v>
      </c>
      <c r="N848" s="119" t="s">
        <v>26</v>
      </c>
      <c r="O848" s="118">
        <v>4.2</v>
      </c>
      <c r="P848" s="118">
        <v>1.8</v>
      </c>
      <c r="Q848" s="119" t="s">
        <v>26</v>
      </c>
      <c r="R848" s="119" t="s">
        <v>26</v>
      </c>
      <c r="S848" s="127">
        <v>5.0999999999999996</v>
      </c>
      <c r="T848" s="121" t="s">
        <v>26</v>
      </c>
      <c r="U848" s="130">
        <v>1639</v>
      </c>
      <c r="V848" s="126" t="s">
        <v>26</v>
      </c>
      <c r="AC848" s="33"/>
      <c r="AD848" s="33"/>
      <c r="AE848" s="33"/>
    </row>
    <row r="849" spans="1:31">
      <c r="A849" s="26" t="s">
        <v>852</v>
      </c>
      <c r="B849" s="8" t="s">
        <v>676</v>
      </c>
      <c r="C849" s="8" t="s">
        <v>22</v>
      </c>
      <c r="D849" s="3" t="s">
        <v>23</v>
      </c>
      <c r="E849" s="23" t="s">
        <v>24</v>
      </c>
      <c r="F849" s="16" t="s">
        <v>343</v>
      </c>
      <c r="G849" s="118">
        <v>238</v>
      </c>
      <c r="H849" s="118">
        <v>16.8</v>
      </c>
      <c r="I849" s="119" t="s">
        <v>26</v>
      </c>
      <c r="J849" s="119" t="s">
        <v>26</v>
      </c>
      <c r="K849" s="119" t="s">
        <v>26</v>
      </c>
      <c r="L849" s="119" t="s">
        <v>26</v>
      </c>
      <c r="M849" s="119" t="s">
        <v>26</v>
      </c>
      <c r="N849" s="119" t="s">
        <v>26</v>
      </c>
      <c r="O849" s="118">
        <v>3.5</v>
      </c>
      <c r="P849" s="118">
        <v>1.9</v>
      </c>
      <c r="Q849" s="119" t="s">
        <v>26</v>
      </c>
      <c r="R849" s="119" t="s">
        <v>26</v>
      </c>
      <c r="S849" s="120" t="s">
        <v>26</v>
      </c>
      <c r="T849" s="121" t="s">
        <v>26</v>
      </c>
      <c r="U849" s="89">
        <v>277</v>
      </c>
      <c r="V849" s="126" t="s">
        <v>26</v>
      </c>
      <c r="AC849" s="33"/>
      <c r="AD849" s="33"/>
      <c r="AE849" s="33"/>
    </row>
    <row r="850" spans="1:31">
      <c r="A850" s="26" t="s">
        <v>852</v>
      </c>
      <c r="B850" s="8" t="s">
        <v>676</v>
      </c>
      <c r="C850" s="8" t="s">
        <v>22</v>
      </c>
      <c r="D850" s="3" t="s">
        <v>23</v>
      </c>
      <c r="E850" s="23" t="s">
        <v>27</v>
      </c>
      <c r="F850" s="16" t="s">
        <v>857</v>
      </c>
      <c r="G850" s="118">
        <v>114</v>
      </c>
      <c r="H850" s="118">
        <v>15.2</v>
      </c>
      <c r="I850" s="118">
        <v>11.5</v>
      </c>
      <c r="J850" s="118">
        <v>3.66</v>
      </c>
      <c r="K850" s="119" t="s">
        <v>26</v>
      </c>
      <c r="L850" s="119" t="s">
        <v>26</v>
      </c>
      <c r="M850" s="119" t="s">
        <v>26</v>
      </c>
      <c r="N850" s="119" t="s">
        <v>26</v>
      </c>
      <c r="O850" s="118">
        <v>4.2</v>
      </c>
      <c r="P850" s="118">
        <v>2.5</v>
      </c>
      <c r="Q850" s="119" t="s">
        <v>26</v>
      </c>
      <c r="R850" s="119" t="s">
        <v>26</v>
      </c>
      <c r="S850" s="120" t="s">
        <v>26</v>
      </c>
      <c r="T850" s="121" t="s">
        <v>26</v>
      </c>
      <c r="U850" s="89">
        <v>581</v>
      </c>
      <c r="V850" s="126" t="s">
        <v>26</v>
      </c>
      <c r="AC850" s="33"/>
      <c r="AD850" s="33"/>
      <c r="AE850" s="33"/>
    </row>
    <row r="851" spans="1:31">
      <c r="A851" s="26" t="s">
        <v>852</v>
      </c>
      <c r="B851" s="8" t="s">
        <v>676</v>
      </c>
      <c r="C851" s="8" t="s">
        <v>22</v>
      </c>
      <c r="D851" s="3" t="s">
        <v>23</v>
      </c>
      <c r="E851" s="23" t="s">
        <v>29</v>
      </c>
      <c r="F851" s="16" t="s">
        <v>858</v>
      </c>
      <c r="G851" s="118">
        <v>52</v>
      </c>
      <c r="H851" s="118">
        <v>8.8000000000000007</v>
      </c>
      <c r="I851" s="118">
        <v>20.5</v>
      </c>
      <c r="J851" s="118">
        <v>5.72</v>
      </c>
      <c r="K851" s="119" t="s">
        <v>26</v>
      </c>
      <c r="L851" s="119" t="s">
        <v>26</v>
      </c>
      <c r="M851" s="119" t="s">
        <v>26</v>
      </c>
      <c r="N851" s="119" t="s">
        <v>26</v>
      </c>
      <c r="O851" s="118">
        <v>13.8</v>
      </c>
      <c r="P851" s="118">
        <v>6.5</v>
      </c>
      <c r="Q851" s="119" t="s">
        <v>26</v>
      </c>
      <c r="R851" s="119" t="s">
        <v>26</v>
      </c>
      <c r="S851" s="127">
        <v>7.2</v>
      </c>
      <c r="T851" s="121" t="s">
        <v>26</v>
      </c>
      <c r="U851" s="89">
        <v>1178</v>
      </c>
      <c r="V851" s="126" t="s">
        <v>26</v>
      </c>
      <c r="AC851" s="33"/>
      <c r="AD851" s="33"/>
      <c r="AE851" s="33"/>
    </row>
    <row r="852" spans="1:31">
      <c r="A852" s="26" t="s">
        <v>852</v>
      </c>
      <c r="B852" s="8" t="s">
        <v>676</v>
      </c>
      <c r="C852" s="8" t="s">
        <v>22</v>
      </c>
      <c r="D852" s="3" t="s">
        <v>23</v>
      </c>
      <c r="E852" s="23" t="s">
        <v>31</v>
      </c>
      <c r="F852" s="16" t="s">
        <v>859</v>
      </c>
      <c r="G852" s="118">
        <v>16</v>
      </c>
      <c r="H852" s="119" t="s">
        <v>26</v>
      </c>
      <c r="I852" s="118">
        <v>7.2</v>
      </c>
      <c r="J852" s="118">
        <v>12.32</v>
      </c>
      <c r="K852" s="119" t="s">
        <v>26</v>
      </c>
      <c r="L852" s="119" t="s">
        <v>26</v>
      </c>
      <c r="M852" s="119" t="s">
        <v>26</v>
      </c>
      <c r="N852" s="119" t="s">
        <v>26</v>
      </c>
      <c r="O852" s="118">
        <v>10.4</v>
      </c>
      <c r="P852" s="118">
        <v>6.4</v>
      </c>
      <c r="Q852" s="119" t="s">
        <v>26</v>
      </c>
      <c r="R852" s="119" t="s">
        <v>26</v>
      </c>
      <c r="S852" s="127">
        <v>15.4</v>
      </c>
      <c r="T852" s="121" t="s">
        <v>26</v>
      </c>
      <c r="U852" s="89">
        <v>1299</v>
      </c>
      <c r="V852" s="126" t="s">
        <v>26</v>
      </c>
      <c r="AC852" s="33"/>
      <c r="AD852" s="33"/>
      <c r="AE852" s="33"/>
    </row>
    <row r="853" spans="1:31">
      <c r="A853" s="26" t="s">
        <v>852</v>
      </c>
      <c r="B853" s="8" t="s">
        <v>676</v>
      </c>
      <c r="C853" s="8" t="s">
        <v>22</v>
      </c>
      <c r="D853" s="3" t="s">
        <v>23</v>
      </c>
      <c r="E853" s="25" t="s">
        <v>131</v>
      </c>
      <c r="F853" s="16" t="s">
        <v>860</v>
      </c>
      <c r="G853" s="118">
        <v>9</v>
      </c>
      <c r="H853" s="118">
        <v>35.1</v>
      </c>
      <c r="I853" s="118">
        <v>2.83</v>
      </c>
      <c r="J853" s="118">
        <v>7.69</v>
      </c>
      <c r="K853" s="119" t="s">
        <v>26</v>
      </c>
      <c r="L853" s="119" t="s">
        <v>26</v>
      </c>
      <c r="M853" s="119" t="s">
        <v>26</v>
      </c>
      <c r="N853" s="119" t="s">
        <v>26</v>
      </c>
      <c r="O853" s="118">
        <v>5.0999999999999996</v>
      </c>
      <c r="P853" s="119" t="s">
        <v>26</v>
      </c>
      <c r="Q853" s="119" t="s">
        <v>26</v>
      </c>
      <c r="R853" s="119" t="s">
        <v>26</v>
      </c>
      <c r="S853" s="120" t="s">
        <v>26</v>
      </c>
      <c r="T853" s="121" t="s">
        <v>26</v>
      </c>
      <c r="U853" s="89">
        <v>3292</v>
      </c>
      <c r="V853" s="126" t="s">
        <v>26</v>
      </c>
      <c r="AC853" s="33"/>
      <c r="AD853" s="33"/>
      <c r="AE853" s="33"/>
    </row>
    <row r="854" spans="1:31">
      <c r="A854" s="26" t="s">
        <v>852</v>
      </c>
      <c r="B854" s="8" t="s">
        <v>47</v>
      </c>
      <c r="C854" s="8" t="s">
        <v>22</v>
      </c>
      <c r="D854" s="3" t="s">
        <v>23</v>
      </c>
      <c r="E854" s="23" t="s">
        <v>24</v>
      </c>
      <c r="F854" s="16" t="s">
        <v>861</v>
      </c>
      <c r="G854" s="118">
        <v>252</v>
      </c>
      <c r="H854" s="118">
        <v>13.2</v>
      </c>
      <c r="I854" s="119" t="s">
        <v>26</v>
      </c>
      <c r="J854" s="119" t="s">
        <v>26</v>
      </c>
      <c r="K854" s="119" t="s">
        <v>26</v>
      </c>
      <c r="L854" s="119" t="s">
        <v>26</v>
      </c>
      <c r="M854" s="119" t="s">
        <v>26</v>
      </c>
      <c r="N854" s="119" t="s">
        <v>26</v>
      </c>
      <c r="O854" s="118">
        <v>2</v>
      </c>
      <c r="P854" s="118">
        <v>2</v>
      </c>
      <c r="Q854" s="119" t="s">
        <v>26</v>
      </c>
      <c r="R854" s="119" t="s">
        <v>26</v>
      </c>
      <c r="S854" s="120" t="s">
        <v>26</v>
      </c>
      <c r="T854" s="121" t="s">
        <v>26</v>
      </c>
      <c r="U854" s="89">
        <v>731</v>
      </c>
      <c r="V854" s="89">
        <v>525</v>
      </c>
      <c r="AC854" s="33"/>
      <c r="AD854" s="33"/>
      <c r="AE854" s="33"/>
    </row>
    <row r="855" spans="1:31">
      <c r="A855" s="26" t="s">
        <v>852</v>
      </c>
      <c r="B855" s="8" t="s">
        <v>47</v>
      </c>
      <c r="C855" s="8" t="s">
        <v>22</v>
      </c>
      <c r="D855" s="3" t="s">
        <v>23</v>
      </c>
      <c r="E855" s="23" t="s">
        <v>27</v>
      </c>
      <c r="F855" s="16" t="s">
        <v>862</v>
      </c>
      <c r="G855" s="118">
        <v>107</v>
      </c>
      <c r="H855" s="118">
        <v>32.799999999999997</v>
      </c>
      <c r="I855" s="118">
        <v>6.2</v>
      </c>
      <c r="J855" s="118">
        <v>8.18</v>
      </c>
      <c r="K855" s="119" t="s">
        <v>26</v>
      </c>
      <c r="L855" s="119" t="s">
        <v>26</v>
      </c>
      <c r="M855" s="119" t="s">
        <v>26</v>
      </c>
      <c r="N855" s="119" t="s">
        <v>26</v>
      </c>
      <c r="O855" s="118">
        <v>3.1</v>
      </c>
      <c r="P855" s="118">
        <v>3.8</v>
      </c>
      <c r="Q855" s="119" t="s">
        <v>26</v>
      </c>
      <c r="R855" s="119" t="s">
        <v>26</v>
      </c>
      <c r="S855" s="120" t="s">
        <v>26</v>
      </c>
      <c r="T855" s="121" t="s">
        <v>26</v>
      </c>
      <c r="U855" s="89">
        <v>453</v>
      </c>
      <c r="V855" s="89">
        <v>352</v>
      </c>
      <c r="AC855" s="33"/>
      <c r="AD855" s="33"/>
      <c r="AE855" s="33"/>
    </row>
    <row r="856" spans="1:31">
      <c r="A856" s="26" t="s">
        <v>852</v>
      </c>
      <c r="B856" s="8" t="s">
        <v>47</v>
      </c>
      <c r="C856" s="8" t="s">
        <v>22</v>
      </c>
      <c r="D856" s="3" t="s">
        <v>23</v>
      </c>
      <c r="E856" s="23" t="s">
        <v>29</v>
      </c>
      <c r="F856" s="16" t="s">
        <v>863</v>
      </c>
      <c r="G856" s="118">
        <v>51</v>
      </c>
      <c r="H856" s="118">
        <v>4.4000000000000004</v>
      </c>
      <c r="I856" s="118">
        <v>25.2</v>
      </c>
      <c r="J856" s="118">
        <v>6.44</v>
      </c>
      <c r="K856" s="119" t="s">
        <v>26</v>
      </c>
      <c r="L856" s="119" t="s">
        <v>26</v>
      </c>
      <c r="M856" s="119" t="s">
        <v>26</v>
      </c>
      <c r="N856" s="119" t="s">
        <v>26</v>
      </c>
      <c r="O856" s="118">
        <v>5.8</v>
      </c>
      <c r="P856" s="118">
        <v>4.2</v>
      </c>
      <c r="Q856" s="119" t="s">
        <v>26</v>
      </c>
      <c r="R856" s="119" t="s">
        <v>26</v>
      </c>
      <c r="S856" s="127">
        <v>4.5</v>
      </c>
      <c r="T856" s="121" t="s">
        <v>26</v>
      </c>
      <c r="U856" s="89">
        <v>2184</v>
      </c>
      <c r="V856" s="89">
        <v>698</v>
      </c>
      <c r="AC856" s="33"/>
      <c r="AD856" s="33"/>
      <c r="AE856" s="33"/>
    </row>
    <row r="857" spans="1:31">
      <c r="A857" s="26" t="s">
        <v>852</v>
      </c>
      <c r="B857" s="8" t="s">
        <v>47</v>
      </c>
      <c r="C857" s="8" t="s">
        <v>22</v>
      </c>
      <c r="D857" s="3" t="s">
        <v>23</v>
      </c>
      <c r="E857" s="23" t="s">
        <v>31</v>
      </c>
      <c r="F857" s="16" t="s">
        <v>864</v>
      </c>
      <c r="G857" s="118">
        <v>21</v>
      </c>
      <c r="H857" s="119" t="s">
        <v>26</v>
      </c>
      <c r="I857" s="118">
        <v>24.2</v>
      </c>
      <c r="J857" s="118">
        <v>14.8</v>
      </c>
      <c r="K857" s="119" t="s">
        <v>26</v>
      </c>
      <c r="L857" s="119" t="s">
        <v>26</v>
      </c>
      <c r="M857" s="119" t="s">
        <v>26</v>
      </c>
      <c r="N857" s="119" t="s">
        <v>26</v>
      </c>
      <c r="O857" s="118">
        <v>4.2</v>
      </c>
      <c r="P857" s="118">
        <v>5.8</v>
      </c>
      <c r="Q857" s="119" t="s">
        <v>26</v>
      </c>
      <c r="R857" s="119" t="s">
        <v>26</v>
      </c>
      <c r="S857" s="127">
        <v>13.8</v>
      </c>
      <c r="T857" s="121" t="s">
        <v>26</v>
      </c>
      <c r="U857" s="89">
        <v>1249</v>
      </c>
      <c r="V857" s="89">
        <v>233</v>
      </c>
      <c r="AC857" s="33"/>
      <c r="AD857" s="33"/>
      <c r="AE857" s="33"/>
    </row>
    <row r="858" spans="1:31">
      <c r="A858" s="26" t="s">
        <v>852</v>
      </c>
      <c r="B858" s="8" t="s">
        <v>47</v>
      </c>
      <c r="C858" s="8" t="s">
        <v>22</v>
      </c>
      <c r="D858" s="3" t="s">
        <v>23</v>
      </c>
      <c r="E858" s="25" t="s">
        <v>131</v>
      </c>
      <c r="F858" s="16" t="s">
        <v>865</v>
      </c>
      <c r="G858" s="118">
        <v>10</v>
      </c>
      <c r="H858" s="118">
        <v>37</v>
      </c>
      <c r="I858" s="118">
        <v>3.66</v>
      </c>
      <c r="J858" s="118">
        <v>8.4</v>
      </c>
      <c r="K858" s="119" t="s">
        <v>26</v>
      </c>
      <c r="L858" s="119" t="s">
        <v>26</v>
      </c>
      <c r="M858" s="119" t="s">
        <v>26</v>
      </c>
      <c r="N858" s="119" t="s">
        <v>26</v>
      </c>
      <c r="O858" s="118">
        <v>3.2</v>
      </c>
      <c r="P858" s="119" t="s">
        <v>26</v>
      </c>
      <c r="Q858" s="119" t="s">
        <v>26</v>
      </c>
      <c r="R858" s="119" t="s">
        <v>26</v>
      </c>
      <c r="S858" s="127">
        <v>5.2</v>
      </c>
      <c r="T858" s="121" t="s">
        <v>26</v>
      </c>
      <c r="U858" s="89">
        <v>166</v>
      </c>
      <c r="V858" s="126" t="s">
        <v>26</v>
      </c>
      <c r="AC858" s="33"/>
      <c r="AD858" s="33"/>
      <c r="AE858" s="33"/>
    </row>
    <row r="859" spans="1:31">
      <c r="A859" s="26" t="s">
        <v>866</v>
      </c>
      <c r="B859" s="8" t="s">
        <v>21</v>
      </c>
      <c r="C859" s="8" t="s">
        <v>22</v>
      </c>
      <c r="D859" s="8" t="s">
        <v>730</v>
      </c>
      <c r="E859" s="23" t="s">
        <v>27</v>
      </c>
      <c r="F859" s="16" t="s">
        <v>867</v>
      </c>
      <c r="G859" s="118">
        <v>145</v>
      </c>
      <c r="H859" s="118">
        <v>10.4</v>
      </c>
      <c r="I859" s="118">
        <v>32.4</v>
      </c>
      <c r="J859" s="119" t="s">
        <v>26</v>
      </c>
      <c r="K859" s="119" t="s">
        <v>26</v>
      </c>
      <c r="L859" s="119" t="s">
        <v>26</v>
      </c>
      <c r="M859" s="119" t="s">
        <v>26</v>
      </c>
      <c r="N859" s="119" t="s">
        <v>26</v>
      </c>
      <c r="O859" s="118">
        <v>3.6</v>
      </c>
      <c r="P859" s="119" t="s">
        <v>26</v>
      </c>
      <c r="Q859" s="118">
        <v>5.2</v>
      </c>
      <c r="R859" s="118">
        <v>1.4</v>
      </c>
      <c r="S859" s="120" t="s">
        <v>26</v>
      </c>
      <c r="T859" s="121" t="s">
        <v>26</v>
      </c>
      <c r="U859" s="89">
        <v>603</v>
      </c>
      <c r="V859" s="126" t="s">
        <v>26</v>
      </c>
      <c r="AC859" s="33"/>
      <c r="AD859" s="33"/>
      <c r="AE859" s="33"/>
    </row>
    <row r="860" spans="1:31">
      <c r="A860" s="26" t="s">
        <v>866</v>
      </c>
      <c r="B860" s="8" t="s">
        <v>21</v>
      </c>
      <c r="C860" s="8" t="s">
        <v>22</v>
      </c>
      <c r="D860" s="8" t="s">
        <v>730</v>
      </c>
      <c r="E860" s="23" t="s">
        <v>29</v>
      </c>
      <c r="F860" s="16" t="s">
        <v>868</v>
      </c>
      <c r="G860" s="118">
        <v>54</v>
      </c>
      <c r="H860" s="118">
        <v>3.9</v>
      </c>
      <c r="I860" s="118">
        <v>34.6</v>
      </c>
      <c r="J860" s="118">
        <v>1.8</v>
      </c>
      <c r="K860" s="119" t="s">
        <v>26</v>
      </c>
      <c r="L860" s="119" t="s">
        <v>26</v>
      </c>
      <c r="M860" s="119" t="s">
        <v>26</v>
      </c>
      <c r="N860" s="119" t="s">
        <v>26</v>
      </c>
      <c r="O860" s="118">
        <v>4.7</v>
      </c>
      <c r="P860" s="118">
        <v>3.2</v>
      </c>
      <c r="Q860" s="118">
        <v>3.6</v>
      </c>
      <c r="R860" s="118">
        <v>1.6</v>
      </c>
      <c r="S860" s="120" t="s">
        <v>26</v>
      </c>
      <c r="T860" s="121" t="s">
        <v>26</v>
      </c>
      <c r="U860" s="89">
        <v>206</v>
      </c>
      <c r="V860" s="126" t="s">
        <v>26</v>
      </c>
      <c r="AC860" s="33"/>
      <c r="AD860" s="33"/>
      <c r="AE860" s="33"/>
    </row>
    <row r="861" spans="1:31">
      <c r="A861" s="26" t="s">
        <v>866</v>
      </c>
      <c r="B861" s="8" t="s">
        <v>21</v>
      </c>
      <c r="C861" s="8" t="s">
        <v>22</v>
      </c>
      <c r="D861" s="8" t="s">
        <v>730</v>
      </c>
      <c r="E861" s="23" t="s">
        <v>31</v>
      </c>
      <c r="F861" s="16" t="s">
        <v>99</v>
      </c>
      <c r="G861" s="118">
        <v>19</v>
      </c>
      <c r="H861" s="119" t="s">
        <v>26</v>
      </c>
      <c r="I861" s="118">
        <v>10.4</v>
      </c>
      <c r="J861" s="118">
        <v>6.4</v>
      </c>
      <c r="K861" s="119" t="s">
        <v>26</v>
      </c>
      <c r="L861" s="119" t="s">
        <v>26</v>
      </c>
      <c r="M861" s="119" t="s">
        <v>26</v>
      </c>
      <c r="N861" s="119" t="s">
        <v>26</v>
      </c>
      <c r="O861" s="118">
        <v>5.6</v>
      </c>
      <c r="P861" s="118">
        <v>1.9</v>
      </c>
      <c r="Q861" s="119" t="s">
        <v>26</v>
      </c>
      <c r="R861" s="118">
        <v>1.2</v>
      </c>
      <c r="S861" s="127">
        <v>3.9</v>
      </c>
      <c r="T861" s="121" t="s">
        <v>26</v>
      </c>
      <c r="U861" s="123" t="s">
        <v>26</v>
      </c>
      <c r="V861" s="126" t="s">
        <v>26</v>
      </c>
      <c r="AC861" s="33"/>
      <c r="AD861" s="33"/>
      <c r="AE861" s="33"/>
    </row>
    <row r="862" spans="1:31">
      <c r="A862" s="26" t="s">
        <v>866</v>
      </c>
      <c r="B862" s="8" t="s">
        <v>388</v>
      </c>
      <c r="C862" s="8" t="s">
        <v>22</v>
      </c>
      <c r="D862" s="3" t="s">
        <v>23</v>
      </c>
      <c r="E862" s="23" t="s">
        <v>24</v>
      </c>
      <c r="F862" s="16" t="s">
        <v>869</v>
      </c>
      <c r="G862" s="118">
        <v>220</v>
      </c>
      <c r="H862" s="118">
        <v>17.399999999999999</v>
      </c>
      <c r="I862" s="119" t="s">
        <v>26</v>
      </c>
      <c r="J862" s="119" t="s">
        <v>26</v>
      </c>
      <c r="K862" s="119" t="s">
        <v>26</v>
      </c>
      <c r="L862" s="119" t="s">
        <v>26</v>
      </c>
      <c r="M862" s="119" t="s">
        <v>26</v>
      </c>
      <c r="N862" s="119" t="s">
        <v>26</v>
      </c>
      <c r="O862" s="118">
        <v>3.9</v>
      </c>
      <c r="P862" s="119" t="s">
        <v>26</v>
      </c>
      <c r="Q862" s="118">
        <v>2.7</v>
      </c>
      <c r="R862" s="118">
        <v>1.9</v>
      </c>
      <c r="S862" s="127">
        <v>3.4</v>
      </c>
      <c r="T862" s="121" t="s">
        <v>26</v>
      </c>
      <c r="U862" s="89">
        <v>36</v>
      </c>
      <c r="V862" s="89">
        <v>215</v>
      </c>
      <c r="AC862" s="33"/>
      <c r="AD862" s="33"/>
      <c r="AE862" s="33"/>
    </row>
    <row r="863" spans="1:31">
      <c r="A863" s="26" t="s">
        <v>866</v>
      </c>
      <c r="B863" s="8" t="s">
        <v>388</v>
      </c>
      <c r="C863" s="8" t="s">
        <v>22</v>
      </c>
      <c r="D863" s="3" t="s">
        <v>23</v>
      </c>
      <c r="E863" s="23" t="s">
        <v>27</v>
      </c>
      <c r="F863" s="16" t="s">
        <v>327</v>
      </c>
      <c r="G863" s="118">
        <v>130</v>
      </c>
      <c r="H863" s="118">
        <v>14.6</v>
      </c>
      <c r="I863" s="118">
        <v>15.7</v>
      </c>
      <c r="J863" s="119" t="s">
        <v>26</v>
      </c>
      <c r="K863" s="118">
        <v>0.3</v>
      </c>
      <c r="L863" s="119" t="s">
        <v>26</v>
      </c>
      <c r="M863" s="119" t="s">
        <v>26</v>
      </c>
      <c r="N863" s="119" t="s">
        <v>26</v>
      </c>
      <c r="O863" s="118">
        <v>4.9000000000000004</v>
      </c>
      <c r="P863" s="118">
        <v>1</v>
      </c>
      <c r="Q863" s="119" t="s">
        <v>26</v>
      </c>
      <c r="R863" s="118">
        <v>1.9</v>
      </c>
      <c r="S863" s="127">
        <v>2.1</v>
      </c>
      <c r="T863" s="121" t="s">
        <v>26</v>
      </c>
      <c r="U863" s="89">
        <v>29.1</v>
      </c>
      <c r="V863" s="89">
        <v>170</v>
      </c>
      <c r="AC863" s="33"/>
      <c r="AD863" s="33"/>
      <c r="AE863" s="33"/>
    </row>
    <row r="864" spans="1:31">
      <c r="A864" s="26" t="s">
        <v>866</v>
      </c>
      <c r="B864" s="8" t="s">
        <v>388</v>
      </c>
      <c r="C864" s="8" t="s">
        <v>22</v>
      </c>
      <c r="D864" s="3" t="s">
        <v>23</v>
      </c>
      <c r="E864" s="23" t="s">
        <v>29</v>
      </c>
      <c r="F864" s="16" t="s">
        <v>870</v>
      </c>
      <c r="G864" s="118">
        <v>61</v>
      </c>
      <c r="H864" s="118">
        <v>7.9</v>
      </c>
      <c r="I864" s="118">
        <v>27.4</v>
      </c>
      <c r="J864" s="118">
        <v>4.0999999999999996</v>
      </c>
      <c r="K864" s="119" t="s">
        <v>26</v>
      </c>
      <c r="L864" s="119" t="s">
        <v>26</v>
      </c>
      <c r="M864" s="118">
        <v>0.8</v>
      </c>
      <c r="N864" s="119" t="s">
        <v>26</v>
      </c>
      <c r="O864" s="118">
        <v>5.0999999999999996</v>
      </c>
      <c r="P864" s="118">
        <v>1.6</v>
      </c>
      <c r="Q864" s="119" t="s">
        <v>26</v>
      </c>
      <c r="R864" s="118">
        <v>1.8</v>
      </c>
      <c r="S864" s="127">
        <v>3.4</v>
      </c>
      <c r="T864" s="121" t="s">
        <v>26</v>
      </c>
      <c r="U864" s="89">
        <v>1911</v>
      </c>
      <c r="V864" s="89">
        <v>310</v>
      </c>
      <c r="AC864" s="33"/>
      <c r="AD864" s="33"/>
      <c r="AE864" s="33"/>
    </row>
    <row r="865" spans="1:31">
      <c r="A865" s="26" t="s">
        <v>866</v>
      </c>
      <c r="B865" s="8" t="s">
        <v>388</v>
      </c>
      <c r="C865" s="8" t="s">
        <v>22</v>
      </c>
      <c r="D865" s="3" t="s">
        <v>23</v>
      </c>
      <c r="E865" s="23" t="s">
        <v>31</v>
      </c>
      <c r="F865" s="16" t="s">
        <v>871</v>
      </c>
      <c r="G865" s="118">
        <v>20</v>
      </c>
      <c r="H865" s="119" t="s">
        <v>26</v>
      </c>
      <c r="I865" s="118">
        <v>10.4</v>
      </c>
      <c r="J865" s="118">
        <v>15</v>
      </c>
      <c r="K865" s="119" t="s">
        <v>26</v>
      </c>
      <c r="L865" s="119" t="s">
        <v>26</v>
      </c>
      <c r="M865" s="119" t="s">
        <v>26</v>
      </c>
      <c r="N865" s="119" t="s">
        <v>26</v>
      </c>
      <c r="O865" s="118">
        <v>6.4</v>
      </c>
      <c r="P865" s="118">
        <v>1.7</v>
      </c>
      <c r="Q865" s="119" t="s">
        <v>26</v>
      </c>
      <c r="R865" s="118">
        <v>1.3</v>
      </c>
      <c r="S865" s="127">
        <v>5.8</v>
      </c>
      <c r="T865" s="121" t="s">
        <v>26</v>
      </c>
      <c r="U865" s="89">
        <v>1074</v>
      </c>
      <c r="V865" s="89">
        <v>165</v>
      </c>
      <c r="AC865" s="33"/>
      <c r="AD865" s="33"/>
      <c r="AE865" s="33"/>
    </row>
    <row r="866" spans="1:31">
      <c r="A866" s="26" t="s">
        <v>866</v>
      </c>
      <c r="B866" s="8" t="s">
        <v>872</v>
      </c>
      <c r="C866" s="8" t="s">
        <v>22</v>
      </c>
      <c r="D866" s="3" t="s">
        <v>33</v>
      </c>
      <c r="E866" s="23" t="s">
        <v>24</v>
      </c>
      <c r="F866" s="16" t="s">
        <v>873</v>
      </c>
      <c r="G866" s="118">
        <v>202</v>
      </c>
      <c r="H866" s="118">
        <v>32.5</v>
      </c>
      <c r="I866" s="119" t="s">
        <v>26</v>
      </c>
      <c r="J866" s="119" t="s">
        <v>26</v>
      </c>
      <c r="K866" s="119" t="s">
        <v>26</v>
      </c>
      <c r="L866" s="119" t="s">
        <v>26</v>
      </c>
      <c r="M866" s="118">
        <v>5.0999999999999996</v>
      </c>
      <c r="N866" s="119" t="s">
        <v>26</v>
      </c>
      <c r="O866" s="118">
        <v>6.2</v>
      </c>
      <c r="P866" s="119" t="s">
        <v>26</v>
      </c>
      <c r="Q866" s="119" t="s">
        <v>26</v>
      </c>
      <c r="R866" s="119" t="s">
        <v>26</v>
      </c>
      <c r="S866" s="127">
        <v>2.8</v>
      </c>
      <c r="T866" s="121" t="s">
        <v>26</v>
      </c>
      <c r="U866" s="130">
        <v>330</v>
      </c>
      <c r="V866" s="126" t="s">
        <v>26</v>
      </c>
      <c r="AC866" s="33"/>
      <c r="AD866" s="33"/>
      <c r="AE866" s="33"/>
    </row>
    <row r="867" spans="1:31">
      <c r="A867" s="26" t="s">
        <v>866</v>
      </c>
      <c r="B867" s="8" t="s">
        <v>872</v>
      </c>
      <c r="C867" s="8" t="s">
        <v>22</v>
      </c>
      <c r="D867" s="3" t="s">
        <v>33</v>
      </c>
      <c r="E867" s="23" t="s">
        <v>27</v>
      </c>
      <c r="F867" s="16" t="s">
        <v>34</v>
      </c>
      <c r="G867" s="118">
        <v>105</v>
      </c>
      <c r="H867" s="118">
        <v>38.4</v>
      </c>
      <c r="I867" s="118">
        <v>4.8</v>
      </c>
      <c r="J867" s="118">
        <v>0.7</v>
      </c>
      <c r="K867" s="119" t="s">
        <v>26</v>
      </c>
      <c r="L867" s="119" t="s">
        <v>26</v>
      </c>
      <c r="M867" s="118">
        <v>4.2</v>
      </c>
      <c r="N867" s="119" t="s">
        <v>26</v>
      </c>
      <c r="O867" s="118">
        <v>8.5</v>
      </c>
      <c r="P867" s="118">
        <v>4.0999999999999996</v>
      </c>
      <c r="Q867" s="119" t="s">
        <v>26</v>
      </c>
      <c r="R867" s="119" t="s">
        <v>26</v>
      </c>
      <c r="S867" s="127">
        <v>3.9</v>
      </c>
      <c r="T867" s="121" t="s">
        <v>26</v>
      </c>
      <c r="U867" s="130">
        <v>223</v>
      </c>
      <c r="V867" s="126" t="s">
        <v>26</v>
      </c>
      <c r="AC867" s="33"/>
      <c r="AD867" s="33"/>
      <c r="AE867" s="33"/>
    </row>
    <row r="868" spans="1:31">
      <c r="A868" s="26" t="s">
        <v>866</v>
      </c>
      <c r="B868" s="8" t="s">
        <v>872</v>
      </c>
      <c r="C868" s="8" t="s">
        <v>22</v>
      </c>
      <c r="D868" s="3" t="s">
        <v>33</v>
      </c>
      <c r="E868" s="23" t="s">
        <v>29</v>
      </c>
      <c r="F868" s="16" t="s">
        <v>874</v>
      </c>
      <c r="G868" s="118">
        <v>51</v>
      </c>
      <c r="H868" s="118">
        <v>5.2</v>
      </c>
      <c r="I868" s="118">
        <v>25.8</v>
      </c>
      <c r="J868" s="118">
        <v>4.18</v>
      </c>
      <c r="K868" s="119" t="s">
        <v>26</v>
      </c>
      <c r="L868" s="119" t="s">
        <v>26</v>
      </c>
      <c r="M868" s="119" t="s">
        <v>26</v>
      </c>
      <c r="N868" s="119" t="s">
        <v>26</v>
      </c>
      <c r="O868" s="118">
        <v>22.4</v>
      </c>
      <c r="P868" s="118">
        <v>5.8</v>
      </c>
      <c r="Q868" s="119" t="s">
        <v>26</v>
      </c>
      <c r="R868" s="119" t="s">
        <v>26</v>
      </c>
      <c r="S868" s="127">
        <v>11.2</v>
      </c>
      <c r="T868" s="121" t="s">
        <v>26</v>
      </c>
      <c r="U868" s="130">
        <v>1185</v>
      </c>
      <c r="V868" s="126" t="s">
        <v>26</v>
      </c>
      <c r="AC868" s="33"/>
      <c r="AD868" s="33"/>
      <c r="AE868" s="33"/>
    </row>
    <row r="869" spans="1:31">
      <c r="A869" s="26" t="s">
        <v>866</v>
      </c>
      <c r="B869" s="8" t="s">
        <v>872</v>
      </c>
      <c r="C869" s="8" t="s">
        <v>22</v>
      </c>
      <c r="D869" s="3" t="s">
        <v>33</v>
      </c>
      <c r="E869" s="23" t="s">
        <v>31</v>
      </c>
      <c r="F869" s="16" t="s">
        <v>875</v>
      </c>
      <c r="G869" s="118">
        <v>18</v>
      </c>
      <c r="H869" s="119" t="s">
        <v>26</v>
      </c>
      <c r="I869" s="118">
        <v>10.199999999999999</v>
      </c>
      <c r="J869" s="118">
        <v>14.22</v>
      </c>
      <c r="K869" s="119" t="s">
        <v>26</v>
      </c>
      <c r="L869" s="119" t="s">
        <v>26</v>
      </c>
      <c r="M869" s="119" t="s">
        <v>26</v>
      </c>
      <c r="N869" s="119" t="s">
        <v>26</v>
      </c>
      <c r="O869" s="118">
        <v>11.5</v>
      </c>
      <c r="P869" s="119" t="s">
        <v>26</v>
      </c>
      <c r="Q869" s="119" t="s">
        <v>26</v>
      </c>
      <c r="R869" s="119" t="s">
        <v>26</v>
      </c>
      <c r="S869" s="120" t="s">
        <v>26</v>
      </c>
      <c r="T869" s="121" t="s">
        <v>26</v>
      </c>
      <c r="U869" s="130">
        <v>1218</v>
      </c>
      <c r="V869" s="126" t="s">
        <v>26</v>
      </c>
      <c r="AC869" s="33"/>
      <c r="AD869" s="33"/>
      <c r="AE869" s="33"/>
    </row>
    <row r="870" spans="1:31">
      <c r="A870" s="26" t="s">
        <v>866</v>
      </c>
      <c r="B870" s="8" t="s">
        <v>89</v>
      </c>
      <c r="C870" s="8" t="s">
        <v>22</v>
      </c>
      <c r="D870" s="3" t="s">
        <v>23</v>
      </c>
      <c r="E870" s="23" t="s">
        <v>24</v>
      </c>
      <c r="F870" s="16" t="s">
        <v>276</v>
      </c>
      <c r="G870" s="118">
        <v>255</v>
      </c>
      <c r="H870" s="118">
        <v>12.2</v>
      </c>
      <c r="I870" s="119" t="s">
        <v>26</v>
      </c>
      <c r="J870" s="119" t="s">
        <v>26</v>
      </c>
      <c r="K870" s="119" t="s">
        <v>26</v>
      </c>
      <c r="L870" s="119" t="s">
        <v>26</v>
      </c>
      <c r="M870" s="119" t="s">
        <v>26</v>
      </c>
      <c r="N870" s="119" t="s">
        <v>26</v>
      </c>
      <c r="O870" s="118">
        <v>3.8</v>
      </c>
      <c r="P870" s="118">
        <v>4.3</v>
      </c>
      <c r="Q870" s="119" t="s">
        <v>26</v>
      </c>
      <c r="R870" s="119" t="s">
        <v>26</v>
      </c>
      <c r="S870" s="120" t="s">
        <v>26</v>
      </c>
      <c r="T870" s="121" t="s">
        <v>26</v>
      </c>
      <c r="U870" s="89">
        <v>229</v>
      </c>
      <c r="V870" s="126" t="s">
        <v>26</v>
      </c>
      <c r="AC870" s="33"/>
      <c r="AD870" s="33"/>
      <c r="AE870" s="33"/>
    </row>
    <row r="871" spans="1:31">
      <c r="A871" s="26" t="s">
        <v>866</v>
      </c>
      <c r="B871" s="8" t="s">
        <v>89</v>
      </c>
      <c r="C871" s="8" t="s">
        <v>22</v>
      </c>
      <c r="D871" s="3" t="s">
        <v>23</v>
      </c>
      <c r="E871" s="23" t="s">
        <v>27</v>
      </c>
      <c r="F871" s="16" t="s">
        <v>876</v>
      </c>
      <c r="G871" s="118">
        <v>118</v>
      </c>
      <c r="H871" s="118">
        <v>24.2</v>
      </c>
      <c r="I871" s="118">
        <v>10.6</v>
      </c>
      <c r="J871" s="118">
        <v>7.22</v>
      </c>
      <c r="K871" s="119" t="s">
        <v>26</v>
      </c>
      <c r="L871" s="119" t="s">
        <v>26</v>
      </c>
      <c r="M871" s="119" t="s">
        <v>26</v>
      </c>
      <c r="N871" s="119" t="s">
        <v>26</v>
      </c>
      <c r="O871" s="118">
        <v>16.899999999999999</v>
      </c>
      <c r="P871" s="118">
        <v>5.2</v>
      </c>
      <c r="Q871" s="119" t="s">
        <v>26</v>
      </c>
      <c r="R871" s="119" t="s">
        <v>26</v>
      </c>
      <c r="S871" s="120" t="s">
        <v>26</v>
      </c>
      <c r="T871" s="121" t="s">
        <v>26</v>
      </c>
      <c r="U871" s="89">
        <v>17</v>
      </c>
      <c r="V871" s="126" t="s">
        <v>26</v>
      </c>
      <c r="AC871" s="33"/>
      <c r="AD871" s="33"/>
      <c r="AE871" s="33"/>
    </row>
    <row r="872" spans="1:31">
      <c r="A872" s="26" t="s">
        <v>866</v>
      </c>
      <c r="B872" s="8" t="s">
        <v>89</v>
      </c>
      <c r="C872" s="8" t="s">
        <v>22</v>
      </c>
      <c r="D872" s="3" t="s">
        <v>23</v>
      </c>
      <c r="E872" s="23" t="s">
        <v>29</v>
      </c>
      <c r="F872" s="16" t="s">
        <v>877</v>
      </c>
      <c r="G872" s="118">
        <v>53</v>
      </c>
      <c r="H872" s="118">
        <v>6.2</v>
      </c>
      <c r="I872" s="118">
        <v>26.5</v>
      </c>
      <c r="J872" s="118">
        <v>8.58</v>
      </c>
      <c r="K872" s="119" t="s">
        <v>26</v>
      </c>
      <c r="L872" s="119" t="s">
        <v>26</v>
      </c>
      <c r="M872" s="119" t="s">
        <v>26</v>
      </c>
      <c r="N872" s="119" t="s">
        <v>26</v>
      </c>
      <c r="O872" s="118">
        <v>28.2</v>
      </c>
      <c r="P872" s="118">
        <v>20.5</v>
      </c>
      <c r="Q872" s="119" t="s">
        <v>26</v>
      </c>
      <c r="R872" s="119" t="s">
        <v>26</v>
      </c>
      <c r="S872" s="120" t="s">
        <v>26</v>
      </c>
      <c r="T872" s="121" t="s">
        <v>26</v>
      </c>
      <c r="U872" s="123" t="s">
        <v>26</v>
      </c>
      <c r="V872" s="126" t="s">
        <v>26</v>
      </c>
      <c r="AC872" s="33"/>
      <c r="AD872" s="33"/>
      <c r="AE872" s="33"/>
    </row>
    <row r="873" spans="1:31">
      <c r="A873" s="26" t="s">
        <v>866</v>
      </c>
      <c r="B873" s="8" t="s">
        <v>89</v>
      </c>
      <c r="C873" s="8" t="s">
        <v>22</v>
      </c>
      <c r="D873" s="3" t="s">
        <v>23</v>
      </c>
      <c r="E873" s="23" t="s">
        <v>31</v>
      </c>
      <c r="F873" s="16" t="s">
        <v>878</v>
      </c>
      <c r="G873" s="118">
        <v>17</v>
      </c>
      <c r="H873" s="119" t="s">
        <v>26</v>
      </c>
      <c r="I873" s="118">
        <v>15.2</v>
      </c>
      <c r="J873" s="118">
        <v>18.399999999999999</v>
      </c>
      <c r="K873" s="119" t="s">
        <v>26</v>
      </c>
      <c r="L873" s="119" t="s">
        <v>26</v>
      </c>
      <c r="M873" s="119" t="s">
        <v>26</v>
      </c>
      <c r="N873" s="119" t="s">
        <v>26</v>
      </c>
      <c r="O873" s="118">
        <v>17.2</v>
      </c>
      <c r="P873" s="118">
        <v>15.4</v>
      </c>
      <c r="Q873" s="119" t="s">
        <v>26</v>
      </c>
      <c r="R873" s="119" t="s">
        <v>26</v>
      </c>
      <c r="S873" s="120" t="s">
        <v>26</v>
      </c>
      <c r="T873" s="121" t="s">
        <v>26</v>
      </c>
      <c r="U873" s="123" t="s">
        <v>26</v>
      </c>
      <c r="V873" s="126" t="s">
        <v>26</v>
      </c>
      <c r="AC873" s="33"/>
      <c r="AD873" s="33"/>
      <c r="AE873" s="33"/>
    </row>
    <row r="874" spans="1:31">
      <c r="A874" s="26" t="s">
        <v>866</v>
      </c>
      <c r="B874" s="8" t="s">
        <v>89</v>
      </c>
      <c r="C874" s="8" t="s">
        <v>22</v>
      </c>
      <c r="D874" s="3" t="s">
        <v>23</v>
      </c>
      <c r="E874" s="25" t="s">
        <v>131</v>
      </c>
      <c r="F874" s="16" t="s">
        <v>879</v>
      </c>
      <c r="G874" s="118">
        <v>8</v>
      </c>
      <c r="H874" s="118">
        <v>42.4</v>
      </c>
      <c r="I874" s="118">
        <v>1.88</v>
      </c>
      <c r="J874" s="118">
        <v>6.52</v>
      </c>
      <c r="K874" s="119" t="s">
        <v>26</v>
      </c>
      <c r="L874" s="119" t="s">
        <v>26</v>
      </c>
      <c r="M874" s="119" t="s">
        <v>26</v>
      </c>
      <c r="N874" s="119" t="s">
        <v>26</v>
      </c>
      <c r="O874" s="125" t="s">
        <v>26</v>
      </c>
      <c r="P874" s="119" t="s">
        <v>26</v>
      </c>
      <c r="Q874" s="119" t="s">
        <v>26</v>
      </c>
      <c r="R874" s="119" t="s">
        <v>26</v>
      </c>
      <c r="S874" s="120" t="s">
        <v>26</v>
      </c>
      <c r="T874" s="121" t="s">
        <v>26</v>
      </c>
      <c r="U874" s="123" t="s">
        <v>26</v>
      </c>
      <c r="V874" s="89">
        <v>67</v>
      </c>
      <c r="AC874" s="33"/>
      <c r="AD874" s="33"/>
      <c r="AE874" s="33"/>
    </row>
    <row r="875" spans="1:31">
      <c r="A875" s="26" t="s">
        <v>880</v>
      </c>
      <c r="B875" s="8" t="s">
        <v>606</v>
      </c>
      <c r="C875" s="8" t="s">
        <v>22</v>
      </c>
      <c r="D875" s="3" t="s">
        <v>23</v>
      </c>
      <c r="E875" s="23" t="s">
        <v>24</v>
      </c>
      <c r="F875" s="16" t="s">
        <v>190</v>
      </c>
      <c r="G875" s="118">
        <v>258</v>
      </c>
      <c r="H875" s="118">
        <v>10.5</v>
      </c>
      <c r="I875" s="119" t="s">
        <v>26</v>
      </c>
      <c r="J875" s="119" t="s">
        <v>26</v>
      </c>
      <c r="K875" s="119" t="s">
        <v>26</v>
      </c>
      <c r="L875" s="118">
        <v>0.3</v>
      </c>
      <c r="M875" s="118">
        <v>0.5</v>
      </c>
      <c r="N875" s="119" t="s">
        <v>26</v>
      </c>
      <c r="O875" s="118">
        <v>1.7</v>
      </c>
      <c r="P875" s="118">
        <v>1</v>
      </c>
      <c r="Q875" s="118">
        <v>1.5</v>
      </c>
      <c r="R875" s="118">
        <v>1.4</v>
      </c>
      <c r="S875" s="127">
        <v>1.8</v>
      </c>
      <c r="T875" s="121" t="s">
        <v>26</v>
      </c>
      <c r="U875" s="89">
        <v>684</v>
      </c>
      <c r="V875" s="126" t="s">
        <v>26</v>
      </c>
      <c r="AC875" s="33"/>
      <c r="AD875" s="33"/>
      <c r="AE875" s="33"/>
    </row>
    <row r="876" spans="1:31">
      <c r="A876" s="26" t="s">
        <v>880</v>
      </c>
      <c r="B876" s="8" t="s">
        <v>606</v>
      </c>
      <c r="C876" s="8" t="s">
        <v>22</v>
      </c>
      <c r="D876" s="3" t="s">
        <v>23</v>
      </c>
      <c r="E876" s="23" t="s">
        <v>27</v>
      </c>
      <c r="F876" s="16" t="s">
        <v>881</v>
      </c>
      <c r="G876" s="118">
        <v>127</v>
      </c>
      <c r="H876" s="118">
        <v>17.5</v>
      </c>
      <c r="I876" s="118">
        <v>6.9</v>
      </c>
      <c r="J876" s="118">
        <v>0.5</v>
      </c>
      <c r="K876" s="118">
        <v>0.4</v>
      </c>
      <c r="L876" s="119" t="s">
        <v>26</v>
      </c>
      <c r="M876" s="119" t="s">
        <v>26</v>
      </c>
      <c r="N876" s="119" t="s">
        <v>26</v>
      </c>
      <c r="O876" s="118">
        <v>3.1</v>
      </c>
      <c r="P876" s="118">
        <v>2.2000000000000002</v>
      </c>
      <c r="Q876" s="119" t="s">
        <v>26</v>
      </c>
      <c r="R876" s="118">
        <v>0.9</v>
      </c>
      <c r="S876" s="127">
        <v>3.5</v>
      </c>
      <c r="T876" s="121" t="s">
        <v>26</v>
      </c>
      <c r="U876" s="89">
        <v>72</v>
      </c>
      <c r="V876" s="126" t="s">
        <v>26</v>
      </c>
      <c r="AC876" s="33"/>
      <c r="AD876" s="33"/>
      <c r="AE876" s="33"/>
    </row>
    <row r="877" spans="1:31">
      <c r="A877" s="26" t="s">
        <v>880</v>
      </c>
      <c r="B877" s="8" t="s">
        <v>606</v>
      </c>
      <c r="C877" s="8" t="s">
        <v>22</v>
      </c>
      <c r="D877" s="3" t="s">
        <v>23</v>
      </c>
      <c r="E877" s="23" t="s">
        <v>29</v>
      </c>
      <c r="F877" s="16" t="s">
        <v>882</v>
      </c>
      <c r="G877" s="118">
        <v>51</v>
      </c>
      <c r="H877" s="118">
        <v>3.5</v>
      </c>
      <c r="I877" s="118">
        <v>21.8</v>
      </c>
      <c r="J877" s="118">
        <v>7.2</v>
      </c>
      <c r="K877" s="118">
        <v>0.6</v>
      </c>
      <c r="L877" s="118">
        <v>1.4</v>
      </c>
      <c r="M877" s="118">
        <v>0.8</v>
      </c>
      <c r="N877" s="119" t="s">
        <v>26</v>
      </c>
      <c r="O877" s="118">
        <v>5.9</v>
      </c>
      <c r="P877" s="118">
        <v>4.3</v>
      </c>
      <c r="Q877" s="119" t="s">
        <v>26</v>
      </c>
      <c r="R877" s="118">
        <v>1.2</v>
      </c>
      <c r="S877" s="127">
        <v>4.9000000000000004</v>
      </c>
      <c r="T877" s="121" t="s">
        <v>26</v>
      </c>
      <c r="U877" s="89">
        <v>1453</v>
      </c>
      <c r="V877" s="126" t="s">
        <v>26</v>
      </c>
      <c r="AC877" s="33"/>
      <c r="AD877" s="33"/>
      <c r="AE877" s="33"/>
    </row>
    <row r="878" spans="1:31">
      <c r="A878" s="26" t="s">
        <v>880</v>
      </c>
      <c r="B878" s="8" t="s">
        <v>606</v>
      </c>
      <c r="C878" s="8" t="s">
        <v>22</v>
      </c>
      <c r="D878" s="3" t="s">
        <v>23</v>
      </c>
      <c r="E878" s="23" t="s">
        <v>31</v>
      </c>
      <c r="F878" s="16" t="s">
        <v>883</v>
      </c>
      <c r="G878" s="118">
        <v>22</v>
      </c>
      <c r="H878" s="119" t="s">
        <v>26</v>
      </c>
      <c r="I878" s="118">
        <v>8.9</v>
      </c>
      <c r="J878" s="118">
        <v>19.3</v>
      </c>
      <c r="K878" s="119" t="s">
        <v>26</v>
      </c>
      <c r="L878" s="118">
        <v>1.8</v>
      </c>
      <c r="M878" s="118">
        <v>0.9</v>
      </c>
      <c r="N878" s="119" t="s">
        <v>26</v>
      </c>
      <c r="O878" s="118">
        <v>4.9000000000000004</v>
      </c>
      <c r="P878" s="118">
        <v>6.5</v>
      </c>
      <c r="Q878" s="119" t="s">
        <v>26</v>
      </c>
      <c r="R878" s="119" t="s">
        <v>26</v>
      </c>
      <c r="S878" s="127">
        <v>8.5</v>
      </c>
      <c r="T878" s="121" t="s">
        <v>26</v>
      </c>
      <c r="U878" s="89">
        <v>1244</v>
      </c>
      <c r="V878" s="126" t="s">
        <v>26</v>
      </c>
      <c r="AC878" s="33"/>
      <c r="AD878" s="33"/>
      <c r="AE878" s="33"/>
    </row>
    <row r="879" spans="1:31">
      <c r="A879" s="26" t="s">
        <v>880</v>
      </c>
      <c r="B879" s="8" t="s">
        <v>606</v>
      </c>
      <c r="C879" s="8" t="s">
        <v>22</v>
      </c>
      <c r="D879" s="3" t="s">
        <v>23</v>
      </c>
      <c r="E879" s="25" t="s">
        <v>131</v>
      </c>
      <c r="F879" s="16" t="s">
        <v>884</v>
      </c>
      <c r="G879" s="118">
        <v>14</v>
      </c>
      <c r="H879" s="118">
        <v>12.44</v>
      </c>
      <c r="I879" s="118">
        <v>5.5</v>
      </c>
      <c r="J879" s="118">
        <v>5.9</v>
      </c>
      <c r="K879" s="119" t="s">
        <v>26</v>
      </c>
      <c r="L879" s="119" t="s">
        <v>26</v>
      </c>
      <c r="M879" s="119" t="s">
        <v>26</v>
      </c>
      <c r="N879" s="119" t="s">
        <v>26</v>
      </c>
      <c r="O879" s="125" t="s">
        <v>26</v>
      </c>
      <c r="P879" s="119" t="s">
        <v>26</v>
      </c>
      <c r="Q879" s="119" t="s">
        <v>26</v>
      </c>
      <c r="R879" s="119" t="s">
        <v>26</v>
      </c>
      <c r="S879" s="127">
        <v>4.9000000000000004</v>
      </c>
      <c r="T879" s="121" t="s">
        <v>26</v>
      </c>
      <c r="U879" s="89">
        <v>2504</v>
      </c>
      <c r="V879" s="126" t="s">
        <v>26</v>
      </c>
      <c r="AC879" s="33"/>
      <c r="AD879" s="33"/>
      <c r="AE879" s="33"/>
    </row>
    <row r="880" spans="1:31">
      <c r="A880" s="26" t="s">
        <v>880</v>
      </c>
      <c r="B880" s="8" t="s">
        <v>119</v>
      </c>
      <c r="C880" s="8" t="s">
        <v>22</v>
      </c>
      <c r="D880" s="3" t="s">
        <v>23</v>
      </c>
      <c r="E880" s="23" t="s">
        <v>24</v>
      </c>
      <c r="F880" s="16" t="s">
        <v>885</v>
      </c>
      <c r="G880" s="118">
        <v>251</v>
      </c>
      <c r="H880" s="118">
        <v>11.8</v>
      </c>
      <c r="I880" s="119" t="s">
        <v>26</v>
      </c>
      <c r="J880" s="119" t="s">
        <v>26</v>
      </c>
      <c r="K880" s="118">
        <v>0.3</v>
      </c>
      <c r="L880" s="118">
        <v>0.4</v>
      </c>
      <c r="M880" s="119" t="s">
        <v>26</v>
      </c>
      <c r="N880" s="119" t="s">
        <v>26</v>
      </c>
      <c r="O880" s="118">
        <v>0.9</v>
      </c>
      <c r="P880" s="118">
        <v>1.1000000000000001</v>
      </c>
      <c r="Q880" s="118">
        <v>1.8</v>
      </c>
      <c r="R880" s="118">
        <v>1.4</v>
      </c>
      <c r="S880" s="127">
        <v>1.2</v>
      </c>
      <c r="T880" s="121" t="s">
        <v>26</v>
      </c>
      <c r="U880" s="89">
        <v>216</v>
      </c>
      <c r="V880" s="89">
        <v>271</v>
      </c>
      <c r="AC880" s="33"/>
      <c r="AD880" s="33"/>
      <c r="AE880" s="33"/>
    </row>
    <row r="881" spans="1:31">
      <c r="A881" s="26" t="s">
        <v>880</v>
      </c>
      <c r="B881" s="8" t="s">
        <v>119</v>
      </c>
      <c r="C881" s="8" t="s">
        <v>22</v>
      </c>
      <c r="D881" s="3" t="s">
        <v>23</v>
      </c>
      <c r="E881" s="23" t="s">
        <v>27</v>
      </c>
      <c r="F881" s="16" t="s">
        <v>886</v>
      </c>
      <c r="G881" s="118">
        <v>118</v>
      </c>
      <c r="H881" s="118">
        <v>22.2</v>
      </c>
      <c r="I881" s="118">
        <v>5.5</v>
      </c>
      <c r="J881" s="118">
        <v>0.7</v>
      </c>
      <c r="K881" s="119" t="s">
        <v>26</v>
      </c>
      <c r="L881" s="118">
        <v>0.3</v>
      </c>
      <c r="M881" s="119" t="s">
        <v>26</v>
      </c>
      <c r="N881" s="119" t="s">
        <v>26</v>
      </c>
      <c r="O881" s="118">
        <v>2.9</v>
      </c>
      <c r="P881" s="118">
        <v>2.2000000000000002</v>
      </c>
      <c r="Q881" s="119" t="s">
        <v>26</v>
      </c>
      <c r="R881" s="118">
        <v>0.8</v>
      </c>
      <c r="S881" s="127">
        <v>3.4</v>
      </c>
      <c r="T881" s="121" t="s">
        <v>26</v>
      </c>
      <c r="U881" s="89">
        <v>378</v>
      </c>
      <c r="V881" s="89">
        <v>75</v>
      </c>
      <c r="AC881" s="33"/>
      <c r="AD881" s="33"/>
      <c r="AE881" s="33"/>
    </row>
    <row r="882" spans="1:31">
      <c r="A882" s="26" t="s">
        <v>880</v>
      </c>
      <c r="B882" s="8" t="s">
        <v>119</v>
      </c>
      <c r="C882" s="8" t="s">
        <v>22</v>
      </c>
      <c r="D882" s="3" t="s">
        <v>23</v>
      </c>
      <c r="E882" s="23" t="s">
        <v>29</v>
      </c>
      <c r="F882" s="16" t="s">
        <v>887</v>
      </c>
      <c r="G882" s="118">
        <v>48</v>
      </c>
      <c r="H882" s="118">
        <v>6.2</v>
      </c>
      <c r="I882" s="118">
        <v>18.5</v>
      </c>
      <c r="J882" s="118">
        <v>8.1</v>
      </c>
      <c r="K882" s="118">
        <v>0.9</v>
      </c>
      <c r="L882" s="118">
        <v>1.8</v>
      </c>
      <c r="M882" s="119" t="s">
        <v>26</v>
      </c>
      <c r="N882" s="119" t="s">
        <v>26</v>
      </c>
      <c r="O882" s="118">
        <v>5.0999999999999996</v>
      </c>
      <c r="P882" s="118">
        <v>6.5</v>
      </c>
      <c r="Q882" s="119" t="s">
        <v>26</v>
      </c>
      <c r="R882" s="118">
        <v>1.1000000000000001</v>
      </c>
      <c r="S882" s="127">
        <v>5.6</v>
      </c>
      <c r="T882" s="121" t="s">
        <v>26</v>
      </c>
      <c r="U882" s="89">
        <v>1161</v>
      </c>
      <c r="V882" s="89">
        <v>406</v>
      </c>
      <c r="AC882" s="33"/>
      <c r="AD882" s="33"/>
      <c r="AE882" s="33"/>
    </row>
    <row r="883" spans="1:31">
      <c r="A883" s="26" t="s">
        <v>880</v>
      </c>
      <c r="B883" s="8" t="s">
        <v>119</v>
      </c>
      <c r="C883" s="8" t="s">
        <v>22</v>
      </c>
      <c r="D883" s="3" t="s">
        <v>23</v>
      </c>
      <c r="E883" s="23" t="s">
        <v>31</v>
      </c>
      <c r="F883" s="16" t="s">
        <v>888</v>
      </c>
      <c r="G883" s="118">
        <v>23</v>
      </c>
      <c r="H883" s="119" t="s">
        <v>26</v>
      </c>
      <c r="I883" s="118">
        <v>12.5</v>
      </c>
      <c r="J883" s="118">
        <v>19</v>
      </c>
      <c r="K883" s="118">
        <v>0.6</v>
      </c>
      <c r="L883" s="118">
        <v>1.4</v>
      </c>
      <c r="M883" s="119" t="s">
        <v>26</v>
      </c>
      <c r="N883" s="119" t="s">
        <v>26</v>
      </c>
      <c r="O883" s="118">
        <v>3.8</v>
      </c>
      <c r="P883" s="118">
        <v>14.9</v>
      </c>
      <c r="Q883" s="119" t="s">
        <v>26</v>
      </c>
      <c r="R883" s="119" t="s">
        <v>26</v>
      </c>
      <c r="S883" s="127">
        <v>7.9</v>
      </c>
      <c r="T883" s="121" t="s">
        <v>26</v>
      </c>
      <c r="U883" s="89">
        <v>701</v>
      </c>
      <c r="V883" s="136" t="s">
        <v>26</v>
      </c>
      <c r="AC883" s="33"/>
      <c r="AD883" s="33"/>
      <c r="AE883" s="33"/>
    </row>
    <row r="884" spans="1:31">
      <c r="A884" s="26" t="s">
        <v>880</v>
      </c>
      <c r="B884" s="8" t="s">
        <v>119</v>
      </c>
      <c r="C884" s="8" t="s">
        <v>22</v>
      </c>
      <c r="D884" s="3" t="s">
        <v>23</v>
      </c>
      <c r="E884" s="25" t="s">
        <v>131</v>
      </c>
      <c r="F884" s="16" t="s">
        <v>889</v>
      </c>
      <c r="G884" s="118">
        <v>15</v>
      </c>
      <c r="H884" s="118">
        <v>7.9</v>
      </c>
      <c r="I884" s="118">
        <v>1</v>
      </c>
      <c r="J884" s="118">
        <v>2.9</v>
      </c>
      <c r="K884" s="119" t="s">
        <v>26</v>
      </c>
      <c r="L884" s="118">
        <v>0.6</v>
      </c>
      <c r="M884" s="119" t="s">
        <v>26</v>
      </c>
      <c r="N884" s="119" t="s">
        <v>26</v>
      </c>
      <c r="O884" s="118">
        <v>0.5</v>
      </c>
      <c r="P884" s="119" t="s">
        <v>26</v>
      </c>
      <c r="Q884" s="119" t="s">
        <v>26</v>
      </c>
      <c r="R884" s="119" t="s">
        <v>26</v>
      </c>
      <c r="S884" s="127">
        <v>4.0999999999999996</v>
      </c>
      <c r="T884" s="121" t="s">
        <v>26</v>
      </c>
      <c r="U884" s="89">
        <v>3085</v>
      </c>
      <c r="V884" s="136" t="s">
        <v>26</v>
      </c>
      <c r="AC884" s="33"/>
      <c r="AD884" s="33"/>
      <c r="AE884" s="33"/>
    </row>
    <row r="885" spans="1:31">
      <c r="A885" s="26" t="s">
        <v>880</v>
      </c>
      <c r="B885" s="8" t="s">
        <v>39</v>
      </c>
      <c r="C885" s="8" t="s">
        <v>22</v>
      </c>
      <c r="D885" s="3" t="s">
        <v>33</v>
      </c>
      <c r="E885" s="23" t="s">
        <v>24</v>
      </c>
      <c r="F885" s="16" t="s">
        <v>890</v>
      </c>
      <c r="G885" s="118">
        <v>190</v>
      </c>
      <c r="H885" s="118">
        <v>35.6</v>
      </c>
      <c r="I885" s="119" t="s">
        <v>26</v>
      </c>
      <c r="J885" s="119" t="s">
        <v>26</v>
      </c>
      <c r="K885" s="118">
        <v>0.3</v>
      </c>
      <c r="L885" s="118">
        <v>0.4</v>
      </c>
      <c r="M885" s="118">
        <v>0.6</v>
      </c>
      <c r="N885" s="119" t="s">
        <v>26</v>
      </c>
      <c r="O885" s="118">
        <v>0.9</v>
      </c>
      <c r="P885" s="118">
        <v>1.4</v>
      </c>
      <c r="Q885" s="119" t="s">
        <v>26</v>
      </c>
      <c r="R885" s="118">
        <v>1</v>
      </c>
      <c r="S885" s="127">
        <v>1.8</v>
      </c>
      <c r="T885" s="121" t="s">
        <v>26</v>
      </c>
      <c r="U885" s="130">
        <v>414</v>
      </c>
      <c r="V885" s="137" t="s">
        <v>26</v>
      </c>
      <c r="AC885" s="33"/>
      <c r="AD885" s="33"/>
      <c r="AE885" s="33"/>
    </row>
    <row r="886" spans="1:31">
      <c r="A886" s="26" t="s">
        <v>880</v>
      </c>
      <c r="B886" s="8" t="s">
        <v>39</v>
      </c>
      <c r="C886" s="8" t="s">
        <v>22</v>
      </c>
      <c r="D886" s="3" t="s">
        <v>33</v>
      </c>
      <c r="E886" s="23" t="s">
        <v>27</v>
      </c>
      <c r="F886" s="16" t="s">
        <v>485</v>
      </c>
      <c r="G886" s="118">
        <v>109</v>
      </c>
      <c r="H886" s="118">
        <v>38.5</v>
      </c>
      <c r="I886" s="118">
        <v>5.6</v>
      </c>
      <c r="J886" s="118">
        <v>0.5</v>
      </c>
      <c r="K886" s="118">
        <v>0.4</v>
      </c>
      <c r="L886" s="118">
        <v>0.5</v>
      </c>
      <c r="M886" s="118">
        <v>0.9</v>
      </c>
      <c r="N886" s="119" t="s">
        <v>26</v>
      </c>
      <c r="O886" s="118">
        <v>3.4</v>
      </c>
      <c r="P886" s="118">
        <v>2.8</v>
      </c>
      <c r="Q886" s="119" t="s">
        <v>26</v>
      </c>
      <c r="R886" s="118">
        <v>0.8</v>
      </c>
      <c r="S886" s="127">
        <v>2.2999999999999998</v>
      </c>
      <c r="T886" s="121" t="s">
        <v>26</v>
      </c>
      <c r="U886" s="130">
        <v>216</v>
      </c>
      <c r="V886" s="126" t="s">
        <v>26</v>
      </c>
      <c r="AC886" s="33"/>
      <c r="AD886" s="33"/>
      <c r="AE886" s="33"/>
    </row>
    <row r="887" spans="1:31">
      <c r="A887" s="26" t="s">
        <v>880</v>
      </c>
      <c r="B887" s="8" t="s">
        <v>39</v>
      </c>
      <c r="C887" s="8" t="s">
        <v>22</v>
      </c>
      <c r="D887" s="3" t="s">
        <v>33</v>
      </c>
      <c r="E887" s="23" t="s">
        <v>29</v>
      </c>
      <c r="F887" s="16" t="s">
        <v>891</v>
      </c>
      <c r="G887" s="118">
        <v>45</v>
      </c>
      <c r="H887" s="118">
        <v>10.5</v>
      </c>
      <c r="I887" s="118">
        <v>9.4</v>
      </c>
      <c r="J887" s="118">
        <v>7</v>
      </c>
      <c r="K887" s="118">
        <v>0.7</v>
      </c>
      <c r="L887" s="118">
        <v>0.7</v>
      </c>
      <c r="M887" s="118">
        <v>1.1000000000000001</v>
      </c>
      <c r="N887" s="119" t="s">
        <v>26</v>
      </c>
      <c r="O887" s="118">
        <v>5.9</v>
      </c>
      <c r="P887" s="118">
        <v>3.4</v>
      </c>
      <c r="Q887" s="119" t="s">
        <v>26</v>
      </c>
      <c r="R887" s="118">
        <v>0.5</v>
      </c>
      <c r="S887" s="127">
        <v>7.2</v>
      </c>
      <c r="T887" s="121" t="s">
        <v>26</v>
      </c>
      <c r="U887" s="130">
        <v>2197</v>
      </c>
      <c r="V887" s="126" t="s">
        <v>26</v>
      </c>
      <c r="AC887" s="33"/>
      <c r="AD887" s="33"/>
      <c r="AE887" s="33"/>
    </row>
    <row r="888" spans="1:31">
      <c r="A888" s="26" t="s">
        <v>880</v>
      </c>
      <c r="B888" s="8" t="s">
        <v>39</v>
      </c>
      <c r="C888" s="8" t="s">
        <v>22</v>
      </c>
      <c r="D888" s="3" t="s">
        <v>33</v>
      </c>
      <c r="E888" s="23" t="s">
        <v>31</v>
      </c>
      <c r="F888" s="16" t="s">
        <v>892</v>
      </c>
      <c r="G888" s="118">
        <v>17</v>
      </c>
      <c r="H888" s="119" t="s">
        <v>26</v>
      </c>
      <c r="I888" s="118">
        <v>5.0999999999999996</v>
      </c>
      <c r="J888" s="118">
        <v>17.8</v>
      </c>
      <c r="K888" s="118">
        <v>0.8</v>
      </c>
      <c r="L888" s="119" t="s">
        <v>26</v>
      </c>
      <c r="M888" s="119" t="s">
        <v>26</v>
      </c>
      <c r="N888" s="119" t="s">
        <v>26</v>
      </c>
      <c r="O888" s="118">
        <v>6.4</v>
      </c>
      <c r="P888" s="118">
        <v>5.0999999999999996</v>
      </c>
      <c r="Q888" s="119" t="s">
        <v>26</v>
      </c>
      <c r="R888" s="119" t="s">
        <v>26</v>
      </c>
      <c r="S888" s="127">
        <v>12.5</v>
      </c>
      <c r="T888" s="121" t="s">
        <v>26</v>
      </c>
      <c r="U888" s="130">
        <v>1037</v>
      </c>
      <c r="V888" s="126" t="s">
        <v>26</v>
      </c>
      <c r="AC888" s="33"/>
      <c r="AD888" s="33"/>
      <c r="AE888" s="33"/>
    </row>
    <row r="889" spans="1:31">
      <c r="A889" s="18" t="s">
        <v>893</v>
      </c>
      <c r="B889" s="8" t="s">
        <v>373</v>
      </c>
      <c r="C889" s="8" t="s">
        <v>22</v>
      </c>
      <c r="D889" s="3" t="s">
        <v>23</v>
      </c>
      <c r="E889" s="23" t="s">
        <v>24</v>
      </c>
      <c r="F889" s="16" t="s">
        <v>894</v>
      </c>
      <c r="G889" s="118">
        <v>250</v>
      </c>
      <c r="H889" s="118">
        <v>15.6</v>
      </c>
      <c r="I889" s="119" t="s">
        <v>26</v>
      </c>
      <c r="J889" s="119" t="s">
        <v>26</v>
      </c>
      <c r="K889" s="119" t="s">
        <v>26</v>
      </c>
      <c r="L889" s="119" t="s">
        <v>26</v>
      </c>
      <c r="M889" s="118">
        <v>0.8</v>
      </c>
      <c r="N889" s="119" t="s">
        <v>26</v>
      </c>
      <c r="O889" s="118">
        <v>3.9</v>
      </c>
      <c r="P889" s="118">
        <v>1.9</v>
      </c>
      <c r="Q889" s="119" t="s">
        <v>26</v>
      </c>
      <c r="R889" s="118">
        <v>1.3</v>
      </c>
      <c r="S889" s="127">
        <v>1.4</v>
      </c>
      <c r="T889" s="121" t="s">
        <v>26</v>
      </c>
      <c r="U889" s="89">
        <v>143</v>
      </c>
      <c r="V889" s="89">
        <v>275</v>
      </c>
      <c r="AC889" s="33"/>
      <c r="AD889" s="33"/>
      <c r="AE889" s="33"/>
    </row>
    <row r="890" spans="1:31">
      <c r="A890" s="18" t="s">
        <v>893</v>
      </c>
      <c r="B890" s="8" t="s">
        <v>373</v>
      </c>
      <c r="C890" s="8" t="s">
        <v>22</v>
      </c>
      <c r="D890" s="3" t="s">
        <v>23</v>
      </c>
      <c r="E890" s="23" t="s">
        <v>27</v>
      </c>
      <c r="F890" s="16" t="s">
        <v>895</v>
      </c>
      <c r="G890" s="118">
        <v>120</v>
      </c>
      <c r="H890" s="118">
        <v>25</v>
      </c>
      <c r="I890" s="118">
        <v>13.4</v>
      </c>
      <c r="J890" s="118">
        <v>2.5</v>
      </c>
      <c r="K890" s="119" t="s">
        <v>26</v>
      </c>
      <c r="L890" s="119" t="s">
        <v>26</v>
      </c>
      <c r="M890" s="118">
        <v>1.1000000000000001</v>
      </c>
      <c r="N890" s="119" t="s">
        <v>26</v>
      </c>
      <c r="O890" s="118">
        <v>7.2</v>
      </c>
      <c r="P890" s="118">
        <v>3.1</v>
      </c>
      <c r="Q890" s="119" t="s">
        <v>26</v>
      </c>
      <c r="R890" s="118">
        <v>1.9</v>
      </c>
      <c r="S890" s="127">
        <v>2.6</v>
      </c>
      <c r="T890" s="121" t="s">
        <v>26</v>
      </c>
      <c r="U890" s="89">
        <v>967</v>
      </c>
      <c r="V890" s="89">
        <v>115</v>
      </c>
      <c r="AC890" s="33"/>
      <c r="AD890" s="33"/>
      <c r="AE890" s="33"/>
    </row>
    <row r="891" spans="1:31">
      <c r="A891" s="18" t="s">
        <v>893</v>
      </c>
      <c r="B891" s="8" t="s">
        <v>373</v>
      </c>
      <c r="C891" s="8" t="s">
        <v>22</v>
      </c>
      <c r="D891" s="3" t="s">
        <v>23</v>
      </c>
      <c r="E891" s="23" t="s">
        <v>29</v>
      </c>
      <c r="F891" s="16" t="s">
        <v>896</v>
      </c>
      <c r="G891" s="118">
        <v>54</v>
      </c>
      <c r="H891" s="118">
        <v>6.9</v>
      </c>
      <c r="I891" s="118">
        <v>25.4</v>
      </c>
      <c r="J891" s="118">
        <v>3.58</v>
      </c>
      <c r="K891" s="119" t="s">
        <v>26</v>
      </c>
      <c r="L891" s="119" t="s">
        <v>26</v>
      </c>
      <c r="M891" s="119" t="s">
        <v>26</v>
      </c>
      <c r="N891" s="119" t="s">
        <v>26</v>
      </c>
      <c r="O891" s="118">
        <v>10.4</v>
      </c>
      <c r="P891" s="118">
        <v>8.5</v>
      </c>
      <c r="Q891" s="119" t="s">
        <v>26</v>
      </c>
      <c r="R891" s="118">
        <v>2.1</v>
      </c>
      <c r="S891" s="127">
        <v>3.4</v>
      </c>
      <c r="T891" s="121" t="s">
        <v>26</v>
      </c>
      <c r="U891" s="89">
        <v>2782</v>
      </c>
      <c r="V891" s="89">
        <v>325</v>
      </c>
      <c r="AC891" s="33"/>
      <c r="AD891" s="33"/>
      <c r="AE891" s="33"/>
    </row>
    <row r="892" spans="1:31">
      <c r="A892" s="18" t="s">
        <v>893</v>
      </c>
      <c r="B892" s="8" t="s">
        <v>373</v>
      </c>
      <c r="C892" s="8" t="s">
        <v>22</v>
      </c>
      <c r="D892" s="3" t="s">
        <v>23</v>
      </c>
      <c r="E892" s="23" t="s">
        <v>31</v>
      </c>
      <c r="F892" s="16" t="s">
        <v>897</v>
      </c>
      <c r="G892" s="118">
        <v>17</v>
      </c>
      <c r="H892" s="119" t="s">
        <v>26</v>
      </c>
      <c r="I892" s="118">
        <v>7.8</v>
      </c>
      <c r="J892" s="118">
        <v>6.7</v>
      </c>
      <c r="K892" s="119" t="s">
        <v>26</v>
      </c>
      <c r="L892" s="119" t="s">
        <v>26</v>
      </c>
      <c r="M892" s="119" t="s">
        <v>26</v>
      </c>
      <c r="N892" s="119" t="s">
        <v>26</v>
      </c>
      <c r="O892" s="118">
        <v>4.9000000000000004</v>
      </c>
      <c r="P892" s="118">
        <v>5.4</v>
      </c>
      <c r="Q892" s="119" t="s">
        <v>26</v>
      </c>
      <c r="R892" s="118">
        <v>1</v>
      </c>
      <c r="S892" s="127">
        <v>3.5</v>
      </c>
      <c r="T892" s="121" t="s">
        <v>26</v>
      </c>
      <c r="U892" s="89">
        <v>1690</v>
      </c>
      <c r="V892" s="89">
        <v>92</v>
      </c>
      <c r="AC892" s="33"/>
      <c r="AD892" s="33"/>
      <c r="AE892" s="33"/>
    </row>
    <row r="893" spans="1:31">
      <c r="A893" s="18" t="s">
        <v>893</v>
      </c>
      <c r="B893" s="8" t="s">
        <v>405</v>
      </c>
      <c r="C893" s="8" t="s">
        <v>22</v>
      </c>
      <c r="D893" s="3" t="s">
        <v>33</v>
      </c>
      <c r="E893" s="23" t="s">
        <v>24</v>
      </c>
      <c r="F893" s="16" t="s">
        <v>663</v>
      </c>
      <c r="G893" s="118">
        <v>218</v>
      </c>
      <c r="H893" s="118">
        <v>20.9</v>
      </c>
      <c r="I893" s="119" t="s">
        <v>26</v>
      </c>
      <c r="J893" s="119" t="s">
        <v>26</v>
      </c>
      <c r="K893" s="118">
        <v>0.3</v>
      </c>
      <c r="L893" s="118">
        <v>0.4</v>
      </c>
      <c r="M893" s="118">
        <v>0.6</v>
      </c>
      <c r="N893" s="119" t="s">
        <v>26</v>
      </c>
      <c r="O893" s="118">
        <v>0.9</v>
      </c>
      <c r="P893" s="118">
        <v>0.8</v>
      </c>
      <c r="Q893" s="118">
        <v>0.7</v>
      </c>
      <c r="R893" s="118">
        <v>1.2</v>
      </c>
      <c r="S893" s="127">
        <v>0.9</v>
      </c>
      <c r="T893" s="121" t="s">
        <v>26</v>
      </c>
      <c r="U893" s="130">
        <v>270</v>
      </c>
      <c r="V893" s="126" t="s">
        <v>26</v>
      </c>
      <c r="AC893" s="33"/>
      <c r="AD893" s="33"/>
      <c r="AE893" s="33"/>
    </row>
    <row r="894" spans="1:31">
      <c r="A894" s="18" t="s">
        <v>893</v>
      </c>
      <c r="B894" s="8" t="s">
        <v>405</v>
      </c>
      <c r="C894" s="8" t="s">
        <v>22</v>
      </c>
      <c r="D894" s="3" t="s">
        <v>33</v>
      </c>
      <c r="E894" s="23" t="s">
        <v>27</v>
      </c>
      <c r="F894" s="16" t="s">
        <v>898</v>
      </c>
      <c r="G894" s="118">
        <v>104</v>
      </c>
      <c r="H894" s="118">
        <v>38.799999999999997</v>
      </c>
      <c r="I894" s="118">
        <v>2.2000000000000002</v>
      </c>
      <c r="J894" s="118">
        <v>0.4</v>
      </c>
      <c r="K894" s="118">
        <v>0.5</v>
      </c>
      <c r="L894" s="118">
        <v>0.5</v>
      </c>
      <c r="M894" s="119" t="s">
        <v>26</v>
      </c>
      <c r="N894" s="119" t="s">
        <v>26</v>
      </c>
      <c r="O894" s="118">
        <v>1.2</v>
      </c>
      <c r="P894" s="118">
        <v>1.8</v>
      </c>
      <c r="Q894" s="119" t="s">
        <v>26</v>
      </c>
      <c r="R894" s="118">
        <v>1.4</v>
      </c>
      <c r="S894" s="127">
        <v>2.4</v>
      </c>
      <c r="T894" s="121" t="s">
        <v>26</v>
      </c>
      <c r="U894" s="130">
        <v>180</v>
      </c>
      <c r="V894" s="126" t="s">
        <v>26</v>
      </c>
      <c r="AC894" s="33"/>
      <c r="AD894" s="33"/>
      <c r="AE894" s="33"/>
    </row>
    <row r="895" spans="1:31">
      <c r="A895" s="18" t="s">
        <v>893</v>
      </c>
      <c r="B895" s="8" t="s">
        <v>405</v>
      </c>
      <c r="C895" s="8" t="s">
        <v>22</v>
      </c>
      <c r="D895" s="3" t="s">
        <v>33</v>
      </c>
      <c r="E895" s="23" t="s">
        <v>29</v>
      </c>
      <c r="F895" s="16" t="s">
        <v>899</v>
      </c>
      <c r="G895" s="118">
        <v>41</v>
      </c>
      <c r="H895" s="118">
        <v>20.5</v>
      </c>
      <c r="I895" s="118">
        <v>6.9</v>
      </c>
      <c r="J895" s="118">
        <v>1.7</v>
      </c>
      <c r="K895" s="118">
        <v>0.8</v>
      </c>
      <c r="L895" s="118">
        <v>0.8</v>
      </c>
      <c r="M895" s="118">
        <v>1.6</v>
      </c>
      <c r="N895" s="119" t="s">
        <v>26</v>
      </c>
      <c r="O895" s="118">
        <v>4.5</v>
      </c>
      <c r="P895" s="118">
        <v>2.6</v>
      </c>
      <c r="Q895" s="119" t="s">
        <v>26</v>
      </c>
      <c r="R895" s="118">
        <v>1.1000000000000001</v>
      </c>
      <c r="S895" s="127">
        <v>5.8</v>
      </c>
      <c r="T895" s="121" t="s">
        <v>26</v>
      </c>
      <c r="U895" s="130">
        <v>940</v>
      </c>
      <c r="V895" s="126" t="s">
        <v>26</v>
      </c>
      <c r="AC895" s="33"/>
      <c r="AD895" s="33"/>
      <c r="AE895" s="33"/>
    </row>
    <row r="896" spans="1:31">
      <c r="A896" s="18" t="s">
        <v>893</v>
      </c>
      <c r="B896" s="8" t="s">
        <v>405</v>
      </c>
      <c r="C896" s="8" t="s">
        <v>22</v>
      </c>
      <c r="D896" s="3" t="s">
        <v>33</v>
      </c>
      <c r="E896" s="23" t="s">
        <v>31</v>
      </c>
      <c r="F896" s="16" t="s">
        <v>900</v>
      </c>
      <c r="G896" s="118">
        <v>17</v>
      </c>
      <c r="H896" s="119" t="s">
        <v>26</v>
      </c>
      <c r="I896" s="118">
        <v>5.6</v>
      </c>
      <c r="J896" s="118">
        <v>15.5</v>
      </c>
      <c r="K896" s="118">
        <v>0.9</v>
      </c>
      <c r="L896" s="118">
        <v>0.9</v>
      </c>
      <c r="M896" s="119" t="s">
        <v>26</v>
      </c>
      <c r="N896" s="119" t="s">
        <v>26</v>
      </c>
      <c r="O896" s="118">
        <v>5.6</v>
      </c>
      <c r="P896" s="118">
        <v>3.5</v>
      </c>
      <c r="Q896" s="119" t="s">
        <v>26</v>
      </c>
      <c r="R896" s="119" t="s">
        <v>26</v>
      </c>
      <c r="S896" s="127">
        <v>10.5</v>
      </c>
      <c r="T896" s="121" t="s">
        <v>26</v>
      </c>
      <c r="U896" s="130">
        <v>482</v>
      </c>
      <c r="V896" s="126" t="s">
        <v>26</v>
      </c>
      <c r="AC896" s="33"/>
      <c r="AD896" s="33"/>
      <c r="AE896" s="33"/>
    </row>
    <row r="897" spans="1:31">
      <c r="A897" s="18" t="s">
        <v>901</v>
      </c>
      <c r="B897" s="8" t="s">
        <v>119</v>
      </c>
      <c r="C897" s="8" t="s">
        <v>22</v>
      </c>
      <c r="D897" s="3" t="s">
        <v>23</v>
      </c>
      <c r="E897" s="23" t="s">
        <v>24</v>
      </c>
      <c r="F897" s="16" t="s">
        <v>902</v>
      </c>
      <c r="G897" s="118">
        <v>248</v>
      </c>
      <c r="H897" s="118">
        <v>15.5</v>
      </c>
      <c r="I897" s="119" t="s">
        <v>26</v>
      </c>
      <c r="J897" s="119" t="s">
        <v>26</v>
      </c>
      <c r="K897" s="119" t="s">
        <v>26</v>
      </c>
      <c r="L897" s="118">
        <v>0.3</v>
      </c>
      <c r="M897" s="119" t="s">
        <v>26</v>
      </c>
      <c r="N897" s="119" t="s">
        <v>26</v>
      </c>
      <c r="O897" s="118">
        <v>1.6</v>
      </c>
      <c r="P897" s="118">
        <v>1.5</v>
      </c>
      <c r="Q897" s="118">
        <v>1.6</v>
      </c>
      <c r="R897" s="118">
        <v>1.1000000000000001</v>
      </c>
      <c r="S897" s="127">
        <v>1.4</v>
      </c>
      <c r="T897" s="121" t="s">
        <v>26</v>
      </c>
      <c r="U897" s="89">
        <v>90</v>
      </c>
      <c r="V897" s="89">
        <v>194</v>
      </c>
      <c r="AC897" s="33"/>
      <c r="AD897" s="33"/>
      <c r="AE897" s="33"/>
    </row>
    <row r="898" spans="1:31">
      <c r="A898" s="18" t="s">
        <v>901</v>
      </c>
      <c r="B898" s="8" t="s">
        <v>119</v>
      </c>
      <c r="C898" s="8" t="s">
        <v>22</v>
      </c>
      <c r="D898" s="3" t="s">
        <v>23</v>
      </c>
      <c r="E898" s="23" t="s">
        <v>27</v>
      </c>
      <c r="F898" s="16" t="s">
        <v>903</v>
      </c>
      <c r="G898" s="118">
        <v>122</v>
      </c>
      <c r="H898" s="118">
        <v>17.899999999999999</v>
      </c>
      <c r="I898" s="118">
        <v>6.2</v>
      </c>
      <c r="J898" s="118">
        <v>0.7</v>
      </c>
      <c r="K898" s="119" t="s">
        <v>26</v>
      </c>
      <c r="L898" s="119" t="s">
        <v>26</v>
      </c>
      <c r="M898" s="119" t="s">
        <v>26</v>
      </c>
      <c r="N898" s="119" t="s">
        <v>26</v>
      </c>
      <c r="O898" s="118">
        <v>3.1</v>
      </c>
      <c r="P898" s="118">
        <v>2.4</v>
      </c>
      <c r="Q898" s="119" t="s">
        <v>26</v>
      </c>
      <c r="R898" s="118">
        <v>0.9</v>
      </c>
      <c r="S898" s="127">
        <v>2.2000000000000002</v>
      </c>
      <c r="T898" s="121" t="s">
        <v>26</v>
      </c>
      <c r="U898" s="123" t="s">
        <v>26</v>
      </c>
      <c r="V898" s="89">
        <v>154</v>
      </c>
      <c r="AC898" s="33"/>
      <c r="AD898" s="33"/>
      <c r="AE898" s="33"/>
    </row>
    <row r="899" spans="1:31">
      <c r="A899" s="18" t="s">
        <v>901</v>
      </c>
      <c r="B899" s="8" t="s">
        <v>119</v>
      </c>
      <c r="C899" s="8" t="s">
        <v>22</v>
      </c>
      <c r="D899" s="3" t="s">
        <v>23</v>
      </c>
      <c r="E899" s="23" t="s">
        <v>29</v>
      </c>
      <c r="F899" s="16" t="s">
        <v>904</v>
      </c>
      <c r="G899" s="118">
        <v>49</v>
      </c>
      <c r="H899" s="118">
        <v>3.4</v>
      </c>
      <c r="I899" s="118">
        <v>22.6</v>
      </c>
      <c r="J899" s="118">
        <v>5.8</v>
      </c>
      <c r="K899" s="119" t="s">
        <v>26</v>
      </c>
      <c r="L899" s="119" t="s">
        <v>26</v>
      </c>
      <c r="M899" s="119" t="s">
        <v>26</v>
      </c>
      <c r="N899" s="119" t="s">
        <v>26</v>
      </c>
      <c r="O899" s="118">
        <v>4.9000000000000004</v>
      </c>
      <c r="P899" s="118">
        <v>3.9</v>
      </c>
      <c r="Q899" s="119" t="s">
        <v>26</v>
      </c>
      <c r="R899" s="118">
        <v>1.2</v>
      </c>
      <c r="S899" s="127">
        <v>3.9</v>
      </c>
      <c r="T899" s="121" t="s">
        <v>26</v>
      </c>
      <c r="U899" s="133">
        <v>1804</v>
      </c>
      <c r="V899" s="89">
        <v>425</v>
      </c>
      <c r="AC899" s="33"/>
      <c r="AD899" s="33"/>
      <c r="AE899" s="33"/>
    </row>
    <row r="900" spans="1:31">
      <c r="A900" s="18" t="s">
        <v>901</v>
      </c>
      <c r="B900" s="8" t="s">
        <v>119</v>
      </c>
      <c r="C900" s="8" t="s">
        <v>22</v>
      </c>
      <c r="D900" s="3" t="s">
        <v>23</v>
      </c>
      <c r="E900" s="23" t="s">
        <v>31</v>
      </c>
      <c r="F900" s="16" t="s">
        <v>80</v>
      </c>
      <c r="G900" s="118">
        <v>17</v>
      </c>
      <c r="H900" s="119" t="s">
        <v>26</v>
      </c>
      <c r="I900" s="118">
        <v>12.4</v>
      </c>
      <c r="J900" s="118">
        <v>22.5</v>
      </c>
      <c r="K900" s="119" t="s">
        <v>26</v>
      </c>
      <c r="L900" s="119" t="s">
        <v>26</v>
      </c>
      <c r="M900" s="119" t="s">
        <v>26</v>
      </c>
      <c r="N900" s="119" t="s">
        <v>26</v>
      </c>
      <c r="O900" s="118">
        <v>4.8</v>
      </c>
      <c r="P900" s="118">
        <v>5.6</v>
      </c>
      <c r="Q900" s="119" t="s">
        <v>26</v>
      </c>
      <c r="R900" s="119" t="s">
        <v>26</v>
      </c>
      <c r="S900" s="127">
        <v>7.5</v>
      </c>
      <c r="T900" s="121" t="s">
        <v>26</v>
      </c>
      <c r="U900" s="133">
        <v>1801</v>
      </c>
      <c r="V900" s="89">
        <v>137</v>
      </c>
      <c r="AC900" s="33"/>
      <c r="AD900" s="33"/>
      <c r="AE900" s="33"/>
    </row>
    <row r="901" spans="1:31">
      <c r="A901" s="26" t="s">
        <v>905</v>
      </c>
      <c r="B901" s="8" t="s">
        <v>83</v>
      </c>
      <c r="C901" s="8" t="s">
        <v>22</v>
      </c>
      <c r="D901" s="8" t="s">
        <v>730</v>
      </c>
      <c r="E901" s="23" t="s">
        <v>27</v>
      </c>
      <c r="F901" s="16" t="s">
        <v>906</v>
      </c>
      <c r="G901" s="118">
        <v>160</v>
      </c>
      <c r="H901" s="118">
        <v>9.5</v>
      </c>
      <c r="I901" s="118">
        <v>33.4</v>
      </c>
      <c r="J901" s="119" t="s">
        <v>26</v>
      </c>
      <c r="K901" s="119" t="s">
        <v>26</v>
      </c>
      <c r="L901" s="119" t="s">
        <v>26</v>
      </c>
      <c r="M901" s="119" t="s">
        <v>26</v>
      </c>
      <c r="N901" s="119" t="s">
        <v>26</v>
      </c>
      <c r="O901" s="118">
        <v>3.9</v>
      </c>
      <c r="P901" s="118">
        <v>2.7</v>
      </c>
      <c r="Q901" s="118">
        <v>7.2</v>
      </c>
      <c r="R901" s="118">
        <v>1.8</v>
      </c>
      <c r="S901" s="127">
        <v>1.7</v>
      </c>
      <c r="T901" s="121" t="s">
        <v>26</v>
      </c>
      <c r="U901" s="89">
        <v>813</v>
      </c>
      <c r="V901" s="89">
        <v>101</v>
      </c>
      <c r="W901" s="11"/>
      <c r="AC901" s="33"/>
      <c r="AD901" s="33"/>
      <c r="AE901" s="33"/>
    </row>
    <row r="902" spans="1:31">
      <c r="A902" s="26" t="s">
        <v>905</v>
      </c>
      <c r="B902" s="8" t="s">
        <v>83</v>
      </c>
      <c r="C902" s="8" t="s">
        <v>22</v>
      </c>
      <c r="D902" s="8" t="s">
        <v>730</v>
      </c>
      <c r="E902" s="23" t="s">
        <v>29</v>
      </c>
      <c r="F902" s="16" t="s">
        <v>907</v>
      </c>
      <c r="G902" s="118">
        <v>60</v>
      </c>
      <c r="H902" s="118">
        <v>6</v>
      </c>
      <c r="I902" s="118">
        <v>45.4</v>
      </c>
      <c r="J902" s="118">
        <v>1.4</v>
      </c>
      <c r="K902" s="119" t="s">
        <v>26</v>
      </c>
      <c r="L902" s="119" t="s">
        <v>26</v>
      </c>
      <c r="M902" s="119" t="s">
        <v>26</v>
      </c>
      <c r="N902" s="119" t="s">
        <v>26</v>
      </c>
      <c r="O902" s="118">
        <v>3.9</v>
      </c>
      <c r="P902" s="118">
        <v>4.0999999999999996</v>
      </c>
      <c r="Q902" s="118">
        <v>7.8</v>
      </c>
      <c r="R902" s="118">
        <v>4.5999999999999996</v>
      </c>
      <c r="S902" s="120" t="s">
        <v>26</v>
      </c>
      <c r="T902" s="121" t="s">
        <v>26</v>
      </c>
      <c r="U902" s="89">
        <v>113</v>
      </c>
      <c r="V902" s="89">
        <v>106</v>
      </c>
      <c r="AC902" s="33"/>
      <c r="AD902" s="33"/>
      <c r="AE902" s="33"/>
    </row>
    <row r="903" spans="1:31">
      <c r="A903" s="26" t="s">
        <v>905</v>
      </c>
      <c r="B903" s="8" t="s">
        <v>83</v>
      </c>
      <c r="C903" s="8" t="s">
        <v>22</v>
      </c>
      <c r="D903" s="8" t="s">
        <v>730</v>
      </c>
      <c r="E903" s="23" t="s">
        <v>31</v>
      </c>
      <c r="F903" s="16" t="s">
        <v>908</v>
      </c>
      <c r="G903" s="118">
        <v>25</v>
      </c>
      <c r="H903" s="119" t="s">
        <v>26</v>
      </c>
      <c r="I903" s="118">
        <v>19.399999999999999</v>
      </c>
      <c r="J903" s="118">
        <v>18</v>
      </c>
      <c r="K903" s="119" t="s">
        <v>26</v>
      </c>
      <c r="L903" s="119" t="s">
        <v>26</v>
      </c>
      <c r="M903" s="119" t="s">
        <v>26</v>
      </c>
      <c r="N903" s="119" t="s">
        <v>26</v>
      </c>
      <c r="O903" s="118">
        <v>4.2</v>
      </c>
      <c r="P903" s="118">
        <v>4</v>
      </c>
      <c r="Q903" s="119" t="s">
        <v>26</v>
      </c>
      <c r="R903" s="118">
        <v>1</v>
      </c>
      <c r="S903" s="127">
        <v>3.7</v>
      </c>
      <c r="T903" s="121" t="s">
        <v>26</v>
      </c>
      <c r="U903" s="89">
        <v>437</v>
      </c>
      <c r="V903" s="89">
        <v>220</v>
      </c>
      <c r="AC903" s="33"/>
      <c r="AD903" s="33"/>
      <c r="AE903" s="33"/>
    </row>
    <row r="904" spans="1:31">
      <c r="A904" s="26" t="s">
        <v>905</v>
      </c>
      <c r="B904" s="8" t="s">
        <v>606</v>
      </c>
      <c r="C904" s="8" t="s">
        <v>22</v>
      </c>
      <c r="D904" s="3" t="s">
        <v>23</v>
      </c>
      <c r="E904" s="23" t="s">
        <v>27</v>
      </c>
      <c r="F904" s="16" t="s">
        <v>909</v>
      </c>
      <c r="G904" s="118">
        <v>190</v>
      </c>
      <c r="H904" s="118">
        <v>5.4</v>
      </c>
      <c r="I904" s="118">
        <v>35.4</v>
      </c>
      <c r="J904" s="118">
        <v>2.4</v>
      </c>
      <c r="K904" s="119" t="s">
        <v>26</v>
      </c>
      <c r="L904" s="119" t="s">
        <v>26</v>
      </c>
      <c r="M904" s="119" t="s">
        <v>26</v>
      </c>
      <c r="N904" s="119" t="s">
        <v>26</v>
      </c>
      <c r="O904" s="118">
        <v>23.4</v>
      </c>
      <c r="P904" s="118">
        <v>8.1</v>
      </c>
      <c r="Q904" s="119" t="s">
        <v>26</v>
      </c>
      <c r="R904" s="118">
        <v>1.4</v>
      </c>
      <c r="S904" s="127">
        <v>3.4</v>
      </c>
      <c r="T904" s="121" t="s">
        <v>26</v>
      </c>
      <c r="U904" s="123" t="s">
        <v>26</v>
      </c>
      <c r="V904" s="126" t="s">
        <v>26</v>
      </c>
      <c r="AC904" s="33"/>
      <c r="AD904" s="33"/>
      <c r="AE904" s="33"/>
    </row>
    <row r="905" spans="1:31">
      <c r="A905" s="26" t="s">
        <v>905</v>
      </c>
      <c r="B905" s="8" t="s">
        <v>606</v>
      </c>
      <c r="C905" s="8" t="s">
        <v>22</v>
      </c>
      <c r="D905" s="3" t="s">
        <v>23</v>
      </c>
      <c r="E905" s="23" t="s">
        <v>29</v>
      </c>
      <c r="F905" s="16" t="s">
        <v>910</v>
      </c>
      <c r="G905" s="118">
        <v>41</v>
      </c>
      <c r="H905" s="118">
        <v>12.4</v>
      </c>
      <c r="I905" s="118">
        <v>26.7</v>
      </c>
      <c r="J905" s="118">
        <v>4.5</v>
      </c>
      <c r="K905" s="119" t="s">
        <v>26</v>
      </c>
      <c r="L905" s="119" t="s">
        <v>26</v>
      </c>
      <c r="M905" s="119" t="s">
        <v>26</v>
      </c>
      <c r="N905" s="119" t="s">
        <v>26</v>
      </c>
      <c r="O905" s="118">
        <v>18.399999999999999</v>
      </c>
      <c r="P905" s="118">
        <v>4.5</v>
      </c>
      <c r="Q905" s="119" t="s">
        <v>26</v>
      </c>
      <c r="R905" s="119" t="s">
        <v>26</v>
      </c>
      <c r="S905" s="127">
        <v>3.4</v>
      </c>
      <c r="T905" s="121" t="s">
        <v>26</v>
      </c>
      <c r="U905" s="123" t="s">
        <v>26</v>
      </c>
      <c r="V905" s="126" t="s">
        <v>26</v>
      </c>
      <c r="AC905" s="33"/>
      <c r="AD905" s="33"/>
      <c r="AE905" s="33"/>
    </row>
    <row r="906" spans="1:31">
      <c r="A906" s="26" t="s">
        <v>905</v>
      </c>
      <c r="B906" s="8" t="s">
        <v>606</v>
      </c>
      <c r="C906" s="8" t="s">
        <v>22</v>
      </c>
      <c r="D906" s="3" t="s">
        <v>23</v>
      </c>
      <c r="E906" s="23" t="s">
        <v>31</v>
      </c>
      <c r="F906" s="16" t="s">
        <v>911</v>
      </c>
      <c r="G906" s="118">
        <v>17</v>
      </c>
      <c r="H906" s="119" t="s">
        <v>26</v>
      </c>
      <c r="I906" s="118">
        <v>12.7</v>
      </c>
      <c r="J906" s="118">
        <v>1.5</v>
      </c>
      <c r="K906" s="119" t="s">
        <v>26</v>
      </c>
      <c r="L906" s="119" t="s">
        <v>26</v>
      </c>
      <c r="M906" s="119" t="s">
        <v>26</v>
      </c>
      <c r="N906" s="119" t="s">
        <v>26</v>
      </c>
      <c r="O906" s="118">
        <v>5.4</v>
      </c>
      <c r="P906" s="118">
        <v>7</v>
      </c>
      <c r="Q906" s="119" t="s">
        <v>26</v>
      </c>
      <c r="R906" s="119" t="s">
        <v>26</v>
      </c>
      <c r="S906" s="120" t="s">
        <v>26</v>
      </c>
      <c r="T906" s="121" t="s">
        <v>26</v>
      </c>
      <c r="U906" s="123" t="s">
        <v>26</v>
      </c>
      <c r="V906" s="126" t="s">
        <v>26</v>
      </c>
      <c r="AC906" s="33"/>
      <c r="AD906" s="33"/>
      <c r="AE906" s="33"/>
    </row>
    <row r="907" spans="1:31">
      <c r="A907" s="26" t="s">
        <v>905</v>
      </c>
      <c r="B907" s="8" t="s">
        <v>606</v>
      </c>
      <c r="C907" s="8" t="s">
        <v>22</v>
      </c>
      <c r="D907" s="3" t="s">
        <v>23</v>
      </c>
      <c r="E907" s="25" t="s">
        <v>131</v>
      </c>
      <c r="F907" s="16" t="s">
        <v>912</v>
      </c>
      <c r="G907" s="118">
        <v>18</v>
      </c>
      <c r="H907" s="118">
        <v>4.5</v>
      </c>
      <c r="I907" s="118">
        <v>15.5</v>
      </c>
      <c r="J907" s="118">
        <v>2.2000000000000002</v>
      </c>
      <c r="K907" s="119" t="s">
        <v>26</v>
      </c>
      <c r="L907" s="119" t="s">
        <v>26</v>
      </c>
      <c r="M907" s="119" t="s">
        <v>26</v>
      </c>
      <c r="N907" s="119" t="s">
        <v>26</v>
      </c>
      <c r="O907" s="118">
        <v>2.1</v>
      </c>
      <c r="P907" s="118">
        <v>3.1</v>
      </c>
      <c r="Q907" s="119" t="s">
        <v>26</v>
      </c>
      <c r="R907" s="119" t="s">
        <v>26</v>
      </c>
      <c r="S907" s="127">
        <v>7.8</v>
      </c>
      <c r="T907" s="121" t="s">
        <v>26</v>
      </c>
      <c r="U907" s="123" t="s">
        <v>26</v>
      </c>
      <c r="V907" s="89">
        <v>12</v>
      </c>
      <c r="AC907" s="33"/>
      <c r="AD907" s="33"/>
      <c r="AE907" s="33"/>
    </row>
    <row r="908" spans="1:31">
      <c r="A908" s="18" t="s">
        <v>913</v>
      </c>
      <c r="B908" s="8" t="s">
        <v>21</v>
      </c>
      <c r="C908" s="8" t="s">
        <v>22</v>
      </c>
      <c r="D908" s="3" t="s">
        <v>23</v>
      </c>
      <c r="E908" s="23" t="s">
        <v>24</v>
      </c>
      <c r="F908" s="16" t="s">
        <v>914</v>
      </c>
      <c r="G908" s="118">
        <v>240</v>
      </c>
      <c r="H908" s="118">
        <v>11.4</v>
      </c>
      <c r="I908" s="119" t="s">
        <v>26</v>
      </c>
      <c r="J908" s="119" t="s">
        <v>26</v>
      </c>
      <c r="K908" s="119" t="s">
        <v>26</v>
      </c>
      <c r="L908" s="119" t="s">
        <v>26</v>
      </c>
      <c r="M908" s="119" t="s">
        <v>26</v>
      </c>
      <c r="N908" s="119" t="s">
        <v>26</v>
      </c>
      <c r="O908" s="118">
        <v>3.4</v>
      </c>
      <c r="P908" s="118">
        <v>1.4</v>
      </c>
      <c r="Q908" s="118">
        <v>3.1</v>
      </c>
      <c r="R908" s="118">
        <v>1.7</v>
      </c>
      <c r="S908" s="127">
        <v>1.1000000000000001</v>
      </c>
      <c r="T908" s="128">
        <v>7</v>
      </c>
      <c r="U908" s="89">
        <v>285</v>
      </c>
      <c r="V908" s="89">
        <v>450</v>
      </c>
      <c r="AC908" s="33"/>
      <c r="AD908" s="33"/>
      <c r="AE908" s="33"/>
    </row>
    <row r="909" spans="1:31">
      <c r="A909" s="18" t="s">
        <v>913</v>
      </c>
      <c r="B909" s="8" t="s">
        <v>21</v>
      </c>
      <c r="C909" s="8" t="s">
        <v>22</v>
      </c>
      <c r="D909" s="3" t="s">
        <v>23</v>
      </c>
      <c r="E909" s="23" t="s">
        <v>27</v>
      </c>
      <c r="F909" s="16" t="s">
        <v>887</v>
      </c>
      <c r="G909" s="118">
        <v>128</v>
      </c>
      <c r="H909" s="118">
        <v>11.4</v>
      </c>
      <c r="I909" s="118">
        <v>12.4</v>
      </c>
      <c r="J909" s="118">
        <v>2.9</v>
      </c>
      <c r="K909" s="119" t="s">
        <v>26</v>
      </c>
      <c r="L909" s="119" t="s">
        <v>26</v>
      </c>
      <c r="M909" s="119" t="s">
        <v>26</v>
      </c>
      <c r="N909" s="119" t="s">
        <v>26</v>
      </c>
      <c r="O909" s="118">
        <v>9.6</v>
      </c>
      <c r="P909" s="118">
        <v>1.9</v>
      </c>
      <c r="Q909" s="119" t="s">
        <v>26</v>
      </c>
      <c r="R909" s="118">
        <v>1.8</v>
      </c>
      <c r="S909" s="127">
        <v>2.1</v>
      </c>
      <c r="T909" s="128">
        <v>4</v>
      </c>
      <c r="U909" s="89">
        <v>1120</v>
      </c>
      <c r="V909" s="89">
        <v>219</v>
      </c>
      <c r="AC909" s="33"/>
      <c r="AD909" s="33"/>
      <c r="AE909" s="33"/>
    </row>
    <row r="910" spans="1:31">
      <c r="A910" s="18" t="s">
        <v>913</v>
      </c>
      <c r="B910" s="8" t="s">
        <v>21</v>
      </c>
      <c r="C910" s="8" t="s">
        <v>22</v>
      </c>
      <c r="D910" s="3" t="s">
        <v>23</v>
      </c>
      <c r="E910" s="23" t="s">
        <v>29</v>
      </c>
      <c r="F910" s="16" t="s">
        <v>674</v>
      </c>
      <c r="G910" s="118">
        <v>52</v>
      </c>
      <c r="H910" s="118">
        <v>6.3</v>
      </c>
      <c r="I910" s="118">
        <v>26.4</v>
      </c>
      <c r="J910" s="118">
        <v>4</v>
      </c>
      <c r="K910" s="119" t="s">
        <v>26</v>
      </c>
      <c r="L910" s="119" t="s">
        <v>26</v>
      </c>
      <c r="M910" s="119" t="s">
        <v>26</v>
      </c>
      <c r="N910" s="119" t="s">
        <v>26</v>
      </c>
      <c r="O910" s="118">
        <v>7.2</v>
      </c>
      <c r="P910" s="118">
        <v>2.1</v>
      </c>
      <c r="Q910" s="119" t="s">
        <v>26</v>
      </c>
      <c r="R910" s="118">
        <v>1.6</v>
      </c>
      <c r="S910" s="127">
        <v>2.7</v>
      </c>
      <c r="T910" s="121" t="s">
        <v>26</v>
      </c>
      <c r="U910" s="89">
        <v>1937</v>
      </c>
      <c r="V910" s="89">
        <v>373</v>
      </c>
      <c r="AC910" s="33"/>
      <c r="AD910" s="33"/>
      <c r="AE910" s="33"/>
    </row>
    <row r="911" spans="1:31">
      <c r="A911" s="18" t="s">
        <v>913</v>
      </c>
      <c r="B911" s="8" t="s">
        <v>21</v>
      </c>
      <c r="C911" s="8" t="s">
        <v>22</v>
      </c>
      <c r="D911" s="3" t="s">
        <v>23</v>
      </c>
      <c r="E911" s="23" t="s">
        <v>31</v>
      </c>
      <c r="F911" s="16" t="s">
        <v>915</v>
      </c>
      <c r="G911" s="118">
        <v>17</v>
      </c>
      <c r="H911" s="119" t="s">
        <v>26</v>
      </c>
      <c r="I911" s="118">
        <v>7.2</v>
      </c>
      <c r="J911" s="118">
        <v>13.6</v>
      </c>
      <c r="K911" s="119" t="s">
        <v>26</v>
      </c>
      <c r="L911" s="119" t="s">
        <v>26</v>
      </c>
      <c r="M911" s="119" t="s">
        <v>26</v>
      </c>
      <c r="N911" s="119" t="s">
        <v>26</v>
      </c>
      <c r="O911" s="118">
        <v>6.2</v>
      </c>
      <c r="P911" s="118">
        <v>2</v>
      </c>
      <c r="Q911" s="119" t="s">
        <v>26</v>
      </c>
      <c r="R911" s="119" t="s">
        <v>26</v>
      </c>
      <c r="S911" s="120" t="s">
        <v>26</v>
      </c>
      <c r="T911" s="121" t="s">
        <v>26</v>
      </c>
      <c r="U911" s="89">
        <v>1214</v>
      </c>
      <c r="V911" s="89">
        <v>60</v>
      </c>
      <c r="AC911" s="33"/>
      <c r="AD911" s="33"/>
      <c r="AE911" s="33"/>
    </row>
    <row r="912" spans="1:31">
      <c r="A912" s="18" t="s">
        <v>913</v>
      </c>
      <c r="B912" s="8" t="s">
        <v>21</v>
      </c>
      <c r="C912" s="8" t="s">
        <v>22</v>
      </c>
      <c r="D912" s="3" t="s">
        <v>23</v>
      </c>
      <c r="E912" s="25" t="s">
        <v>131</v>
      </c>
      <c r="F912" s="16" t="s">
        <v>916</v>
      </c>
      <c r="G912" s="118">
        <v>12</v>
      </c>
      <c r="H912" s="118">
        <v>17.95</v>
      </c>
      <c r="I912" s="118">
        <v>4.6500000000000004</v>
      </c>
      <c r="J912" s="118">
        <v>8.9</v>
      </c>
      <c r="K912" s="119" t="s">
        <v>26</v>
      </c>
      <c r="L912" s="119" t="s">
        <v>26</v>
      </c>
      <c r="M912" s="119" t="s">
        <v>26</v>
      </c>
      <c r="N912" s="119" t="s">
        <v>26</v>
      </c>
      <c r="O912" s="118">
        <v>3.1</v>
      </c>
      <c r="P912" s="118">
        <v>3.4</v>
      </c>
      <c r="Q912" s="119" t="s">
        <v>26</v>
      </c>
      <c r="R912" s="119" t="s">
        <v>26</v>
      </c>
      <c r="S912" s="127">
        <v>5.2</v>
      </c>
      <c r="T912" s="121" t="s">
        <v>26</v>
      </c>
      <c r="U912" s="89">
        <v>552</v>
      </c>
      <c r="V912" s="89">
        <v>20</v>
      </c>
      <c r="AC912" s="33"/>
      <c r="AD912" s="33"/>
      <c r="AE912" s="33"/>
    </row>
    <row r="913" spans="1:31">
      <c r="A913" s="18" t="s">
        <v>917</v>
      </c>
      <c r="B913" s="8" t="s">
        <v>83</v>
      </c>
      <c r="C913" s="8" t="s">
        <v>22</v>
      </c>
      <c r="D913" s="8" t="s">
        <v>730</v>
      </c>
      <c r="E913" s="23" t="s">
        <v>27</v>
      </c>
      <c r="F913" s="16" t="s">
        <v>918</v>
      </c>
      <c r="G913" s="118">
        <v>120</v>
      </c>
      <c r="H913" s="118">
        <v>15.6</v>
      </c>
      <c r="I913" s="118">
        <v>30.4</v>
      </c>
      <c r="J913" s="118">
        <v>0.5</v>
      </c>
      <c r="K913" s="119" t="s">
        <v>26</v>
      </c>
      <c r="L913" s="119" t="s">
        <v>26</v>
      </c>
      <c r="M913" s="119" t="s">
        <v>26</v>
      </c>
      <c r="N913" s="119" t="s">
        <v>26</v>
      </c>
      <c r="O913" s="118">
        <v>5.7</v>
      </c>
      <c r="P913" s="118">
        <v>2.6</v>
      </c>
      <c r="Q913" s="118">
        <v>3.2</v>
      </c>
      <c r="R913" s="118">
        <v>1.7</v>
      </c>
      <c r="S913" s="127">
        <v>2.6</v>
      </c>
      <c r="T913" s="121" t="s">
        <v>26</v>
      </c>
      <c r="U913" s="89">
        <v>936</v>
      </c>
      <c r="V913" s="89">
        <v>242</v>
      </c>
      <c r="AC913" s="33"/>
      <c r="AD913" s="33"/>
      <c r="AE913" s="33"/>
    </row>
    <row r="914" spans="1:31">
      <c r="A914" s="18" t="s">
        <v>917</v>
      </c>
      <c r="B914" s="8" t="s">
        <v>83</v>
      </c>
      <c r="C914" s="8" t="s">
        <v>22</v>
      </c>
      <c r="D914" s="8" t="s">
        <v>730</v>
      </c>
      <c r="E914" s="23" t="s">
        <v>29</v>
      </c>
      <c r="F914" s="16" t="s">
        <v>919</v>
      </c>
      <c r="G914" s="118">
        <v>56</v>
      </c>
      <c r="H914" s="118">
        <v>2.9</v>
      </c>
      <c r="I914" s="118">
        <v>33.4</v>
      </c>
      <c r="J914" s="118">
        <v>6</v>
      </c>
      <c r="K914" s="119" t="s">
        <v>26</v>
      </c>
      <c r="L914" s="119" t="s">
        <v>26</v>
      </c>
      <c r="M914" s="119" t="s">
        <v>26</v>
      </c>
      <c r="N914" s="119" t="s">
        <v>26</v>
      </c>
      <c r="O914" s="118">
        <v>4.8</v>
      </c>
      <c r="P914" s="118">
        <v>4.5999999999999996</v>
      </c>
      <c r="Q914" s="118">
        <v>2.7</v>
      </c>
      <c r="R914" s="118">
        <v>1.9</v>
      </c>
      <c r="S914" s="127">
        <v>2.7</v>
      </c>
      <c r="T914" s="121" t="s">
        <v>26</v>
      </c>
      <c r="U914" s="89">
        <v>2128</v>
      </c>
      <c r="V914" s="89">
        <v>416</v>
      </c>
      <c r="AC914" s="33"/>
      <c r="AD914" s="33"/>
      <c r="AE914" s="33"/>
    </row>
    <row r="915" spans="1:31">
      <c r="A915" s="18" t="s">
        <v>917</v>
      </c>
      <c r="B915" s="8" t="s">
        <v>83</v>
      </c>
      <c r="C915" s="8" t="s">
        <v>22</v>
      </c>
      <c r="D915" s="8" t="s">
        <v>730</v>
      </c>
      <c r="E915" s="23" t="s">
        <v>31</v>
      </c>
      <c r="F915" s="16" t="s">
        <v>920</v>
      </c>
      <c r="G915" s="118">
        <v>24</v>
      </c>
      <c r="H915" s="119" t="s">
        <v>26</v>
      </c>
      <c r="I915" s="118">
        <v>22.4</v>
      </c>
      <c r="J915" s="118">
        <v>15.9</v>
      </c>
      <c r="K915" s="119" t="s">
        <v>26</v>
      </c>
      <c r="L915" s="119" t="s">
        <v>26</v>
      </c>
      <c r="M915" s="119" t="s">
        <v>26</v>
      </c>
      <c r="N915" s="119" t="s">
        <v>26</v>
      </c>
      <c r="O915" s="118">
        <v>4.9000000000000004</v>
      </c>
      <c r="P915" s="118">
        <v>3.6</v>
      </c>
      <c r="Q915" s="119" t="s">
        <v>26</v>
      </c>
      <c r="R915" s="119" t="s">
        <v>26</v>
      </c>
      <c r="S915" s="127">
        <v>3.7</v>
      </c>
      <c r="T915" s="121" t="s">
        <v>26</v>
      </c>
      <c r="U915" s="130">
        <v>884</v>
      </c>
      <c r="V915" s="89">
        <v>35</v>
      </c>
      <c r="AC915" s="33"/>
      <c r="AD915" s="33"/>
      <c r="AE915" s="33"/>
    </row>
    <row r="916" spans="1:31">
      <c r="A916" s="18" t="s">
        <v>917</v>
      </c>
      <c r="B916" s="8" t="s">
        <v>373</v>
      </c>
      <c r="C916" s="8" t="s">
        <v>22</v>
      </c>
      <c r="D916" s="3" t="s">
        <v>23</v>
      </c>
      <c r="E916" s="23" t="s">
        <v>24</v>
      </c>
      <c r="F916" s="16" t="s">
        <v>355</v>
      </c>
      <c r="G916" s="118">
        <v>245</v>
      </c>
      <c r="H916" s="118">
        <v>16.2</v>
      </c>
      <c r="I916" s="119" t="s">
        <v>26</v>
      </c>
      <c r="J916" s="119" t="s">
        <v>26</v>
      </c>
      <c r="K916" s="119" t="s">
        <v>26</v>
      </c>
      <c r="L916" s="119" t="s">
        <v>26</v>
      </c>
      <c r="M916" s="119" t="s">
        <v>26</v>
      </c>
      <c r="N916" s="119" t="s">
        <v>26</v>
      </c>
      <c r="O916" s="118">
        <v>3.9</v>
      </c>
      <c r="P916" s="118">
        <v>1.3</v>
      </c>
      <c r="Q916" s="119" t="s">
        <v>26</v>
      </c>
      <c r="R916" s="118">
        <v>1.6</v>
      </c>
      <c r="S916" s="127">
        <v>2.1</v>
      </c>
      <c r="T916" s="121" t="s">
        <v>26</v>
      </c>
      <c r="U916" s="89">
        <v>150</v>
      </c>
      <c r="V916" s="89">
        <v>67</v>
      </c>
      <c r="AC916" s="33"/>
      <c r="AD916" s="33"/>
      <c r="AE916" s="33"/>
    </row>
    <row r="917" spans="1:31">
      <c r="A917" s="18" t="s">
        <v>917</v>
      </c>
      <c r="B917" s="8" t="s">
        <v>373</v>
      </c>
      <c r="C917" s="8" t="s">
        <v>22</v>
      </c>
      <c r="D917" s="3" t="s">
        <v>23</v>
      </c>
      <c r="E917" s="23" t="s">
        <v>27</v>
      </c>
      <c r="F917" s="16" t="s">
        <v>921</v>
      </c>
      <c r="G917" s="118">
        <v>120</v>
      </c>
      <c r="H917" s="118">
        <v>24.6</v>
      </c>
      <c r="I917" s="118">
        <v>13.6</v>
      </c>
      <c r="J917" s="118">
        <v>0.6</v>
      </c>
      <c r="K917" s="119" t="s">
        <v>26</v>
      </c>
      <c r="L917" s="119" t="s">
        <v>26</v>
      </c>
      <c r="M917" s="119" t="s">
        <v>26</v>
      </c>
      <c r="N917" s="119" t="s">
        <v>26</v>
      </c>
      <c r="O917" s="118">
        <v>5.7</v>
      </c>
      <c r="P917" s="118">
        <v>4.0999999999999996</v>
      </c>
      <c r="Q917" s="119" t="s">
        <v>26</v>
      </c>
      <c r="R917" s="118">
        <v>1.5</v>
      </c>
      <c r="S917" s="127">
        <v>3.4</v>
      </c>
      <c r="T917" s="121" t="s">
        <v>26</v>
      </c>
      <c r="U917" s="89">
        <v>58</v>
      </c>
      <c r="V917" s="126" t="s">
        <v>26</v>
      </c>
      <c r="AC917" s="33"/>
      <c r="AD917" s="33"/>
      <c r="AE917" s="33"/>
    </row>
    <row r="918" spans="1:31">
      <c r="A918" s="18" t="s">
        <v>917</v>
      </c>
      <c r="B918" s="8" t="s">
        <v>373</v>
      </c>
      <c r="C918" s="8" t="s">
        <v>22</v>
      </c>
      <c r="D918" s="3" t="s">
        <v>23</v>
      </c>
      <c r="E918" s="23" t="s">
        <v>29</v>
      </c>
      <c r="F918" s="16" t="s">
        <v>922</v>
      </c>
      <c r="G918" s="118">
        <v>46</v>
      </c>
      <c r="H918" s="118">
        <v>7.1</v>
      </c>
      <c r="I918" s="118">
        <v>20.399999999999999</v>
      </c>
      <c r="J918" s="118">
        <v>4.54</v>
      </c>
      <c r="K918" s="119" t="s">
        <v>26</v>
      </c>
      <c r="L918" s="119" t="s">
        <v>26</v>
      </c>
      <c r="M918" s="119" t="s">
        <v>26</v>
      </c>
      <c r="N918" s="119" t="s">
        <v>26</v>
      </c>
      <c r="O918" s="118">
        <v>5.5</v>
      </c>
      <c r="P918" s="118">
        <v>4.2</v>
      </c>
      <c r="Q918" s="119" t="s">
        <v>26</v>
      </c>
      <c r="R918" s="118">
        <v>1.7</v>
      </c>
      <c r="S918" s="127">
        <v>4.7</v>
      </c>
      <c r="T918" s="121" t="s">
        <v>26</v>
      </c>
      <c r="U918" s="89">
        <v>1611</v>
      </c>
      <c r="V918" s="126" t="s">
        <v>26</v>
      </c>
      <c r="AC918" s="33"/>
      <c r="AD918" s="33"/>
      <c r="AE918" s="33"/>
    </row>
    <row r="919" spans="1:31">
      <c r="A919" s="18" t="s">
        <v>917</v>
      </c>
      <c r="B919" s="8" t="s">
        <v>373</v>
      </c>
      <c r="C919" s="8" t="s">
        <v>22</v>
      </c>
      <c r="D919" s="3" t="s">
        <v>23</v>
      </c>
      <c r="E919" s="23" t="s">
        <v>31</v>
      </c>
      <c r="F919" s="16" t="s">
        <v>923</v>
      </c>
      <c r="G919" s="118">
        <v>15</v>
      </c>
      <c r="H919" s="119" t="s">
        <v>26</v>
      </c>
      <c r="I919" s="118">
        <v>7.2</v>
      </c>
      <c r="J919" s="118">
        <v>10.8</v>
      </c>
      <c r="K919" s="119" t="s">
        <v>26</v>
      </c>
      <c r="L919" s="119" t="s">
        <v>26</v>
      </c>
      <c r="M919" s="119" t="s">
        <v>26</v>
      </c>
      <c r="N919" s="119" t="s">
        <v>26</v>
      </c>
      <c r="O919" s="118">
        <v>4.9000000000000004</v>
      </c>
      <c r="P919" s="118">
        <v>4.8</v>
      </c>
      <c r="Q919" s="119" t="s">
        <v>26</v>
      </c>
      <c r="R919" s="118">
        <v>1.9</v>
      </c>
      <c r="S919" s="127">
        <v>3.9</v>
      </c>
      <c r="T919" s="121" t="s">
        <v>26</v>
      </c>
      <c r="U919" s="89">
        <v>1597</v>
      </c>
      <c r="V919" s="126" t="s">
        <v>26</v>
      </c>
      <c r="AC919" s="33"/>
      <c r="AD919" s="33"/>
      <c r="AE919" s="33"/>
    </row>
    <row r="920" spans="1:31">
      <c r="A920" s="18" t="s">
        <v>917</v>
      </c>
      <c r="B920" s="8" t="s">
        <v>373</v>
      </c>
      <c r="C920" s="8" t="s">
        <v>22</v>
      </c>
      <c r="D920" s="3" t="s">
        <v>23</v>
      </c>
      <c r="E920" s="25" t="s">
        <v>131</v>
      </c>
      <c r="F920" s="16" t="s">
        <v>776</v>
      </c>
      <c r="G920" s="118">
        <v>13</v>
      </c>
      <c r="H920" s="119" t="s">
        <v>26</v>
      </c>
      <c r="I920" s="118">
        <v>3.3</v>
      </c>
      <c r="J920" s="118">
        <v>3.6</v>
      </c>
      <c r="K920" s="119" t="s">
        <v>26</v>
      </c>
      <c r="L920" s="119" t="s">
        <v>26</v>
      </c>
      <c r="M920" s="119" t="s">
        <v>26</v>
      </c>
      <c r="N920" s="119" t="s">
        <v>26</v>
      </c>
      <c r="O920" s="118">
        <v>2.6</v>
      </c>
      <c r="P920" s="118">
        <v>4.0999999999999996</v>
      </c>
      <c r="Q920" s="119" t="s">
        <v>26</v>
      </c>
      <c r="R920" s="118">
        <v>1.3</v>
      </c>
      <c r="S920" s="127">
        <v>5.0999999999999996</v>
      </c>
      <c r="T920" s="121" t="s">
        <v>26</v>
      </c>
      <c r="U920" s="89">
        <v>2547</v>
      </c>
      <c r="V920" s="89">
        <v>42</v>
      </c>
      <c r="AC920" s="33"/>
      <c r="AD920" s="33"/>
      <c r="AE920" s="33"/>
    </row>
    <row r="921" spans="1:31">
      <c r="A921" s="26" t="s">
        <v>924</v>
      </c>
      <c r="B921" s="8" t="s">
        <v>580</v>
      </c>
      <c r="C921" s="8" t="s">
        <v>22</v>
      </c>
      <c r="D921" s="3" t="s">
        <v>23</v>
      </c>
      <c r="E921" s="23" t="s">
        <v>24</v>
      </c>
      <c r="F921" s="16" t="s">
        <v>761</v>
      </c>
      <c r="G921" s="118">
        <v>235</v>
      </c>
      <c r="H921" s="118">
        <v>8.5</v>
      </c>
      <c r="I921" s="119" t="s">
        <v>26</v>
      </c>
      <c r="J921" s="119" t="s">
        <v>26</v>
      </c>
      <c r="K921" s="119" t="s">
        <v>26</v>
      </c>
      <c r="L921" s="119" t="s">
        <v>26</v>
      </c>
      <c r="M921" s="119" t="s">
        <v>26</v>
      </c>
      <c r="N921" s="119" t="s">
        <v>26</v>
      </c>
      <c r="O921" s="118">
        <v>4.0999999999999996</v>
      </c>
      <c r="P921" s="118">
        <v>0.9</v>
      </c>
      <c r="Q921" s="118">
        <v>2.4</v>
      </c>
      <c r="R921" s="118">
        <v>1.4</v>
      </c>
      <c r="S921" s="127">
        <v>1.2</v>
      </c>
      <c r="T921" s="121" t="s">
        <v>26</v>
      </c>
      <c r="U921" s="89">
        <v>149</v>
      </c>
      <c r="V921" s="89">
        <v>62</v>
      </c>
      <c r="AC921" s="33"/>
      <c r="AD921" s="33"/>
      <c r="AE921" s="33"/>
    </row>
    <row r="922" spans="1:31">
      <c r="A922" s="26" t="s">
        <v>924</v>
      </c>
      <c r="B922" s="8" t="s">
        <v>580</v>
      </c>
      <c r="C922" s="8" t="s">
        <v>22</v>
      </c>
      <c r="D922" s="3" t="s">
        <v>23</v>
      </c>
      <c r="E922" s="23" t="s">
        <v>27</v>
      </c>
      <c r="F922" s="16" t="s">
        <v>438</v>
      </c>
      <c r="G922" s="118">
        <v>110</v>
      </c>
      <c r="H922" s="118">
        <v>12.4</v>
      </c>
      <c r="I922" s="118">
        <v>11.2</v>
      </c>
      <c r="J922" s="118">
        <v>2</v>
      </c>
      <c r="K922" s="119" t="s">
        <v>26</v>
      </c>
      <c r="L922" s="119" t="s">
        <v>26</v>
      </c>
      <c r="M922" s="119" t="s">
        <v>26</v>
      </c>
      <c r="N922" s="119" t="s">
        <v>26</v>
      </c>
      <c r="O922" s="118">
        <v>6.5</v>
      </c>
      <c r="P922" s="118">
        <v>2.1</v>
      </c>
      <c r="Q922" s="119" t="s">
        <v>26</v>
      </c>
      <c r="R922" s="118">
        <v>1.5</v>
      </c>
      <c r="S922" s="127">
        <v>0.9</v>
      </c>
      <c r="T922" s="121" t="s">
        <v>26</v>
      </c>
      <c r="U922" s="89">
        <v>566</v>
      </c>
      <c r="V922" s="89">
        <v>49</v>
      </c>
      <c r="AC922" s="33"/>
      <c r="AD922" s="33"/>
      <c r="AE922" s="33"/>
    </row>
    <row r="923" spans="1:31">
      <c r="A923" s="26" t="s">
        <v>924</v>
      </c>
      <c r="B923" s="8" t="s">
        <v>580</v>
      </c>
      <c r="C923" s="8" t="s">
        <v>22</v>
      </c>
      <c r="D923" s="3" t="s">
        <v>23</v>
      </c>
      <c r="E923" s="23" t="s">
        <v>29</v>
      </c>
      <c r="F923" s="16" t="s">
        <v>925</v>
      </c>
      <c r="G923" s="118">
        <v>52</v>
      </c>
      <c r="H923" s="118">
        <v>8.6</v>
      </c>
      <c r="I923" s="118">
        <v>14.9</v>
      </c>
      <c r="J923" s="118">
        <v>5.2</v>
      </c>
      <c r="K923" s="119" t="s">
        <v>26</v>
      </c>
      <c r="L923" s="119" t="s">
        <v>26</v>
      </c>
      <c r="M923" s="119" t="s">
        <v>26</v>
      </c>
      <c r="N923" s="119" t="s">
        <v>26</v>
      </c>
      <c r="O923" s="118">
        <v>6.7</v>
      </c>
      <c r="P923" s="118">
        <v>2.7</v>
      </c>
      <c r="Q923" s="119" t="s">
        <v>26</v>
      </c>
      <c r="R923" s="118">
        <v>1.8</v>
      </c>
      <c r="S923" s="127">
        <v>3.4</v>
      </c>
      <c r="T923" s="121" t="s">
        <v>26</v>
      </c>
      <c r="U923" s="89">
        <v>1642</v>
      </c>
      <c r="V923" s="89">
        <v>90</v>
      </c>
      <c r="AC923" s="33"/>
      <c r="AD923" s="33"/>
      <c r="AE923" s="33"/>
    </row>
    <row r="924" spans="1:31">
      <c r="A924" s="26" t="s">
        <v>924</v>
      </c>
      <c r="B924" s="8" t="s">
        <v>580</v>
      </c>
      <c r="C924" s="8" t="s">
        <v>22</v>
      </c>
      <c r="D924" s="3" t="s">
        <v>23</v>
      </c>
      <c r="E924" s="23" t="s">
        <v>31</v>
      </c>
      <c r="F924" s="16" t="s">
        <v>926</v>
      </c>
      <c r="G924" s="118">
        <v>22</v>
      </c>
      <c r="H924" s="119" t="s">
        <v>26</v>
      </c>
      <c r="I924" s="118">
        <v>4.9000000000000004</v>
      </c>
      <c r="J924" s="118">
        <v>9</v>
      </c>
      <c r="K924" s="119" t="s">
        <v>26</v>
      </c>
      <c r="L924" s="119" t="s">
        <v>26</v>
      </c>
      <c r="M924" s="119" t="s">
        <v>26</v>
      </c>
      <c r="N924" s="119" t="s">
        <v>26</v>
      </c>
      <c r="O924" s="118">
        <v>6.1</v>
      </c>
      <c r="P924" s="118">
        <v>3.1</v>
      </c>
      <c r="Q924" s="119" t="s">
        <v>26</v>
      </c>
      <c r="R924" s="118">
        <v>1.2</v>
      </c>
      <c r="S924" s="127">
        <v>5.2</v>
      </c>
      <c r="T924" s="121" t="s">
        <v>26</v>
      </c>
      <c r="U924" s="89">
        <v>978</v>
      </c>
      <c r="V924" s="89">
        <v>20</v>
      </c>
      <c r="AC924" s="33"/>
      <c r="AD924" s="33"/>
      <c r="AE924" s="33"/>
    </row>
    <row r="925" spans="1:31">
      <c r="A925" s="26" t="s">
        <v>924</v>
      </c>
      <c r="B925" s="8" t="s">
        <v>580</v>
      </c>
      <c r="C925" s="8" t="s">
        <v>22</v>
      </c>
      <c r="D925" s="3" t="s">
        <v>23</v>
      </c>
      <c r="E925" s="25" t="s">
        <v>131</v>
      </c>
      <c r="F925" s="16" t="s">
        <v>927</v>
      </c>
      <c r="G925" s="118">
        <v>11</v>
      </c>
      <c r="H925" s="118">
        <v>19.8</v>
      </c>
      <c r="I925" s="118">
        <v>6.5</v>
      </c>
      <c r="J925" s="119" t="s">
        <v>26</v>
      </c>
      <c r="K925" s="119" t="s">
        <v>26</v>
      </c>
      <c r="L925" s="119" t="s">
        <v>26</v>
      </c>
      <c r="M925" s="119" t="s">
        <v>26</v>
      </c>
      <c r="N925" s="119" t="s">
        <v>26</v>
      </c>
      <c r="O925" s="118">
        <v>4.8</v>
      </c>
      <c r="P925" s="118">
        <v>4.0999999999999996</v>
      </c>
      <c r="Q925" s="119" t="s">
        <v>26</v>
      </c>
      <c r="R925" s="119" t="s">
        <v>26</v>
      </c>
      <c r="S925" s="127">
        <v>3.7</v>
      </c>
      <c r="T925" s="121" t="s">
        <v>26</v>
      </c>
      <c r="U925" s="123" t="s">
        <v>26</v>
      </c>
      <c r="V925" s="89">
        <v>20</v>
      </c>
      <c r="AC925" s="33"/>
      <c r="AD925" s="33"/>
      <c r="AE925" s="33"/>
    </row>
    <row r="926" spans="1:31">
      <c r="A926" s="26" t="s">
        <v>928</v>
      </c>
      <c r="B926" s="8" t="s">
        <v>83</v>
      </c>
      <c r="C926" s="8" t="s">
        <v>22</v>
      </c>
      <c r="D926" s="8" t="s">
        <v>730</v>
      </c>
      <c r="E926" s="23" t="s">
        <v>27</v>
      </c>
      <c r="F926" s="16" t="s">
        <v>929</v>
      </c>
      <c r="G926" s="118">
        <v>164</v>
      </c>
      <c r="H926" s="118">
        <v>11.2</v>
      </c>
      <c r="I926" s="118">
        <v>27.4</v>
      </c>
      <c r="J926" s="119" t="s">
        <v>26</v>
      </c>
      <c r="K926" s="119" t="s">
        <v>26</v>
      </c>
      <c r="L926" s="119" t="s">
        <v>26</v>
      </c>
      <c r="M926" s="119" t="s">
        <v>26</v>
      </c>
      <c r="N926" s="119" t="s">
        <v>26</v>
      </c>
      <c r="O926" s="118">
        <v>3.2</v>
      </c>
      <c r="P926" s="118">
        <v>2.5</v>
      </c>
      <c r="Q926" s="118">
        <v>4.4000000000000004</v>
      </c>
      <c r="R926" s="118">
        <v>1.6</v>
      </c>
      <c r="S926" s="127">
        <v>1.7</v>
      </c>
      <c r="T926" s="121" t="s">
        <v>26</v>
      </c>
      <c r="U926" s="89">
        <v>1185</v>
      </c>
      <c r="V926" s="126" t="s">
        <v>26</v>
      </c>
      <c r="AC926" s="33"/>
      <c r="AD926" s="33"/>
      <c r="AE926" s="33"/>
    </row>
    <row r="927" spans="1:31">
      <c r="A927" s="26" t="s">
        <v>928</v>
      </c>
      <c r="B927" s="8" t="s">
        <v>83</v>
      </c>
      <c r="C927" s="8" t="s">
        <v>22</v>
      </c>
      <c r="D927" s="8" t="s">
        <v>730</v>
      </c>
      <c r="E927" s="23" t="s">
        <v>29</v>
      </c>
      <c r="F927" s="16" t="s">
        <v>930</v>
      </c>
      <c r="G927" s="118">
        <v>60</v>
      </c>
      <c r="H927" s="118">
        <v>3.5</v>
      </c>
      <c r="I927" s="118">
        <v>32.4</v>
      </c>
      <c r="J927" s="118">
        <v>4.0999999999999996</v>
      </c>
      <c r="K927" s="119" t="s">
        <v>26</v>
      </c>
      <c r="L927" s="119" t="s">
        <v>26</v>
      </c>
      <c r="M927" s="119" t="s">
        <v>26</v>
      </c>
      <c r="N927" s="119" t="s">
        <v>26</v>
      </c>
      <c r="O927" s="118">
        <v>5.5</v>
      </c>
      <c r="P927" s="118">
        <v>3.9</v>
      </c>
      <c r="Q927" s="118">
        <v>4.8</v>
      </c>
      <c r="R927" s="118">
        <v>1.6</v>
      </c>
      <c r="S927" s="127">
        <v>4.2</v>
      </c>
      <c r="T927" s="121" t="s">
        <v>26</v>
      </c>
      <c r="U927" s="133">
        <v>3130</v>
      </c>
      <c r="V927" s="126" t="s">
        <v>26</v>
      </c>
      <c r="AC927" s="33"/>
      <c r="AD927" s="33"/>
      <c r="AE927" s="33"/>
    </row>
    <row r="928" spans="1:31">
      <c r="A928" s="26" t="s">
        <v>928</v>
      </c>
      <c r="B928" s="8" t="s">
        <v>83</v>
      </c>
      <c r="C928" s="8" t="s">
        <v>22</v>
      </c>
      <c r="D928" s="8" t="s">
        <v>730</v>
      </c>
      <c r="E928" s="23" t="s">
        <v>31</v>
      </c>
      <c r="F928" s="16" t="s">
        <v>88</v>
      </c>
      <c r="G928" s="118">
        <v>24</v>
      </c>
      <c r="H928" s="119" t="s">
        <v>26</v>
      </c>
      <c r="I928" s="118">
        <v>15.3</v>
      </c>
      <c r="J928" s="118">
        <v>16.600000000000001</v>
      </c>
      <c r="K928" s="119" t="s">
        <v>26</v>
      </c>
      <c r="L928" s="119" t="s">
        <v>26</v>
      </c>
      <c r="M928" s="119" t="s">
        <v>26</v>
      </c>
      <c r="N928" s="119" t="s">
        <v>26</v>
      </c>
      <c r="O928" s="118">
        <v>4.2</v>
      </c>
      <c r="P928" s="118">
        <v>2.9</v>
      </c>
      <c r="Q928" s="119" t="s">
        <v>26</v>
      </c>
      <c r="R928" s="118">
        <v>1.8</v>
      </c>
      <c r="S928" s="127">
        <v>3.5</v>
      </c>
      <c r="T928" s="121" t="s">
        <v>26</v>
      </c>
      <c r="U928" s="133">
        <v>729</v>
      </c>
      <c r="V928" s="126" t="s">
        <v>26</v>
      </c>
      <c r="AC928" s="33"/>
      <c r="AD928" s="33"/>
      <c r="AE928" s="33"/>
    </row>
    <row r="929" spans="1:31">
      <c r="A929" s="26" t="s">
        <v>928</v>
      </c>
      <c r="B929" s="8" t="s">
        <v>676</v>
      </c>
      <c r="C929" s="8" t="s">
        <v>22</v>
      </c>
      <c r="D929" s="3" t="s">
        <v>23</v>
      </c>
      <c r="E929" s="23" t="s">
        <v>24</v>
      </c>
      <c r="F929" s="16" t="s">
        <v>931</v>
      </c>
      <c r="G929" s="118">
        <v>255</v>
      </c>
      <c r="H929" s="118">
        <v>25.4</v>
      </c>
      <c r="I929" s="119" t="s">
        <v>26</v>
      </c>
      <c r="J929" s="119" t="s">
        <v>26</v>
      </c>
      <c r="K929" s="119" t="s">
        <v>26</v>
      </c>
      <c r="L929" s="119" t="s">
        <v>26</v>
      </c>
      <c r="M929" s="119" t="s">
        <v>26</v>
      </c>
      <c r="N929" s="119" t="s">
        <v>26</v>
      </c>
      <c r="O929" s="118">
        <v>5.2</v>
      </c>
      <c r="P929" s="118">
        <v>1.9</v>
      </c>
      <c r="Q929" s="118">
        <v>6.2</v>
      </c>
      <c r="R929" s="118">
        <v>1.4</v>
      </c>
      <c r="S929" s="127">
        <v>2.2000000000000002</v>
      </c>
      <c r="T929" s="121" t="s">
        <v>26</v>
      </c>
      <c r="U929" s="89">
        <v>141</v>
      </c>
      <c r="V929" s="89">
        <v>80</v>
      </c>
      <c r="AC929" s="33"/>
      <c r="AD929" s="33"/>
      <c r="AE929" s="33"/>
    </row>
    <row r="930" spans="1:31">
      <c r="A930" s="26" t="s">
        <v>928</v>
      </c>
      <c r="B930" s="8" t="s">
        <v>676</v>
      </c>
      <c r="C930" s="8" t="s">
        <v>22</v>
      </c>
      <c r="D930" s="3" t="s">
        <v>23</v>
      </c>
      <c r="E930" s="23" t="s">
        <v>27</v>
      </c>
      <c r="F930" s="16" t="s">
        <v>932</v>
      </c>
      <c r="G930" s="118">
        <v>135</v>
      </c>
      <c r="H930" s="118">
        <v>20.6</v>
      </c>
      <c r="I930" s="118">
        <v>22.9</v>
      </c>
      <c r="J930" s="118">
        <v>0.8</v>
      </c>
      <c r="K930" s="119" t="s">
        <v>26</v>
      </c>
      <c r="L930" s="119" t="s">
        <v>26</v>
      </c>
      <c r="M930" s="118">
        <v>1.2</v>
      </c>
      <c r="N930" s="119" t="s">
        <v>26</v>
      </c>
      <c r="O930" s="118">
        <v>7.2</v>
      </c>
      <c r="P930" s="118">
        <v>2.9</v>
      </c>
      <c r="Q930" s="118">
        <v>5.2</v>
      </c>
      <c r="R930" s="118">
        <v>1.9</v>
      </c>
      <c r="S930" s="127">
        <v>2.2000000000000002</v>
      </c>
      <c r="T930" s="121" t="s">
        <v>26</v>
      </c>
      <c r="U930" s="89">
        <v>36</v>
      </c>
      <c r="V930" s="89">
        <v>124</v>
      </c>
      <c r="AC930" s="33"/>
      <c r="AD930" s="33"/>
      <c r="AE930" s="33"/>
    </row>
    <row r="931" spans="1:31">
      <c r="A931" s="26" t="s">
        <v>928</v>
      </c>
      <c r="B931" s="8" t="s">
        <v>676</v>
      </c>
      <c r="C931" s="8" t="s">
        <v>22</v>
      </c>
      <c r="D931" s="3" t="s">
        <v>23</v>
      </c>
      <c r="E931" s="23" t="s">
        <v>29</v>
      </c>
      <c r="F931" s="16" t="s">
        <v>933</v>
      </c>
      <c r="G931" s="118">
        <v>45</v>
      </c>
      <c r="H931" s="118">
        <v>7.6</v>
      </c>
      <c r="I931" s="118">
        <v>13.7</v>
      </c>
      <c r="J931" s="118">
        <v>4.5999999999999996</v>
      </c>
      <c r="K931" s="119" t="s">
        <v>26</v>
      </c>
      <c r="L931" s="119" t="s">
        <v>26</v>
      </c>
      <c r="M931" s="119" t="s">
        <v>26</v>
      </c>
      <c r="N931" s="119" t="s">
        <v>26</v>
      </c>
      <c r="O931" s="118">
        <v>5.8</v>
      </c>
      <c r="P931" s="118">
        <v>2.7</v>
      </c>
      <c r="Q931" s="119" t="s">
        <v>26</v>
      </c>
      <c r="R931" s="118">
        <v>1.4</v>
      </c>
      <c r="S931" s="127">
        <v>3.1</v>
      </c>
      <c r="T931" s="121" t="s">
        <v>26</v>
      </c>
      <c r="U931" s="89">
        <v>931</v>
      </c>
      <c r="V931" s="89">
        <v>133</v>
      </c>
      <c r="AC931" s="33"/>
      <c r="AD931" s="33"/>
      <c r="AE931" s="33"/>
    </row>
    <row r="932" spans="1:31">
      <c r="A932" s="26" t="s">
        <v>928</v>
      </c>
      <c r="B932" s="8" t="s">
        <v>676</v>
      </c>
      <c r="C932" s="8" t="s">
        <v>22</v>
      </c>
      <c r="D932" s="3" t="s">
        <v>23</v>
      </c>
      <c r="E932" s="23" t="s">
        <v>31</v>
      </c>
      <c r="F932" s="16" t="s">
        <v>934</v>
      </c>
      <c r="G932" s="118">
        <v>21</v>
      </c>
      <c r="H932" s="119" t="s">
        <v>26</v>
      </c>
      <c r="I932" s="118">
        <v>14.9</v>
      </c>
      <c r="J932" s="118">
        <v>6.5</v>
      </c>
      <c r="K932" s="119" t="s">
        <v>26</v>
      </c>
      <c r="L932" s="119" t="s">
        <v>26</v>
      </c>
      <c r="M932" s="119" t="s">
        <v>26</v>
      </c>
      <c r="N932" s="119" t="s">
        <v>26</v>
      </c>
      <c r="O932" s="118">
        <v>5.2</v>
      </c>
      <c r="P932" s="118">
        <v>3.1</v>
      </c>
      <c r="Q932" s="119" t="s">
        <v>26</v>
      </c>
      <c r="R932" s="118">
        <v>1.8</v>
      </c>
      <c r="S932" s="127">
        <v>3.6</v>
      </c>
      <c r="T932" s="121" t="s">
        <v>26</v>
      </c>
      <c r="U932" s="89">
        <v>751</v>
      </c>
      <c r="V932" s="89">
        <v>12</v>
      </c>
      <c r="AC932" s="33"/>
      <c r="AD932" s="33"/>
      <c r="AE932" s="33"/>
    </row>
    <row r="933" spans="1:31">
      <c r="A933" s="26" t="s">
        <v>928</v>
      </c>
      <c r="B933" s="8" t="s">
        <v>676</v>
      </c>
      <c r="C933" s="8" t="s">
        <v>22</v>
      </c>
      <c r="D933" s="3" t="s">
        <v>23</v>
      </c>
      <c r="E933" s="25" t="s">
        <v>131</v>
      </c>
      <c r="F933" s="16" t="s">
        <v>935</v>
      </c>
      <c r="G933" s="118">
        <v>12</v>
      </c>
      <c r="H933" s="118">
        <v>12.9</v>
      </c>
      <c r="I933" s="118">
        <v>2.2999999999999998</v>
      </c>
      <c r="J933" s="118">
        <v>1</v>
      </c>
      <c r="K933" s="119" t="s">
        <v>26</v>
      </c>
      <c r="L933" s="118">
        <v>2.2000000000000002</v>
      </c>
      <c r="M933" s="119" t="s">
        <v>26</v>
      </c>
      <c r="N933" s="119" t="s">
        <v>26</v>
      </c>
      <c r="O933" s="118">
        <v>5.2</v>
      </c>
      <c r="P933" s="118">
        <v>3.1</v>
      </c>
      <c r="Q933" s="119" t="s">
        <v>26</v>
      </c>
      <c r="R933" s="118">
        <v>1.2</v>
      </c>
      <c r="S933" s="127">
        <v>5.0999999999999996</v>
      </c>
      <c r="T933" s="121" t="s">
        <v>26</v>
      </c>
      <c r="U933" s="123" t="s">
        <v>26</v>
      </c>
      <c r="V933" s="89">
        <v>15</v>
      </c>
      <c r="AC933" s="33"/>
      <c r="AD933" s="33"/>
      <c r="AE933" s="33"/>
    </row>
    <row r="934" spans="1:31">
      <c r="A934" s="27" t="s">
        <v>936</v>
      </c>
      <c r="B934" s="8" t="s">
        <v>344</v>
      </c>
      <c r="C934" s="8" t="s">
        <v>22</v>
      </c>
      <c r="D934" s="8" t="s">
        <v>730</v>
      </c>
      <c r="E934" s="23" t="s">
        <v>27</v>
      </c>
      <c r="F934" s="16" t="s">
        <v>937</v>
      </c>
      <c r="G934" s="118">
        <v>158</v>
      </c>
      <c r="H934" s="118">
        <v>15.8</v>
      </c>
      <c r="I934" s="118">
        <v>31.5</v>
      </c>
      <c r="J934" s="119" t="s">
        <v>26</v>
      </c>
      <c r="K934" s="119" t="s">
        <v>26</v>
      </c>
      <c r="L934" s="119" t="s">
        <v>26</v>
      </c>
      <c r="M934" s="118">
        <v>1.2</v>
      </c>
      <c r="N934" s="119" t="s">
        <v>26</v>
      </c>
      <c r="O934" s="118">
        <v>4.9000000000000004</v>
      </c>
      <c r="P934" s="118">
        <v>11.5</v>
      </c>
      <c r="Q934" s="118">
        <v>12.4</v>
      </c>
      <c r="R934" s="119" t="s">
        <v>26</v>
      </c>
      <c r="S934" s="127">
        <v>2.2000000000000002</v>
      </c>
      <c r="T934" s="121" t="s">
        <v>26</v>
      </c>
      <c r="U934" s="89">
        <v>684</v>
      </c>
      <c r="V934" s="126" t="s">
        <v>26</v>
      </c>
      <c r="AC934" s="33"/>
      <c r="AD934" s="33"/>
      <c r="AE934" s="33"/>
    </row>
    <row r="935" spans="1:31">
      <c r="A935" s="27" t="s">
        <v>936</v>
      </c>
      <c r="B935" s="8" t="s">
        <v>344</v>
      </c>
      <c r="C935" s="8" t="s">
        <v>22</v>
      </c>
      <c r="D935" s="8" t="s">
        <v>730</v>
      </c>
      <c r="E935" s="23" t="s">
        <v>29</v>
      </c>
      <c r="F935" s="16" t="s">
        <v>938</v>
      </c>
      <c r="G935" s="118">
        <v>61</v>
      </c>
      <c r="H935" s="118">
        <v>3.8</v>
      </c>
      <c r="I935" s="118">
        <v>35.200000000000003</v>
      </c>
      <c r="J935" s="118">
        <v>0.7</v>
      </c>
      <c r="K935" s="119" t="s">
        <v>26</v>
      </c>
      <c r="L935" s="119" t="s">
        <v>26</v>
      </c>
      <c r="M935" s="118">
        <v>2</v>
      </c>
      <c r="N935" s="119" t="s">
        <v>26</v>
      </c>
      <c r="O935" s="118">
        <v>6.8</v>
      </c>
      <c r="P935" s="118">
        <v>18.399999999999999</v>
      </c>
      <c r="Q935" s="119" t="s">
        <v>26</v>
      </c>
      <c r="R935" s="119" t="s">
        <v>26</v>
      </c>
      <c r="S935" s="127">
        <v>5.2</v>
      </c>
      <c r="T935" s="121" t="s">
        <v>26</v>
      </c>
      <c r="U935" s="89">
        <v>540</v>
      </c>
      <c r="V935" s="126" t="s">
        <v>26</v>
      </c>
      <c r="AC935" s="33"/>
      <c r="AD935" s="33"/>
      <c r="AE935" s="33"/>
    </row>
    <row r="936" spans="1:31">
      <c r="A936" s="27" t="s">
        <v>936</v>
      </c>
      <c r="B936" s="8" t="s">
        <v>344</v>
      </c>
      <c r="C936" s="8" t="s">
        <v>22</v>
      </c>
      <c r="D936" s="8" t="s">
        <v>730</v>
      </c>
      <c r="E936" s="23" t="s">
        <v>31</v>
      </c>
      <c r="F936" s="16" t="s">
        <v>590</v>
      </c>
      <c r="G936" s="118">
        <v>25</v>
      </c>
      <c r="H936" s="119" t="s">
        <v>26</v>
      </c>
      <c r="I936" s="118">
        <v>16.8</v>
      </c>
      <c r="J936" s="118">
        <v>8.8000000000000007</v>
      </c>
      <c r="K936" s="119" t="s">
        <v>26</v>
      </c>
      <c r="L936" s="119" t="s">
        <v>26</v>
      </c>
      <c r="M936" s="119" t="s">
        <v>26</v>
      </c>
      <c r="N936" s="119" t="s">
        <v>26</v>
      </c>
      <c r="O936" s="118">
        <v>5.4</v>
      </c>
      <c r="P936" s="118">
        <v>21.5</v>
      </c>
      <c r="Q936" s="119" t="s">
        <v>26</v>
      </c>
      <c r="R936" s="119" t="s">
        <v>26</v>
      </c>
      <c r="S936" s="127">
        <v>10.8</v>
      </c>
      <c r="T936" s="121" t="s">
        <v>26</v>
      </c>
      <c r="U936" s="89">
        <v>830</v>
      </c>
      <c r="V936" s="126" t="s">
        <v>26</v>
      </c>
      <c r="AC936" s="33"/>
      <c r="AD936" s="33"/>
      <c r="AE936" s="33"/>
    </row>
    <row r="937" spans="1:31">
      <c r="A937" s="27" t="s">
        <v>936</v>
      </c>
      <c r="B937" s="8" t="s">
        <v>119</v>
      </c>
      <c r="C937" s="8" t="s">
        <v>22</v>
      </c>
      <c r="D937" s="8" t="s">
        <v>730</v>
      </c>
      <c r="E937" s="23" t="s">
        <v>27</v>
      </c>
      <c r="F937" s="16" t="s">
        <v>939</v>
      </c>
      <c r="G937" s="118">
        <v>172</v>
      </c>
      <c r="H937" s="118">
        <v>17.5</v>
      </c>
      <c r="I937" s="118">
        <v>41.4</v>
      </c>
      <c r="J937" s="119" t="s">
        <v>26</v>
      </c>
      <c r="K937" s="119" t="s">
        <v>26</v>
      </c>
      <c r="L937" s="119" t="s">
        <v>26</v>
      </c>
      <c r="M937" s="118">
        <v>1.8</v>
      </c>
      <c r="N937" s="119" t="s">
        <v>26</v>
      </c>
      <c r="O937" s="118">
        <v>7.8</v>
      </c>
      <c r="P937" s="118">
        <v>18.600000000000001</v>
      </c>
      <c r="Q937" s="118">
        <v>10.8</v>
      </c>
      <c r="R937" s="119" t="s">
        <v>26</v>
      </c>
      <c r="S937" s="127">
        <v>3</v>
      </c>
      <c r="T937" s="121" t="s">
        <v>26</v>
      </c>
      <c r="U937" s="89">
        <v>540</v>
      </c>
      <c r="V937" s="126" t="s">
        <v>26</v>
      </c>
      <c r="AC937" s="33"/>
      <c r="AD937" s="33"/>
      <c r="AE937" s="33"/>
    </row>
    <row r="938" spans="1:31">
      <c r="A938" s="27" t="s">
        <v>936</v>
      </c>
      <c r="B938" s="8" t="s">
        <v>119</v>
      </c>
      <c r="C938" s="8" t="s">
        <v>22</v>
      </c>
      <c r="D938" s="8" t="s">
        <v>730</v>
      </c>
      <c r="E938" s="23" t="s">
        <v>29</v>
      </c>
      <c r="F938" s="16" t="s">
        <v>940</v>
      </c>
      <c r="G938" s="118">
        <v>63</v>
      </c>
      <c r="H938" s="118">
        <v>5.2</v>
      </c>
      <c r="I938" s="118">
        <v>32.799999999999997</v>
      </c>
      <c r="J938" s="118">
        <v>0.9</v>
      </c>
      <c r="K938" s="119" t="s">
        <v>26</v>
      </c>
      <c r="L938" s="119" t="s">
        <v>26</v>
      </c>
      <c r="M938" s="118">
        <v>2.1</v>
      </c>
      <c r="N938" s="119" t="s">
        <v>26</v>
      </c>
      <c r="O938" s="118">
        <v>16.5</v>
      </c>
      <c r="P938" s="118">
        <v>22.6</v>
      </c>
      <c r="Q938" s="119" t="s">
        <v>26</v>
      </c>
      <c r="R938" s="119" t="s">
        <v>26</v>
      </c>
      <c r="S938" s="127">
        <v>4.8</v>
      </c>
      <c r="T938" s="121" t="s">
        <v>26</v>
      </c>
      <c r="U938" s="89">
        <v>400</v>
      </c>
      <c r="V938" s="126" t="s">
        <v>26</v>
      </c>
      <c r="AC938" s="33"/>
      <c r="AD938" s="33"/>
      <c r="AE938" s="33"/>
    </row>
    <row r="939" spans="1:31">
      <c r="A939" s="27" t="s">
        <v>936</v>
      </c>
      <c r="B939" s="8" t="s">
        <v>119</v>
      </c>
      <c r="C939" s="8" t="s">
        <v>22</v>
      </c>
      <c r="D939" s="8" t="s">
        <v>730</v>
      </c>
      <c r="E939" s="23" t="s">
        <v>31</v>
      </c>
      <c r="F939" s="16" t="s">
        <v>941</v>
      </c>
      <c r="G939" s="118">
        <v>24</v>
      </c>
      <c r="H939" s="119" t="s">
        <v>26</v>
      </c>
      <c r="I939" s="118">
        <v>20.6</v>
      </c>
      <c r="J939" s="118">
        <v>11.5</v>
      </c>
      <c r="K939" s="119" t="s">
        <v>26</v>
      </c>
      <c r="L939" s="119" t="s">
        <v>26</v>
      </c>
      <c r="M939" s="119" t="s">
        <v>26</v>
      </c>
      <c r="N939" s="119" t="s">
        <v>26</v>
      </c>
      <c r="O939" s="118">
        <v>11.2</v>
      </c>
      <c r="P939" s="118">
        <v>25.4</v>
      </c>
      <c r="Q939" s="119" t="s">
        <v>26</v>
      </c>
      <c r="R939" s="119" t="s">
        <v>26</v>
      </c>
      <c r="S939" s="127">
        <v>6.2</v>
      </c>
      <c r="T939" s="121" t="s">
        <v>26</v>
      </c>
      <c r="U939" s="123" t="s">
        <v>26</v>
      </c>
      <c r="V939" s="126" t="s">
        <v>26</v>
      </c>
      <c r="AC939" s="33"/>
      <c r="AD939" s="33"/>
      <c r="AE939" s="33"/>
    </row>
    <row r="940" spans="1:31">
      <c r="A940" s="27" t="s">
        <v>936</v>
      </c>
      <c r="B940" s="8" t="s">
        <v>63</v>
      </c>
      <c r="C940" s="8" t="s">
        <v>22</v>
      </c>
      <c r="D940" s="3" t="s">
        <v>23</v>
      </c>
      <c r="E940" s="23" t="s">
        <v>24</v>
      </c>
      <c r="F940" s="16" t="s">
        <v>942</v>
      </c>
      <c r="G940" s="118">
        <v>252</v>
      </c>
      <c r="H940" s="118">
        <v>7.8</v>
      </c>
      <c r="I940" s="119" t="s">
        <v>26</v>
      </c>
      <c r="J940" s="119" t="s">
        <v>26</v>
      </c>
      <c r="K940" s="119" t="s">
        <v>26</v>
      </c>
      <c r="L940" s="119" t="s">
        <v>26</v>
      </c>
      <c r="M940" s="119" t="s">
        <v>26</v>
      </c>
      <c r="N940" s="119" t="s">
        <v>26</v>
      </c>
      <c r="O940" s="118">
        <v>6.8</v>
      </c>
      <c r="P940" s="118">
        <v>4</v>
      </c>
      <c r="Q940" s="119" t="s">
        <v>26</v>
      </c>
      <c r="R940" s="119" t="s">
        <v>26</v>
      </c>
      <c r="S940" s="127">
        <v>2.1</v>
      </c>
      <c r="T940" s="121" t="s">
        <v>26</v>
      </c>
      <c r="U940" s="133">
        <v>518</v>
      </c>
      <c r="V940" s="89">
        <v>35</v>
      </c>
      <c r="AC940" s="33"/>
      <c r="AD940" s="33"/>
      <c r="AE940" s="33"/>
    </row>
    <row r="941" spans="1:31">
      <c r="A941" s="27" t="s">
        <v>936</v>
      </c>
      <c r="B941" s="8" t="s">
        <v>63</v>
      </c>
      <c r="C941" s="8" t="s">
        <v>22</v>
      </c>
      <c r="D941" s="3" t="s">
        <v>23</v>
      </c>
      <c r="E941" s="23" t="s">
        <v>27</v>
      </c>
      <c r="F941" s="16" t="s">
        <v>943</v>
      </c>
      <c r="G941" s="118">
        <v>118</v>
      </c>
      <c r="H941" s="118">
        <v>28.5</v>
      </c>
      <c r="I941" s="118">
        <v>18.399999999999999</v>
      </c>
      <c r="J941" s="118">
        <v>4.8</v>
      </c>
      <c r="K941" s="119" t="s">
        <v>26</v>
      </c>
      <c r="L941" s="119" t="s">
        <v>26</v>
      </c>
      <c r="M941" s="119" t="s">
        <v>26</v>
      </c>
      <c r="N941" s="119" t="s">
        <v>26</v>
      </c>
      <c r="O941" s="118">
        <v>6.9</v>
      </c>
      <c r="P941" s="118">
        <v>5.2</v>
      </c>
      <c r="Q941" s="119" t="s">
        <v>26</v>
      </c>
      <c r="R941" s="119" t="s">
        <v>26</v>
      </c>
      <c r="S941" s="127">
        <v>3</v>
      </c>
      <c r="T941" s="121" t="s">
        <v>26</v>
      </c>
      <c r="U941" s="89">
        <v>351</v>
      </c>
      <c r="V941" s="89">
        <v>25</v>
      </c>
      <c r="AC941" s="33"/>
      <c r="AD941" s="33"/>
      <c r="AE941" s="33"/>
    </row>
    <row r="942" spans="1:31">
      <c r="A942" s="27" t="s">
        <v>936</v>
      </c>
      <c r="B942" s="8" t="s">
        <v>63</v>
      </c>
      <c r="C942" s="8" t="s">
        <v>22</v>
      </c>
      <c r="D942" s="3" t="s">
        <v>23</v>
      </c>
      <c r="E942" s="23" t="s">
        <v>29</v>
      </c>
      <c r="F942" s="16" t="s">
        <v>944</v>
      </c>
      <c r="G942" s="118">
        <v>52</v>
      </c>
      <c r="H942" s="118">
        <v>4.8</v>
      </c>
      <c r="I942" s="118">
        <v>24.5</v>
      </c>
      <c r="J942" s="118">
        <v>8.1999999999999993</v>
      </c>
      <c r="K942" s="119" t="s">
        <v>26</v>
      </c>
      <c r="L942" s="119" t="s">
        <v>26</v>
      </c>
      <c r="M942" s="119" t="s">
        <v>26</v>
      </c>
      <c r="N942" s="119" t="s">
        <v>26</v>
      </c>
      <c r="O942" s="118">
        <v>11.5</v>
      </c>
      <c r="P942" s="118">
        <v>8.4</v>
      </c>
      <c r="Q942" s="119" t="s">
        <v>26</v>
      </c>
      <c r="R942" s="119" t="s">
        <v>26</v>
      </c>
      <c r="S942" s="127">
        <v>4.0999999999999996</v>
      </c>
      <c r="T942" s="121" t="s">
        <v>26</v>
      </c>
      <c r="U942" s="89">
        <v>1275</v>
      </c>
      <c r="V942" s="89">
        <v>41</v>
      </c>
      <c r="AC942" s="33"/>
      <c r="AD942" s="33"/>
      <c r="AE942" s="33"/>
    </row>
    <row r="943" spans="1:31">
      <c r="A943" s="27" t="s">
        <v>936</v>
      </c>
      <c r="B943" s="8" t="s">
        <v>63</v>
      </c>
      <c r="C943" s="8" t="s">
        <v>22</v>
      </c>
      <c r="D943" s="3" t="s">
        <v>23</v>
      </c>
      <c r="E943" s="23" t="s">
        <v>31</v>
      </c>
      <c r="F943" s="16" t="s">
        <v>945</v>
      </c>
      <c r="G943" s="118">
        <v>18</v>
      </c>
      <c r="H943" s="119" t="s">
        <v>26</v>
      </c>
      <c r="I943" s="118">
        <v>12.8</v>
      </c>
      <c r="J943" s="118">
        <v>21.8</v>
      </c>
      <c r="K943" s="119" t="s">
        <v>26</v>
      </c>
      <c r="L943" s="119" t="s">
        <v>26</v>
      </c>
      <c r="M943" s="119" t="s">
        <v>26</v>
      </c>
      <c r="N943" s="119" t="s">
        <v>26</v>
      </c>
      <c r="O943" s="118">
        <v>14.2</v>
      </c>
      <c r="P943" s="118">
        <v>11.5</v>
      </c>
      <c r="Q943" s="119" t="s">
        <v>26</v>
      </c>
      <c r="R943" s="119" t="s">
        <v>26</v>
      </c>
      <c r="S943" s="127">
        <v>6.8</v>
      </c>
      <c r="T943" s="121" t="s">
        <v>26</v>
      </c>
      <c r="U943" s="89">
        <v>2466</v>
      </c>
      <c r="V943" s="89">
        <v>21</v>
      </c>
      <c r="AC943" s="33"/>
      <c r="AD943" s="33"/>
      <c r="AE943" s="33"/>
    </row>
    <row r="944" spans="1:31">
      <c r="A944" s="27" t="s">
        <v>936</v>
      </c>
      <c r="B944" s="8" t="s">
        <v>63</v>
      </c>
      <c r="C944" s="8" t="s">
        <v>22</v>
      </c>
      <c r="D944" s="3" t="s">
        <v>23</v>
      </c>
      <c r="E944" s="25" t="s">
        <v>131</v>
      </c>
      <c r="F944" s="16" t="s">
        <v>648</v>
      </c>
      <c r="G944" s="118">
        <v>12</v>
      </c>
      <c r="H944" s="118">
        <v>15.8</v>
      </c>
      <c r="I944" s="118">
        <v>2.5</v>
      </c>
      <c r="J944" s="118">
        <v>17.399999999999999</v>
      </c>
      <c r="K944" s="119" t="s">
        <v>26</v>
      </c>
      <c r="L944" s="119" t="s">
        <v>26</v>
      </c>
      <c r="M944" s="119" t="s">
        <v>26</v>
      </c>
      <c r="N944" s="119" t="s">
        <v>26</v>
      </c>
      <c r="O944" s="118">
        <v>11.8</v>
      </c>
      <c r="P944" s="118">
        <v>21.5</v>
      </c>
      <c r="Q944" s="119" t="s">
        <v>26</v>
      </c>
      <c r="R944" s="119" t="s">
        <v>26</v>
      </c>
      <c r="S944" s="127">
        <v>18.399999999999999</v>
      </c>
      <c r="T944" s="121" t="s">
        <v>26</v>
      </c>
      <c r="U944" s="89">
        <v>2604</v>
      </c>
      <c r="V944" s="89">
        <v>44</v>
      </c>
      <c r="AC944" s="33"/>
      <c r="AD944" s="33"/>
      <c r="AE944" s="33"/>
    </row>
    <row r="945" spans="1:31">
      <c r="A945" s="27" t="s">
        <v>946</v>
      </c>
      <c r="B945" s="8" t="s">
        <v>606</v>
      </c>
      <c r="C945" s="8" t="s">
        <v>22</v>
      </c>
      <c r="D945" s="8" t="s">
        <v>947</v>
      </c>
      <c r="E945" s="23" t="s">
        <v>24</v>
      </c>
      <c r="F945" s="16" t="s">
        <v>514</v>
      </c>
      <c r="G945" s="118">
        <v>197</v>
      </c>
      <c r="H945" s="118">
        <v>44.8</v>
      </c>
      <c r="I945" s="119" t="s">
        <v>26</v>
      </c>
      <c r="J945" s="119" t="s">
        <v>26</v>
      </c>
      <c r="K945" s="119" t="s">
        <v>26</v>
      </c>
      <c r="L945" s="118">
        <v>4.25</v>
      </c>
      <c r="M945" s="119" t="s">
        <v>26</v>
      </c>
      <c r="N945" s="119" t="s">
        <v>26</v>
      </c>
      <c r="O945" s="118">
        <v>2.4</v>
      </c>
      <c r="P945" s="119" t="s">
        <v>26</v>
      </c>
      <c r="Q945" s="118">
        <v>49.3</v>
      </c>
      <c r="R945" s="119" t="s">
        <v>26</v>
      </c>
      <c r="S945" s="120" t="s">
        <v>26</v>
      </c>
      <c r="T945" s="121" t="s">
        <v>26</v>
      </c>
      <c r="U945" s="130">
        <v>714</v>
      </c>
      <c r="V945" s="89">
        <v>541</v>
      </c>
      <c r="AC945" s="33"/>
      <c r="AD945" s="33"/>
      <c r="AE945" s="33"/>
    </row>
    <row r="946" spans="1:31">
      <c r="A946" s="27" t="s">
        <v>946</v>
      </c>
      <c r="B946" s="8" t="s">
        <v>606</v>
      </c>
      <c r="C946" s="8" t="s">
        <v>22</v>
      </c>
      <c r="D946" s="8" t="s">
        <v>947</v>
      </c>
      <c r="E946" s="23" t="s">
        <v>27</v>
      </c>
      <c r="F946" s="16" t="s">
        <v>529</v>
      </c>
      <c r="G946" s="118">
        <v>105</v>
      </c>
      <c r="H946" s="118">
        <v>39.5</v>
      </c>
      <c r="I946" s="119" t="s">
        <v>26</v>
      </c>
      <c r="J946" s="119" t="s">
        <v>26</v>
      </c>
      <c r="K946" s="119" t="s">
        <v>26</v>
      </c>
      <c r="L946" s="119" t="s">
        <v>26</v>
      </c>
      <c r="M946" s="119" t="s">
        <v>26</v>
      </c>
      <c r="N946" s="119" t="s">
        <v>26</v>
      </c>
      <c r="O946" s="118">
        <v>11.7</v>
      </c>
      <c r="P946" s="119" t="s">
        <v>26</v>
      </c>
      <c r="Q946" s="118">
        <v>35.700000000000003</v>
      </c>
      <c r="R946" s="119" t="s">
        <v>26</v>
      </c>
      <c r="S946" s="120" t="s">
        <v>26</v>
      </c>
      <c r="T946" s="121" t="s">
        <v>26</v>
      </c>
      <c r="U946" s="130">
        <v>725</v>
      </c>
      <c r="V946" s="89">
        <v>245</v>
      </c>
      <c r="AC946" s="33"/>
      <c r="AD946" s="33"/>
      <c r="AE946" s="33"/>
    </row>
    <row r="947" spans="1:31">
      <c r="A947" s="27" t="s">
        <v>946</v>
      </c>
      <c r="B947" s="8" t="s">
        <v>606</v>
      </c>
      <c r="C947" s="8" t="s">
        <v>22</v>
      </c>
      <c r="D947" s="8" t="s">
        <v>947</v>
      </c>
      <c r="E947" s="25" t="s">
        <v>131</v>
      </c>
      <c r="F947" s="16" t="s">
        <v>948</v>
      </c>
      <c r="G947" s="118">
        <v>12</v>
      </c>
      <c r="H947" s="118">
        <v>45.8</v>
      </c>
      <c r="I947" s="118">
        <v>0.5</v>
      </c>
      <c r="J947" s="119" t="s">
        <v>26</v>
      </c>
      <c r="K947" s="119" t="s">
        <v>26</v>
      </c>
      <c r="L947" s="119" t="s">
        <v>26</v>
      </c>
      <c r="M947" s="119" t="s">
        <v>26</v>
      </c>
      <c r="N947" s="119" t="s">
        <v>26</v>
      </c>
      <c r="O947" s="125" t="s">
        <v>26</v>
      </c>
      <c r="P947" s="119" t="s">
        <v>26</v>
      </c>
      <c r="Q947" s="119" t="s">
        <v>26</v>
      </c>
      <c r="R947" s="119" t="s">
        <v>26</v>
      </c>
      <c r="S947" s="120" t="s">
        <v>26</v>
      </c>
      <c r="T947" s="121" t="s">
        <v>26</v>
      </c>
      <c r="U947" s="123" t="s">
        <v>26</v>
      </c>
      <c r="V947" s="89">
        <v>20</v>
      </c>
      <c r="AC947" s="33"/>
      <c r="AD947" s="33"/>
      <c r="AE947" s="33"/>
    </row>
    <row r="948" spans="1:31">
      <c r="A948" s="27" t="s">
        <v>946</v>
      </c>
      <c r="B948" s="8" t="s">
        <v>606</v>
      </c>
      <c r="C948" s="8" t="s">
        <v>22</v>
      </c>
      <c r="D948" s="8" t="s">
        <v>947</v>
      </c>
      <c r="E948" s="23" t="s">
        <v>29</v>
      </c>
      <c r="F948" s="16" t="s">
        <v>726</v>
      </c>
      <c r="G948" s="118">
        <v>45</v>
      </c>
      <c r="H948" s="118">
        <v>20.7</v>
      </c>
      <c r="I948" s="118">
        <v>14.1</v>
      </c>
      <c r="J948" s="118">
        <v>4.4000000000000004</v>
      </c>
      <c r="K948" s="119" t="s">
        <v>26</v>
      </c>
      <c r="L948" s="119" t="s">
        <v>26</v>
      </c>
      <c r="M948" s="119" t="s">
        <v>26</v>
      </c>
      <c r="N948" s="119" t="s">
        <v>26</v>
      </c>
      <c r="O948" s="118">
        <v>8.1</v>
      </c>
      <c r="P948" s="119" t="s">
        <v>26</v>
      </c>
      <c r="Q948" s="118">
        <v>17.600000000000001</v>
      </c>
      <c r="R948" s="119" t="s">
        <v>26</v>
      </c>
      <c r="S948" s="120" t="s">
        <v>26</v>
      </c>
      <c r="T948" s="121" t="s">
        <v>26</v>
      </c>
      <c r="U948" s="130">
        <v>896</v>
      </c>
      <c r="V948" s="89">
        <v>25</v>
      </c>
      <c r="AC948" s="33"/>
      <c r="AD948" s="33"/>
      <c r="AE948" s="33"/>
    </row>
    <row r="949" spans="1:31">
      <c r="A949" s="27" t="s">
        <v>946</v>
      </c>
      <c r="B949" s="8" t="s">
        <v>606</v>
      </c>
      <c r="C949" s="8" t="s">
        <v>22</v>
      </c>
      <c r="D949" s="8" t="s">
        <v>947</v>
      </c>
      <c r="E949" s="23" t="s">
        <v>31</v>
      </c>
      <c r="F949" s="16" t="s">
        <v>949</v>
      </c>
      <c r="G949" s="118">
        <v>18</v>
      </c>
      <c r="H949" s="119" t="s">
        <v>26</v>
      </c>
      <c r="I949" s="118">
        <v>4.2</v>
      </c>
      <c r="J949" s="119" t="s">
        <v>26</v>
      </c>
      <c r="K949" s="119" t="s">
        <v>26</v>
      </c>
      <c r="L949" s="119" t="s">
        <v>26</v>
      </c>
      <c r="M949" s="119" t="s">
        <v>26</v>
      </c>
      <c r="N949" s="119" t="s">
        <v>26</v>
      </c>
      <c r="O949" s="118">
        <v>9</v>
      </c>
      <c r="P949" s="119" t="s">
        <v>26</v>
      </c>
      <c r="Q949" s="119" t="s">
        <v>26</v>
      </c>
      <c r="R949" s="119" t="s">
        <v>26</v>
      </c>
      <c r="S949" s="120" t="s">
        <v>26</v>
      </c>
      <c r="T949" s="121" t="s">
        <v>26</v>
      </c>
      <c r="U949" s="123" t="s">
        <v>26</v>
      </c>
      <c r="V949" s="89">
        <v>10</v>
      </c>
      <c r="AC949" s="33"/>
      <c r="AD949" s="33"/>
      <c r="AE949" s="33"/>
    </row>
    <row r="950" spans="1:31">
      <c r="A950" s="27" t="s">
        <v>950</v>
      </c>
      <c r="B950" s="8" t="s">
        <v>83</v>
      </c>
      <c r="C950" s="8" t="s">
        <v>22</v>
      </c>
      <c r="D950" s="8" t="s">
        <v>730</v>
      </c>
      <c r="E950" s="23" t="s">
        <v>27</v>
      </c>
      <c r="F950" s="16" t="s">
        <v>951</v>
      </c>
      <c r="G950" s="118">
        <v>140</v>
      </c>
      <c r="H950" s="118">
        <v>16.3</v>
      </c>
      <c r="I950" s="118">
        <v>29.6</v>
      </c>
      <c r="J950" s="118">
        <v>0.6</v>
      </c>
      <c r="K950" s="119" t="s">
        <v>26</v>
      </c>
      <c r="L950" s="119" t="s">
        <v>26</v>
      </c>
      <c r="M950" s="119" t="s">
        <v>26</v>
      </c>
      <c r="N950" s="119" t="s">
        <v>26</v>
      </c>
      <c r="O950" s="118">
        <v>4.0999999999999996</v>
      </c>
      <c r="P950" s="118">
        <v>1.1000000000000001</v>
      </c>
      <c r="Q950" s="118">
        <v>5.8</v>
      </c>
      <c r="R950" s="118">
        <v>1.8</v>
      </c>
      <c r="S950" s="127">
        <v>1.7</v>
      </c>
      <c r="T950" s="121" t="s">
        <v>26</v>
      </c>
      <c r="U950" s="89">
        <v>815</v>
      </c>
      <c r="V950" s="89">
        <v>85</v>
      </c>
      <c r="W950" s="11"/>
      <c r="AC950" s="33"/>
      <c r="AD950" s="33"/>
      <c r="AE950" s="33"/>
    </row>
    <row r="951" spans="1:31">
      <c r="A951" s="27" t="s">
        <v>950</v>
      </c>
      <c r="B951" s="8" t="s">
        <v>83</v>
      </c>
      <c r="C951" s="8" t="s">
        <v>22</v>
      </c>
      <c r="D951" s="8" t="s">
        <v>730</v>
      </c>
      <c r="E951" s="23" t="s">
        <v>29</v>
      </c>
      <c r="F951" s="16" t="s">
        <v>829</v>
      </c>
      <c r="G951" s="118">
        <v>54</v>
      </c>
      <c r="H951" s="118">
        <v>8.1999999999999993</v>
      </c>
      <c r="I951" s="118">
        <v>25.4</v>
      </c>
      <c r="J951" s="118">
        <v>3.8</v>
      </c>
      <c r="K951" s="119" t="s">
        <v>26</v>
      </c>
      <c r="L951" s="119" t="s">
        <v>26</v>
      </c>
      <c r="M951" s="119" t="s">
        <v>26</v>
      </c>
      <c r="N951" s="119" t="s">
        <v>26</v>
      </c>
      <c r="O951" s="118">
        <v>4.0999999999999996</v>
      </c>
      <c r="P951" s="118">
        <v>2.2999999999999998</v>
      </c>
      <c r="Q951" s="119" t="s">
        <v>26</v>
      </c>
      <c r="R951" s="118">
        <v>1.9</v>
      </c>
      <c r="S951" s="127">
        <v>1.9</v>
      </c>
      <c r="T951" s="121" t="s">
        <v>26</v>
      </c>
      <c r="U951" s="89">
        <v>2510</v>
      </c>
      <c r="V951" s="89">
        <v>124</v>
      </c>
      <c r="AC951" s="33"/>
      <c r="AD951" s="33"/>
      <c r="AE951" s="33"/>
    </row>
    <row r="952" spans="1:31">
      <c r="A952" s="27" t="s">
        <v>950</v>
      </c>
      <c r="B952" s="8" t="s">
        <v>83</v>
      </c>
      <c r="C952" s="8" t="s">
        <v>22</v>
      </c>
      <c r="D952" s="8" t="s">
        <v>730</v>
      </c>
      <c r="E952" s="23" t="s">
        <v>31</v>
      </c>
      <c r="F952" s="16" t="s">
        <v>952</v>
      </c>
      <c r="G952" s="118">
        <v>16</v>
      </c>
      <c r="H952" s="119" t="s">
        <v>26</v>
      </c>
      <c r="I952" s="118">
        <v>8.6999999999999993</v>
      </c>
      <c r="J952" s="118">
        <v>11.1</v>
      </c>
      <c r="K952" s="119" t="s">
        <v>26</v>
      </c>
      <c r="L952" s="119" t="s">
        <v>26</v>
      </c>
      <c r="M952" s="119" t="s">
        <v>26</v>
      </c>
      <c r="N952" s="119" t="s">
        <v>26</v>
      </c>
      <c r="O952" s="118">
        <v>4.9000000000000004</v>
      </c>
      <c r="P952" s="118">
        <v>3.1</v>
      </c>
      <c r="Q952" s="119" t="s">
        <v>26</v>
      </c>
      <c r="R952" s="118">
        <v>1.4</v>
      </c>
      <c r="S952" s="127">
        <v>3.4</v>
      </c>
      <c r="T952" s="121" t="s">
        <v>26</v>
      </c>
      <c r="U952" s="89">
        <v>1017</v>
      </c>
      <c r="V952" s="89">
        <v>35</v>
      </c>
      <c r="AC952" s="33"/>
      <c r="AD952" s="33"/>
      <c r="AE952" s="33"/>
    </row>
    <row r="953" spans="1:31">
      <c r="A953" s="15" t="s">
        <v>953</v>
      </c>
      <c r="B953" s="8" t="s">
        <v>954</v>
      </c>
      <c r="C953" s="8" t="s">
        <v>22</v>
      </c>
      <c r="D953" s="8" t="s">
        <v>955</v>
      </c>
      <c r="E953" s="23" t="s">
        <v>24</v>
      </c>
      <c r="F953" s="16" t="s">
        <v>956</v>
      </c>
      <c r="G953" s="118">
        <v>224</v>
      </c>
      <c r="H953" s="118">
        <v>22.8</v>
      </c>
      <c r="I953" s="119" t="s">
        <v>26</v>
      </c>
      <c r="J953" s="119" t="s">
        <v>26</v>
      </c>
      <c r="K953" s="119" t="s">
        <v>26</v>
      </c>
      <c r="L953" s="119" t="s">
        <v>26</v>
      </c>
      <c r="M953" s="119" t="s">
        <v>26</v>
      </c>
      <c r="N953" s="119" t="s">
        <v>26</v>
      </c>
      <c r="O953" s="118">
        <v>2</v>
      </c>
      <c r="P953" s="119" t="s">
        <v>26</v>
      </c>
      <c r="Q953" s="118">
        <v>4.9000000000000004</v>
      </c>
      <c r="R953" s="118">
        <v>0.9</v>
      </c>
      <c r="S953" s="120" t="s">
        <v>26</v>
      </c>
      <c r="T953" s="121" t="s">
        <v>26</v>
      </c>
      <c r="U953" s="123" t="s">
        <v>26</v>
      </c>
      <c r="V953" s="89">
        <v>54</v>
      </c>
      <c r="AC953" s="33"/>
      <c r="AD953" s="33"/>
      <c r="AE953" s="33"/>
    </row>
    <row r="954" spans="1:31">
      <c r="A954" s="15" t="s">
        <v>953</v>
      </c>
      <c r="B954" s="8" t="s">
        <v>954</v>
      </c>
      <c r="C954" s="8" t="s">
        <v>22</v>
      </c>
      <c r="D954" s="8" t="s">
        <v>955</v>
      </c>
      <c r="E954" s="23" t="s">
        <v>27</v>
      </c>
      <c r="F954" s="16" t="s">
        <v>957</v>
      </c>
      <c r="G954" s="118">
        <v>119</v>
      </c>
      <c r="H954" s="118">
        <v>12.9</v>
      </c>
      <c r="I954" s="118">
        <v>12.2</v>
      </c>
      <c r="J954" s="119" t="s">
        <v>26</v>
      </c>
      <c r="K954" s="119" t="s">
        <v>26</v>
      </c>
      <c r="L954" s="119" t="s">
        <v>26</v>
      </c>
      <c r="M954" s="119" t="s">
        <v>26</v>
      </c>
      <c r="N954" s="119" t="s">
        <v>26</v>
      </c>
      <c r="O954" s="118">
        <v>2.7</v>
      </c>
      <c r="P954" s="119" t="s">
        <v>26</v>
      </c>
      <c r="Q954" s="118">
        <v>2.7</v>
      </c>
      <c r="R954" s="118">
        <v>0.9</v>
      </c>
      <c r="S954" s="120" t="s">
        <v>26</v>
      </c>
      <c r="T954" s="121" t="s">
        <v>26</v>
      </c>
      <c r="U954" s="123" t="s">
        <v>26</v>
      </c>
      <c r="V954" s="89">
        <v>96</v>
      </c>
      <c r="AC954" s="33"/>
      <c r="AD954" s="33"/>
      <c r="AE954" s="33"/>
    </row>
    <row r="955" spans="1:31">
      <c r="A955" s="15" t="s">
        <v>953</v>
      </c>
      <c r="B955" s="8" t="s">
        <v>954</v>
      </c>
      <c r="C955" s="8" t="s">
        <v>22</v>
      </c>
      <c r="D955" s="8" t="s">
        <v>955</v>
      </c>
      <c r="E955" s="25" t="s">
        <v>958</v>
      </c>
      <c r="F955" s="16" t="s">
        <v>959</v>
      </c>
      <c r="G955" s="118">
        <v>84</v>
      </c>
      <c r="H955" s="119" t="s">
        <v>26</v>
      </c>
      <c r="I955" s="118">
        <v>15.4</v>
      </c>
      <c r="J955" s="119" t="s">
        <v>26</v>
      </c>
      <c r="K955" s="119" t="s">
        <v>26</v>
      </c>
      <c r="L955" s="119" t="s">
        <v>26</v>
      </c>
      <c r="M955" s="119" t="s">
        <v>26</v>
      </c>
      <c r="N955" s="119" t="s">
        <v>26</v>
      </c>
      <c r="O955" s="118">
        <v>3.8</v>
      </c>
      <c r="P955" s="119" t="s">
        <v>26</v>
      </c>
      <c r="Q955" s="118">
        <v>3.7</v>
      </c>
      <c r="R955" s="119" t="s">
        <v>26</v>
      </c>
      <c r="S955" s="120" t="s">
        <v>26</v>
      </c>
      <c r="T955" s="121" t="s">
        <v>26</v>
      </c>
      <c r="U955" s="123" t="s">
        <v>26</v>
      </c>
      <c r="V955" s="126" t="s">
        <v>26</v>
      </c>
      <c r="AC955" s="33"/>
      <c r="AD955" s="33"/>
      <c r="AE955" s="33"/>
    </row>
    <row r="956" spans="1:31">
      <c r="A956" s="15" t="s">
        <v>953</v>
      </c>
      <c r="B956" s="8" t="s">
        <v>954</v>
      </c>
      <c r="C956" s="8" t="s">
        <v>22</v>
      </c>
      <c r="D956" s="8" t="s">
        <v>955</v>
      </c>
      <c r="E956" s="23" t="s">
        <v>29</v>
      </c>
      <c r="F956" s="16" t="s">
        <v>960</v>
      </c>
      <c r="G956" s="118">
        <v>48</v>
      </c>
      <c r="H956" s="119" t="s">
        <v>26</v>
      </c>
      <c r="I956" s="118">
        <v>16</v>
      </c>
      <c r="J956" s="119" t="s">
        <v>26</v>
      </c>
      <c r="K956" s="119" t="s">
        <v>26</v>
      </c>
      <c r="L956" s="119" t="s">
        <v>26</v>
      </c>
      <c r="M956" s="119" t="s">
        <v>26</v>
      </c>
      <c r="N956" s="119" t="s">
        <v>26</v>
      </c>
      <c r="O956" s="118">
        <v>2.7</v>
      </c>
      <c r="P956" s="119" t="s">
        <v>26</v>
      </c>
      <c r="Q956" s="119" t="s">
        <v>26</v>
      </c>
      <c r="R956" s="119" t="s">
        <v>26</v>
      </c>
      <c r="S956" s="120" t="s">
        <v>26</v>
      </c>
      <c r="T956" s="121" t="s">
        <v>26</v>
      </c>
      <c r="U956" s="123" t="s">
        <v>26</v>
      </c>
      <c r="V956" s="89">
        <v>182</v>
      </c>
      <c r="AC956" s="33"/>
      <c r="AD956" s="33"/>
      <c r="AE956" s="33"/>
    </row>
    <row r="957" spans="1:31">
      <c r="A957" s="15" t="s">
        <v>953</v>
      </c>
      <c r="B957" s="8" t="s">
        <v>954</v>
      </c>
      <c r="C957" s="8" t="s">
        <v>22</v>
      </c>
      <c r="D957" s="8" t="s">
        <v>955</v>
      </c>
      <c r="E957" s="23" t="s">
        <v>31</v>
      </c>
      <c r="F957" s="16" t="s">
        <v>961</v>
      </c>
      <c r="G957" s="118">
        <v>29</v>
      </c>
      <c r="H957" s="119" t="s">
        <v>26</v>
      </c>
      <c r="I957" s="118">
        <v>33</v>
      </c>
      <c r="J957" s="118">
        <v>0.9</v>
      </c>
      <c r="K957" s="119" t="s">
        <v>26</v>
      </c>
      <c r="L957" s="119" t="s">
        <v>26</v>
      </c>
      <c r="M957" s="119" t="s">
        <v>26</v>
      </c>
      <c r="N957" s="119" t="s">
        <v>26</v>
      </c>
      <c r="O957" s="118">
        <v>2.1</v>
      </c>
      <c r="P957" s="119" t="s">
        <v>26</v>
      </c>
      <c r="Q957" s="119" t="s">
        <v>26</v>
      </c>
      <c r="R957" s="119" t="s">
        <v>26</v>
      </c>
      <c r="S957" s="120" t="s">
        <v>26</v>
      </c>
      <c r="T957" s="121" t="s">
        <v>26</v>
      </c>
      <c r="U957" s="123" t="s">
        <v>26</v>
      </c>
      <c r="V957" s="89">
        <v>15</v>
      </c>
      <c r="AC957" s="33"/>
      <c r="AD957" s="33"/>
      <c r="AE957" s="33"/>
    </row>
    <row r="958" spans="1:31">
      <c r="A958" s="15" t="s">
        <v>953</v>
      </c>
      <c r="B958" s="8" t="s">
        <v>68</v>
      </c>
      <c r="C958" s="8" t="s">
        <v>22</v>
      </c>
      <c r="D958" s="8" t="s">
        <v>730</v>
      </c>
      <c r="E958" s="23" t="s">
        <v>27</v>
      </c>
      <c r="F958" s="16" t="s">
        <v>962</v>
      </c>
      <c r="G958" s="118">
        <v>158</v>
      </c>
      <c r="H958" s="118">
        <v>16.3</v>
      </c>
      <c r="I958" s="118">
        <v>33.5</v>
      </c>
      <c r="J958" s="118">
        <v>0.4</v>
      </c>
      <c r="K958" s="119" t="s">
        <v>26</v>
      </c>
      <c r="L958" s="119" t="s">
        <v>26</v>
      </c>
      <c r="M958" s="119" t="s">
        <v>26</v>
      </c>
      <c r="N958" s="119" t="s">
        <v>26</v>
      </c>
      <c r="O958" s="118">
        <v>0.5</v>
      </c>
      <c r="P958" s="118">
        <v>1.5</v>
      </c>
      <c r="Q958" s="118">
        <v>2.5</v>
      </c>
      <c r="R958" s="118">
        <v>1.4</v>
      </c>
      <c r="S958" s="120" t="s">
        <v>26</v>
      </c>
      <c r="T958" s="121" t="s">
        <v>26</v>
      </c>
      <c r="U958" s="89">
        <v>648</v>
      </c>
      <c r="V958" s="126" t="s">
        <v>26</v>
      </c>
      <c r="AC958" s="33"/>
      <c r="AD958" s="33"/>
      <c r="AE958" s="33"/>
    </row>
    <row r="959" spans="1:31">
      <c r="A959" s="15" t="s">
        <v>953</v>
      </c>
      <c r="B959" s="8" t="s">
        <v>68</v>
      </c>
      <c r="C959" s="8" t="s">
        <v>22</v>
      </c>
      <c r="D959" s="8" t="s">
        <v>730</v>
      </c>
      <c r="E959" s="23" t="s">
        <v>29</v>
      </c>
      <c r="F959" s="16" t="s">
        <v>755</v>
      </c>
      <c r="G959" s="118">
        <v>52</v>
      </c>
      <c r="H959" s="118">
        <v>6.9</v>
      </c>
      <c r="I959" s="118">
        <v>13.9</v>
      </c>
      <c r="J959" s="118">
        <v>6</v>
      </c>
      <c r="K959" s="118">
        <v>0.5</v>
      </c>
      <c r="L959" s="119" t="s">
        <v>26</v>
      </c>
      <c r="M959" s="119" t="s">
        <v>26</v>
      </c>
      <c r="N959" s="119" t="s">
        <v>26</v>
      </c>
      <c r="O959" s="118">
        <v>2.2000000000000002</v>
      </c>
      <c r="P959" s="118">
        <v>3.2</v>
      </c>
      <c r="Q959" s="118">
        <v>1.4</v>
      </c>
      <c r="R959" s="118">
        <v>0.8</v>
      </c>
      <c r="S959" s="127">
        <v>0.8</v>
      </c>
      <c r="T959" s="121" t="s">
        <v>26</v>
      </c>
      <c r="U959" s="89">
        <v>2551</v>
      </c>
      <c r="V959" s="126" t="s">
        <v>26</v>
      </c>
      <c r="AC959" s="33"/>
      <c r="AD959" s="33"/>
      <c r="AE959" s="33"/>
    </row>
    <row r="960" spans="1:31">
      <c r="A960" s="15" t="s">
        <v>953</v>
      </c>
      <c r="B960" s="8" t="s">
        <v>68</v>
      </c>
      <c r="C960" s="8" t="s">
        <v>22</v>
      </c>
      <c r="D960" s="8" t="s">
        <v>730</v>
      </c>
      <c r="E960" s="23" t="s">
        <v>31</v>
      </c>
      <c r="F960" s="16" t="s">
        <v>584</v>
      </c>
      <c r="G960" s="118">
        <v>25</v>
      </c>
      <c r="H960" s="119" t="s">
        <v>26</v>
      </c>
      <c r="I960" s="118">
        <v>25.5</v>
      </c>
      <c r="J960" s="118">
        <v>22.4</v>
      </c>
      <c r="K960" s="118">
        <v>0.6</v>
      </c>
      <c r="L960" s="119" t="s">
        <v>26</v>
      </c>
      <c r="M960" s="119" t="s">
        <v>26</v>
      </c>
      <c r="N960" s="119" t="s">
        <v>26</v>
      </c>
      <c r="O960" s="118">
        <v>1.8</v>
      </c>
      <c r="P960" s="118">
        <v>4.5</v>
      </c>
      <c r="Q960" s="119" t="s">
        <v>26</v>
      </c>
      <c r="R960" s="119" t="s">
        <v>26</v>
      </c>
      <c r="S960" s="127">
        <v>1.4</v>
      </c>
      <c r="T960" s="121" t="s">
        <v>26</v>
      </c>
      <c r="U960" s="89">
        <v>1119</v>
      </c>
      <c r="V960" s="126" t="s">
        <v>26</v>
      </c>
      <c r="AC960" s="33"/>
      <c r="AD960" s="33"/>
      <c r="AE960" s="33"/>
    </row>
    <row r="961" spans="1:31">
      <c r="A961" s="27" t="s">
        <v>963</v>
      </c>
      <c r="B961" s="8" t="s">
        <v>83</v>
      </c>
      <c r="C961" s="8" t="s">
        <v>22</v>
      </c>
      <c r="D961" s="8" t="s">
        <v>964</v>
      </c>
      <c r="E961" s="25" t="s">
        <v>27</v>
      </c>
      <c r="F961" s="16" t="s">
        <v>965</v>
      </c>
      <c r="G961" s="118">
        <v>84</v>
      </c>
      <c r="H961" s="118">
        <v>55.4</v>
      </c>
      <c r="I961" s="118">
        <v>16.600000000000001</v>
      </c>
      <c r="J961" s="118">
        <v>2.8</v>
      </c>
      <c r="K961" s="119" t="s">
        <v>26</v>
      </c>
      <c r="L961" s="118">
        <v>2.5</v>
      </c>
      <c r="M961" s="119" t="s">
        <v>26</v>
      </c>
      <c r="N961" s="119" t="s">
        <v>26</v>
      </c>
      <c r="O961" s="118">
        <v>7.7</v>
      </c>
      <c r="P961" s="119" t="s">
        <v>26</v>
      </c>
      <c r="Q961" s="118">
        <v>33.700000000000003</v>
      </c>
      <c r="R961" s="119" t="s">
        <v>26</v>
      </c>
      <c r="S961" s="120" t="s">
        <v>26</v>
      </c>
      <c r="T961" s="121" t="s">
        <v>26</v>
      </c>
      <c r="U961" s="130">
        <v>71</v>
      </c>
      <c r="V961" s="126" t="s">
        <v>26</v>
      </c>
      <c r="AC961" s="33"/>
      <c r="AD961" s="33"/>
      <c r="AE961" s="33"/>
    </row>
    <row r="962" spans="1:31">
      <c r="A962" s="27" t="s">
        <v>963</v>
      </c>
      <c r="B962" s="8" t="s">
        <v>83</v>
      </c>
      <c r="C962" s="8" t="s">
        <v>22</v>
      </c>
      <c r="D962" s="8" t="s">
        <v>964</v>
      </c>
      <c r="E962" s="25" t="s">
        <v>131</v>
      </c>
      <c r="F962" s="16" t="s">
        <v>844</v>
      </c>
      <c r="G962" s="118">
        <v>13</v>
      </c>
      <c r="H962" s="118">
        <v>6</v>
      </c>
      <c r="I962" s="118">
        <v>3.3</v>
      </c>
      <c r="J962" s="118">
        <v>7.8</v>
      </c>
      <c r="K962" s="119" t="s">
        <v>26</v>
      </c>
      <c r="L962" s="119" t="s">
        <v>26</v>
      </c>
      <c r="M962" s="119" t="s">
        <v>26</v>
      </c>
      <c r="N962" s="119" t="s">
        <v>26</v>
      </c>
      <c r="O962" s="125" t="s">
        <v>26</v>
      </c>
      <c r="P962" s="119" t="s">
        <v>26</v>
      </c>
      <c r="Q962" s="119" t="s">
        <v>26</v>
      </c>
      <c r="R962" s="119" t="s">
        <v>26</v>
      </c>
      <c r="S962" s="120" t="s">
        <v>26</v>
      </c>
      <c r="T962" s="121" t="s">
        <v>26</v>
      </c>
      <c r="U962" s="130">
        <v>976</v>
      </c>
      <c r="V962" s="126" t="s">
        <v>26</v>
      </c>
      <c r="AC962" s="33"/>
      <c r="AD962" s="33"/>
      <c r="AE962" s="33"/>
    </row>
    <row r="963" spans="1:31">
      <c r="A963" s="27" t="s">
        <v>963</v>
      </c>
      <c r="B963" s="8" t="s">
        <v>83</v>
      </c>
      <c r="C963" s="8" t="s">
        <v>22</v>
      </c>
      <c r="D963" s="8" t="s">
        <v>947</v>
      </c>
      <c r="E963" s="25" t="s">
        <v>24</v>
      </c>
      <c r="F963" s="16" t="s">
        <v>966</v>
      </c>
      <c r="G963" s="118">
        <v>232</v>
      </c>
      <c r="H963" s="118">
        <v>24.2</v>
      </c>
      <c r="I963" s="119" t="s">
        <v>26</v>
      </c>
      <c r="J963" s="118">
        <v>0.7</v>
      </c>
      <c r="K963" s="119" t="s">
        <v>26</v>
      </c>
      <c r="L963" s="119" t="s">
        <v>26</v>
      </c>
      <c r="M963" s="118">
        <v>0.7</v>
      </c>
      <c r="N963" s="119" t="s">
        <v>26</v>
      </c>
      <c r="O963" s="118">
        <v>6.8</v>
      </c>
      <c r="P963" s="118">
        <v>2.6</v>
      </c>
      <c r="Q963" s="118">
        <v>42.5</v>
      </c>
      <c r="R963" s="118">
        <v>3.8</v>
      </c>
      <c r="S963" s="120" t="s">
        <v>26</v>
      </c>
      <c r="T963" s="121" t="s">
        <v>26</v>
      </c>
      <c r="U963" s="130">
        <v>26</v>
      </c>
      <c r="V963" s="89">
        <v>55</v>
      </c>
      <c r="AC963" s="33"/>
      <c r="AD963" s="33"/>
      <c r="AE963" s="33"/>
    </row>
    <row r="964" spans="1:31">
      <c r="A964" s="27" t="s">
        <v>963</v>
      </c>
      <c r="B964" s="8" t="s">
        <v>83</v>
      </c>
      <c r="C964" s="8" t="s">
        <v>22</v>
      </c>
      <c r="D964" s="8" t="s">
        <v>947</v>
      </c>
      <c r="E964" s="25" t="s">
        <v>27</v>
      </c>
      <c r="F964" s="16" t="s">
        <v>967</v>
      </c>
      <c r="G964" s="118">
        <v>92</v>
      </c>
      <c r="H964" s="118">
        <v>50.2</v>
      </c>
      <c r="I964" s="119" t="s">
        <v>26</v>
      </c>
      <c r="J964" s="119" t="s">
        <v>26</v>
      </c>
      <c r="K964" s="119" t="s">
        <v>26</v>
      </c>
      <c r="L964" s="119" t="s">
        <v>26</v>
      </c>
      <c r="M964" s="119" t="s">
        <v>26</v>
      </c>
      <c r="N964" s="119" t="s">
        <v>26</v>
      </c>
      <c r="O964" s="118">
        <v>8</v>
      </c>
      <c r="P964" s="119" t="s">
        <v>26</v>
      </c>
      <c r="Q964" s="118">
        <v>21.5</v>
      </c>
      <c r="R964" s="119" t="s">
        <v>26</v>
      </c>
      <c r="S964" s="120" t="s">
        <v>26</v>
      </c>
      <c r="T964" s="121" t="s">
        <v>26</v>
      </c>
      <c r="U964" s="130">
        <v>21</v>
      </c>
      <c r="V964" s="89">
        <v>71</v>
      </c>
      <c r="AC964" s="33"/>
      <c r="AD964" s="33"/>
      <c r="AE964" s="33"/>
    </row>
    <row r="965" spans="1:31">
      <c r="A965" s="27" t="s">
        <v>963</v>
      </c>
      <c r="B965" s="8" t="s">
        <v>83</v>
      </c>
      <c r="C965" s="8" t="s">
        <v>22</v>
      </c>
      <c r="D965" s="8" t="s">
        <v>947</v>
      </c>
      <c r="E965" s="25" t="s">
        <v>131</v>
      </c>
      <c r="F965" s="16" t="s">
        <v>789</v>
      </c>
      <c r="G965" s="118">
        <v>11</v>
      </c>
      <c r="H965" s="118">
        <v>23.7</v>
      </c>
      <c r="I965" s="118">
        <v>1.6</v>
      </c>
      <c r="J965" s="118">
        <v>6.8</v>
      </c>
      <c r="K965" s="119" t="s">
        <v>26</v>
      </c>
      <c r="L965" s="119" t="s">
        <v>26</v>
      </c>
      <c r="M965" s="119" t="s">
        <v>26</v>
      </c>
      <c r="N965" s="119" t="s">
        <v>26</v>
      </c>
      <c r="O965" s="125" t="s">
        <v>26</v>
      </c>
      <c r="P965" s="119" t="s">
        <v>26</v>
      </c>
      <c r="Q965" s="119" t="s">
        <v>26</v>
      </c>
      <c r="R965" s="119" t="s">
        <v>26</v>
      </c>
      <c r="S965" s="120" t="s">
        <v>26</v>
      </c>
      <c r="T965" s="121" t="s">
        <v>26</v>
      </c>
      <c r="U965" s="130">
        <v>864</v>
      </c>
      <c r="V965" s="89">
        <v>541</v>
      </c>
      <c r="AC965" s="33"/>
      <c r="AD965" s="33"/>
      <c r="AE965" s="33"/>
    </row>
    <row r="966" spans="1:31">
      <c r="A966" s="27" t="s">
        <v>963</v>
      </c>
      <c r="B966" s="8" t="s">
        <v>83</v>
      </c>
      <c r="C966" s="8" t="s">
        <v>22</v>
      </c>
      <c r="D966" s="8" t="s">
        <v>947</v>
      </c>
      <c r="E966" s="23" t="s">
        <v>29</v>
      </c>
      <c r="F966" s="16" t="s">
        <v>28</v>
      </c>
      <c r="G966" s="118">
        <v>55</v>
      </c>
      <c r="H966" s="118">
        <v>4.0999999999999996</v>
      </c>
      <c r="I966" s="118">
        <v>24.5</v>
      </c>
      <c r="J966" s="118">
        <v>5.2</v>
      </c>
      <c r="K966" s="119" t="s">
        <v>26</v>
      </c>
      <c r="L966" s="119" t="s">
        <v>26</v>
      </c>
      <c r="M966" s="119" t="s">
        <v>26</v>
      </c>
      <c r="N966" s="119" t="s">
        <v>26</v>
      </c>
      <c r="O966" s="118">
        <v>9</v>
      </c>
      <c r="P966" s="119" t="s">
        <v>26</v>
      </c>
      <c r="Q966" s="118">
        <v>16</v>
      </c>
      <c r="R966" s="119" t="s">
        <v>26</v>
      </c>
      <c r="S966" s="120" t="s">
        <v>26</v>
      </c>
      <c r="T966" s="121" t="s">
        <v>26</v>
      </c>
      <c r="U966" s="130">
        <v>546</v>
      </c>
      <c r="V966" s="89">
        <v>95</v>
      </c>
      <c r="AC966" s="33"/>
      <c r="AD966" s="33"/>
      <c r="AE966" s="33"/>
    </row>
    <row r="967" spans="1:31">
      <c r="A967" s="27" t="s">
        <v>963</v>
      </c>
      <c r="B967" s="8" t="s">
        <v>83</v>
      </c>
      <c r="C967" s="8" t="s">
        <v>22</v>
      </c>
      <c r="D967" s="8" t="s">
        <v>947</v>
      </c>
      <c r="E967" s="23" t="s">
        <v>31</v>
      </c>
      <c r="F967" s="16" t="s">
        <v>968</v>
      </c>
      <c r="G967" s="118">
        <v>26</v>
      </c>
      <c r="H967" s="119" t="s">
        <v>26</v>
      </c>
      <c r="I967" s="118">
        <v>12.8</v>
      </c>
      <c r="J967" s="118">
        <v>3.1</v>
      </c>
      <c r="K967" s="119" t="s">
        <v>26</v>
      </c>
      <c r="L967" s="119" t="s">
        <v>26</v>
      </c>
      <c r="M967" s="119" t="s">
        <v>26</v>
      </c>
      <c r="N967" s="119" t="s">
        <v>26</v>
      </c>
      <c r="O967" s="118">
        <v>6.1</v>
      </c>
      <c r="P967" s="119" t="s">
        <v>26</v>
      </c>
      <c r="Q967" s="119" t="s">
        <v>26</v>
      </c>
      <c r="R967" s="119" t="s">
        <v>26</v>
      </c>
      <c r="S967" s="120" t="s">
        <v>26</v>
      </c>
      <c r="T967" s="121" t="s">
        <v>26</v>
      </c>
      <c r="U967" s="130">
        <v>1233</v>
      </c>
      <c r="V967" s="89">
        <v>10</v>
      </c>
      <c r="AC967" s="33"/>
      <c r="AD967" s="33"/>
      <c r="AE967" s="33"/>
    </row>
    <row r="968" spans="1:31">
      <c r="A968" s="15" t="s">
        <v>969</v>
      </c>
      <c r="B968" s="8" t="s">
        <v>970</v>
      </c>
      <c r="C968" s="8" t="s">
        <v>22</v>
      </c>
      <c r="D968" s="8" t="s">
        <v>730</v>
      </c>
      <c r="E968" s="25" t="s">
        <v>27</v>
      </c>
      <c r="F968" s="16" t="s">
        <v>971</v>
      </c>
      <c r="G968" s="118">
        <v>181</v>
      </c>
      <c r="H968" s="118">
        <v>17.5</v>
      </c>
      <c r="I968" s="119" t="s">
        <v>26</v>
      </c>
      <c r="J968" s="119" t="s">
        <v>26</v>
      </c>
      <c r="K968" s="119" t="s">
        <v>26</v>
      </c>
      <c r="L968" s="118">
        <v>0.5</v>
      </c>
      <c r="M968" s="119" t="s">
        <v>26</v>
      </c>
      <c r="N968" s="119" t="s">
        <v>26</v>
      </c>
      <c r="O968" s="125" t="s">
        <v>26</v>
      </c>
      <c r="P968" s="119" t="s">
        <v>26</v>
      </c>
      <c r="Q968" s="119" t="s">
        <v>26</v>
      </c>
      <c r="R968" s="119" t="s">
        <v>26</v>
      </c>
      <c r="S968" s="127">
        <v>1.2</v>
      </c>
      <c r="T968" s="121" t="s">
        <v>26</v>
      </c>
      <c r="U968" s="89">
        <v>1233</v>
      </c>
      <c r="V968" s="89">
        <v>255</v>
      </c>
      <c r="AC968" s="33"/>
      <c r="AD968" s="33"/>
      <c r="AE968" s="33"/>
    </row>
    <row r="969" spans="1:31">
      <c r="A969" s="15" t="s">
        <v>969</v>
      </c>
      <c r="B969" s="8" t="s">
        <v>970</v>
      </c>
      <c r="C969" s="8" t="s">
        <v>22</v>
      </c>
      <c r="D969" s="8" t="s">
        <v>730</v>
      </c>
      <c r="E969" s="25" t="s">
        <v>29</v>
      </c>
      <c r="F969" s="16" t="s">
        <v>338</v>
      </c>
      <c r="G969" s="118">
        <v>61</v>
      </c>
      <c r="H969" s="118">
        <v>3.3</v>
      </c>
      <c r="I969" s="118">
        <v>23.2</v>
      </c>
      <c r="J969" s="118">
        <v>6.23</v>
      </c>
      <c r="K969" s="119" t="s">
        <v>26</v>
      </c>
      <c r="L969" s="118">
        <v>1.22</v>
      </c>
      <c r="M969" s="119" t="s">
        <v>26</v>
      </c>
      <c r="N969" s="119" t="s">
        <v>26</v>
      </c>
      <c r="O969" s="118">
        <v>1.2</v>
      </c>
      <c r="P969" s="118">
        <v>4.5999999999999996</v>
      </c>
      <c r="Q969" s="119" t="s">
        <v>26</v>
      </c>
      <c r="R969" s="119" t="s">
        <v>26</v>
      </c>
      <c r="S969" s="120" t="s">
        <v>26</v>
      </c>
      <c r="T969" s="121" t="s">
        <v>26</v>
      </c>
      <c r="U969" s="133">
        <v>2250</v>
      </c>
      <c r="V969" s="89">
        <v>132</v>
      </c>
      <c r="AC969" s="33"/>
      <c r="AD969" s="33"/>
      <c r="AE969" s="33"/>
    </row>
    <row r="970" spans="1:31">
      <c r="A970" s="15" t="s">
        <v>969</v>
      </c>
      <c r="B970" s="8" t="s">
        <v>970</v>
      </c>
      <c r="C970" s="8" t="s">
        <v>22</v>
      </c>
      <c r="D970" s="8" t="s">
        <v>730</v>
      </c>
      <c r="E970" s="25" t="s">
        <v>31</v>
      </c>
      <c r="F970" s="16" t="s">
        <v>972</v>
      </c>
      <c r="G970" s="118">
        <v>25</v>
      </c>
      <c r="H970" s="119" t="s">
        <v>26</v>
      </c>
      <c r="I970" s="118">
        <v>16</v>
      </c>
      <c r="J970" s="118">
        <v>7</v>
      </c>
      <c r="K970" s="118">
        <v>0.7</v>
      </c>
      <c r="L970" s="118">
        <v>0.8</v>
      </c>
      <c r="M970" s="119" t="s">
        <v>26</v>
      </c>
      <c r="N970" s="119" t="s">
        <v>26</v>
      </c>
      <c r="O970" s="125" t="s">
        <v>26</v>
      </c>
      <c r="P970" s="118">
        <v>4.4000000000000004</v>
      </c>
      <c r="Q970" s="119" t="s">
        <v>26</v>
      </c>
      <c r="R970" s="119" t="s">
        <v>26</v>
      </c>
      <c r="S970" s="127">
        <v>1.2</v>
      </c>
      <c r="T970" s="121" t="s">
        <v>26</v>
      </c>
      <c r="U970" s="133">
        <v>1515</v>
      </c>
      <c r="V970" s="89">
        <v>10</v>
      </c>
      <c r="AC970" s="33"/>
      <c r="AD970" s="33"/>
      <c r="AE970" s="33"/>
    </row>
    <row r="971" spans="1:31">
      <c r="A971" s="15" t="s">
        <v>973</v>
      </c>
      <c r="B971" s="8" t="s">
        <v>39</v>
      </c>
      <c r="C971" s="8" t="s">
        <v>22</v>
      </c>
      <c r="D971" s="3" t="s">
        <v>23</v>
      </c>
      <c r="E971" s="23" t="s">
        <v>24</v>
      </c>
      <c r="F971" s="16" t="s">
        <v>446</v>
      </c>
      <c r="G971" s="118">
        <v>320</v>
      </c>
      <c r="H971" s="118">
        <v>15.8</v>
      </c>
      <c r="I971" s="119" t="s">
        <v>26</v>
      </c>
      <c r="J971" s="119" t="s">
        <v>26</v>
      </c>
      <c r="K971" s="119" t="s">
        <v>26</v>
      </c>
      <c r="L971" s="118">
        <v>5.0999999999999996</v>
      </c>
      <c r="M971" s="119" t="s">
        <v>26</v>
      </c>
      <c r="N971" s="119" t="s">
        <v>26</v>
      </c>
      <c r="O971" s="118">
        <v>1.1000000000000001</v>
      </c>
      <c r="P971" s="119" t="s">
        <v>26</v>
      </c>
      <c r="Q971" s="119" t="s">
        <v>26</v>
      </c>
      <c r="R971" s="119" t="s">
        <v>26</v>
      </c>
      <c r="S971" s="120" t="s">
        <v>26</v>
      </c>
      <c r="T971" s="121" t="s">
        <v>26</v>
      </c>
      <c r="U971" s="89">
        <v>548</v>
      </c>
      <c r="V971" s="126" t="s">
        <v>26</v>
      </c>
      <c r="AC971" s="33"/>
      <c r="AD971" s="33"/>
      <c r="AE971" s="33"/>
    </row>
    <row r="972" spans="1:31">
      <c r="A972" s="15" t="s">
        <v>973</v>
      </c>
      <c r="B972" s="8" t="s">
        <v>39</v>
      </c>
      <c r="C972" s="8" t="s">
        <v>22</v>
      </c>
      <c r="D972" s="3" t="s">
        <v>23</v>
      </c>
      <c r="E972" s="23" t="s">
        <v>27</v>
      </c>
      <c r="F972" s="16" t="s">
        <v>974</v>
      </c>
      <c r="G972" s="118">
        <v>117</v>
      </c>
      <c r="H972" s="118">
        <v>13</v>
      </c>
      <c r="I972" s="118">
        <v>2.5</v>
      </c>
      <c r="J972" s="119" t="s">
        <v>26</v>
      </c>
      <c r="K972" s="119" t="s">
        <v>26</v>
      </c>
      <c r="L972" s="118">
        <v>6.3</v>
      </c>
      <c r="M972" s="118">
        <v>3.9</v>
      </c>
      <c r="N972" s="119" t="s">
        <v>26</v>
      </c>
      <c r="O972" s="118">
        <v>2.4</v>
      </c>
      <c r="P972" s="119" t="s">
        <v>26</v>
      </c>
      <c r="Q972" s="119" t="s">
        <v>26</v>
      </c>
      <c r="R972" s="119" t="s">
        <v>26</v>
      </c>
      <c r="S972" s="120" t="s">
        <v>26</v>
      </c>
      <c r="T972" s="121" t="s">
        <v>26</v>
      </c>
      <c r="U972" s="89">
        <v>217</v>
      </c>
      <c r="V972" s="126" t="s">
        <v>26</v>
      </c>
      <c r="AC972" s="33"/>
      <c r="AD972" s="33"/>
      <c r="AE972" s="33"/>
    </row>
    <row r="973" spans="1:31">
      <c r="A973" s="15" t="s">
        <v>973</v>
      </c>
      <c r="B973" s="8" t="s">
        <v>39</v>
      </c>
      <c r="C973" s="8" t="s">
        <v>22</v>
      </c>
      <c r="D973" s="3" t="s">
        <v>23</v>
      </c>
      <c r="E973" s="23" t="s">
        <v>29</v>
      </c>
      <c r="F973" s="16" t="s">
        <v>975</v>
      </c>
      <c r="G973" s="118">
        <v>55</v>
      </c>
      <c r="H973" s="119" t="s">
        <v>26</v>
      </c>
      <c r="I973" s="118">
        <v>21.5</v>
      </c>
      <c r="J973" s="118">
        <v>3.38</v>
      </c>
      <c r="K973" s="118">
        <v>1.38</v>
      </c>
      <c r="L973" s="118">
        <v>4.5199999999999996</v>
      </c>
      <c r="M973" s="118">
        <v>3.86</v>
      </c>
      <c r="N973" s="119" t="s">
        <v>26</v>
      </c>
      <c r="O973" s="118">
        <v>3.12</v>
      </c>
      <c r="P973" s="118">
        <v>1.8</v>
      </c>
      <c r="Q973" s="119" t="s">
        <v>26</v>
      </c>
      <c r="R973" s="119" t="s">
        <v>26</v>
      </c>
      <c r="S973" s="120" t="s">
        <v>26</v>
      </c>
      <c r="T973" s="121" t="s">
        <v>26</v>
      </c>
      <c r="U973" s="89">
        <v>494</v>
      </c>
      <c r="V973" s="126" t="s">
        <v>26</v>
      </c>
      <c r="AC973" s="33"/>
      <c r="AD973" s="33"/>
      <c r="AE973" s="33"/>
    </row>
    <row r="974" spans="1:31">
      <c r="A974" s="15" t="s">
        <v>973</v>
      </c>
      <c r="B974" s="8" t="s">
        <v>39</v>
      </c>
      <c r="C974" s="8" t="s">
        <v>22</v>
      </c>
      <c r="D974" s="3" t="s">
        <v>23</v>
      </c>
      <c r="E974" s="23" t="s">
        <v>31</v>
      </c>
      <c r="F974" s="16" t="s">
        <v>976</v>
      </c>
      <c r="G974" s="118">
        <v>22</v>
      </c>
      <c r="H974" s="119" t="s">
        <v>26</v>
      </c>
      <c r="I974" s="118">
        <v>6.3</v>
      </c>
      <c r="J974" s="118">
        <v>6.4</v>
      </c>
      <c r="K974" s="118">
        <v>1.78</v>
      </c>
      <c r="L974" s="118">
        <v>0.62</v>
      </c>
      <c r="M974" s="119" t="s">
        <v>26</v>
      </c>
      <c r="N974" s="119" t="s">
        <v>26</v>
      </c>
      <c r="O974" s="118">
        <v>2.6</v>
      </c>
      <c r="P974" s="119" t="s">
        <v>26</v>
      </c>
      <c r="Q974" s="119" t="s">
        <v>26</v>
      </c>
      <c r="R974" s="119" t="s">
        <v>26</v>
      </c>
      <c r="S974" s="120" t="s">
        <v>26</v>
      </c>
      <c r="T974" s="121" t="s">
        <v>26</v>
      </c>
      <c r="U974" s="89">
        <v>253</v>
      </c>
      <c r="V974" s="89">
        <v>30</v>
      </c>
      <c r="AC974" s="33"/>
      <c r="AD974" s="33"/>
      <c r="AE974" s="33"/>
    </row>
    <row r="975" spans="1:31">
      <c r="A975" s="15" t="s">
        <v>973</v>
      </c>
      <c r="B975" s="8" t="s">
        <v>39</v>
      </c>
      <c r="C975" s="8" t="s">
        <v>22</v>
      </c>
      <c r="D975" s="3" t="s">
        <v>23</v>
      </c>
      <c r="E975" s="25" t="s">
        <v>131</v>
      </c>
      <c r="F975" s="16" t="s">
        <v>977</v>
      </c>
      <c r="G975" s="118">
        <v>9</v>
      </c>
      <c r="H975" s="118">
        <v>30.1</v>
      </c>
      <c r="I975" s="119" t="s">
        <v>26</v>
      </c>
      <c r="J975" s="118">
        <v>7.82</v>
      </c>
      <c r="K975" s="118">
        <v>3.42</v>
      </c>
      <c r="L975" s="118">
        <v>2.2799999999999998</v>
      </c>
      <c r="M975" s="119" t="s">
        <v>26</v>
      </c>
      <c r="N975" s="119" t="s">
        <v>26</v>
      </c>
      <c r="O975" s="118">
        <v>4.95</v>
      </c>
      <c r="P975" s="119" t="s">
        <v>26</v>
      </c>
      <c r="Q975" s="119" t="s">
        <v>26</v>
      </c>
      <c r="R975" s="119" t="s">
        <v>26</v>
      </c>
      <c r="S975" s="127">
        <v>3.32</v>
      </c>
      <c r="T975" s="121" t="s">
        <v>26</v>
      </c>
      <c r="U975" s="133">
        <v>5587</v>
      </c>
      <c r="V975" s="126" t="s">
        <v>26</v>
      </c>
      <c r="AC975" s="33"/>
      <c r="AD975" s="33"/>
      <c r="AE975" s="33"/>
    </row>
    <row r="976" spans="1:31">
      <c r="A976" s="18" t="s">
        <v>978</v>
      </c>
      <c r="B976" s="8" t="s">
        <v>68</v>
      </c>
      <c r="C976" s="8" t="s">
        <v>22</v>
      </c>
      <c r="D976" s="8" t="s">
        <v>730</v>
      </c>
      <c r="E976" s="23" t="s">
        <v>27</v>
      </c>
      <c r="F976" s="16" t="s">
        <v>979</v>
      </c>
      <c r="G976" s="118">
        <v>149</v>
      </c>
      <c r="H976" s="118">
        <v>9.4</v>
      </c>
      <c r="I976" s="118">
        <v>34.6</v>
      </c>
      <c r="J976" s="119" t="s">
        <v>26</v>
      </c>
      <c r="K976" s="119" t="s">
        <v>26</v>
      </c>
      <c r="L976" s="119" t="s">
        <v>26</v>
      </c>
      <c r="M976" s="119" t="s">
        <v>26</v>
      </c>
      <c r="N976" s="119" t="s">
        <v>26</v>
      </c>
      <c r="O976" s="118">
        <v>2.6</v>
      </c>
      <c r="P976" s="119" t="s">
        <v>26</v>
      </c>
      <c r="Q976" s="119" t="s">
        <v>26</v>
      </c>
      <c r="R976" s="118">
        <v>1.7</v>
      </c>
      <c r="S976" s="120" t="s">
        <v>26</v>
      </c>
      <c r="T976" s="121" t="s">
        <v>26</v>
      </c>
      <c r="U976" s="89">
        <v>266</v>
      </c>
      <c r="V976" s="126" t="s">
        <v>26</v>
      </c>
      <c r="AC976" s="33"/>
      <c r="AD976" s="33"/>
      <c r="AE976" s="33"/>
    </row>
    <row r="977" spans="1:31">
      <c r="A977" s="18" t="s">
        <v>978</v>
      </c>
      <c r="B977" s="8" t="s">
        <v>68</v>
      </c>
      <c r="C977" s="8" t="s">
        <v>22</v>
      </c>
      <c r="D977" s="8" t="s">
        <v>730</v>
      </c>
      <c r="E977" s="23" t="s">
        <v>29</v>
      </c>
      <c r="F977" s="16" t="s">
        <v>980</v>
      </c>
      <c r="G977" s="118">
        <v>57</v>
      </c>
      <c r="H977" s="118">
        <v>10.7</v>
      </c>
      <c r="I977" s="118">
        <v>30.6</v>
      </c>
      <c r="J977" s="118">
        <v>4.0999999999999996</v>
      </c>
      <c r="K977" s="119" t="s">
        <v>26</v>
      </c>
      <c r="L977" s="118">
        <v>3</v>
      </c>
      <c r="M977" s="119" t="s">
        <v>26</v>
      </c>
      <c r="N977" s="119" t="s">
        <v>26</v>
      </c>
      <c r="O977" s="118">
        <v>3.2</v>
      </c>
      <c r="P977" s="118">
        <v>1</v>
      </c>
      <c r="Q977" s="119" t="s">
        <v>26</v>
      </c>
      <c r="R977" s="118">
        <v>1.6</v>
      </c>
      <c r="S977" s="127">
        <v>2.1</v>
      </c>
      <c r="T977" s="121" t="s">
        <v>26</v>
      </c>
      <c r="U977" s="133">
        <v>1503</v>
      </c>
      <c r="V977" s="126" t="s">
        <v>26</v>
      </c>
      <c r="AC977" s="33"/>
      <c r="AD977" s="33"/>
      <c r="AE977" s="33"/>
    </row>
    <row r="978" spans="1:31">
      <c r="A978" s="18" t="s">
        <v>978</v>
      </c>
      <c r="B978" s="8" t="s">
        <v>68</v>
      </c>
      <c r="C978" s="8" t="s">
        <v>22</v>
      </c>
      <c r="D978" s="8" t="s">
        <v>730</v>
      </c>
      <c r="E978" s="23" t="s">
        <v>31</v>
      </c>
      <c r="F978" s="16" t="s">
        <v>975</v>
      </c>
      <c r="G978" s="118">
        <v>13</v>
      </c>
      <c r="H978" s="119" t="s">
        <v>26</v>
      </c>
      <c r="I978" s="118">
        <v>3.9</v>
      </c>
      <c r="J978" s="118">
        <v>7</v>
      </c>
      <c r="K978" s="119" t="s">
        <v>26</v>
      </c>
      <c r="L978" s="118">
        <v>2.9</v>
      </c>
      <c r="M978" s="119" t="s">
        <v>26</v>
      </c>
      <c r="N978" s="119" t="s">
        <v>26</v>
      </c>
      <c r="O978" s="118">
        <v>3.7</v>
      </c>
      <c r="P978" s="118">
        <v>1.3</v>
      </c>
      <c r="Q978" s="119" t="s">
        <v>26</v>
      </c>
      <c r="R978" s="119" t="s">
        <v>26</v>
      </c>
      <c r="S978" s="127">
        <v>3.2</v>
      </c>
      <c r="T978" s="121" t="s">
        <v>26</v>
      </c>
      <c r="U978" s="133">
        <v>494</v>
      </c>
      <c r="V978" s="126" t="s">
        <v>26</v>
      </c>
      <c r="AC978" s="33"/>
      <c r="AD978" s="33"/>
      <c r="AE978" s="33"/>
    </row>
    <row r="979" spans="1:31">
      <c r="A979" s="18" t="s">
        <v>978</v>
      </c>
      <c r="B979" s="8" t="s">
        <v>981</v>
      </c>
      <c r="C979" s="8" t="s">
        <v>22</v>
      </c>
      <c r="D979" s="8" t="s">
        <v>955</v>
      </c>
      <c r="E979" s="23" t="s">
        <v>24</v>
      </c>
      <c r="F979" s="16" t="s">
        <v>982</v>
      </c>
      <c r="G979" s="118">
        <v>275</v>
      </c>
      <c r="H979" s="118">
        <v>9.6</v>
      </c>
      <c r="I979" s="119" t="s">
        <v>26</v>
      </c>
      <c r="J979" s="119" t="s">
        <v>26</v>
      </c>
      <c r="K979" s="119" t="s">
        <v>26</v>
      </c>
      <c r="L979" s="118">
        <v>4</v>
      </c>
      <c r="M979" s="119" t="s">
        <v>26</v>
      </c>
      <c r="N979" s="119" t="s">
        <v>26</v>
      </c>
      <c r="O979" s="118">
        <v>3.2</v>
      </c>
      <c r="P979" s="119" t="s">
        <v>26</v>
      </c>
      <c r="Q979" s="119" t="s">
        <v>26</v>
      </c>
      <c r="R979" s="118">
        <v>1.4</v>
      </c>
      <c r="S979" s="120" t="s">
        <v>26</v>
      </c>
      <c r="T979" s="121" t="s">
        <v>26</v>
      </c>
      <c r="U979" s="133">
        <v>113</v>
      </c>
      <c r="V979" s="89">
        <v>125</v>
      </c>
      <c r="AC979" s="33"/>
      <c r="AD979" s="33"/>
      <c r="AE979" s="33"/>
    </row>
    <row r="980" spans="1:31">
      <c r="A980" s="18" t="s">
        <v>978</v>
      </c>
      <c r="B980" s="8" t="s">
        <v>981</v>
      </c>
      <c r="C980" s="8" t="s">
        <v>22</v>
      </c>
      <c r="D980" s="8" t="s">
        <v>955</v>
      </c>
      <c r="E980" s="23" t="s">
        <v>27</v>
      </c>
      <c r="F980" s="16" t="s">
        <v>983</v>
      </c>
      <c r="G980" s="118">
        <v>128</v>
      </c>
      <c r="H980" s="118">
        <v>15.4</v>
      </c>
      <c r="I980" s="118">
        <v>11.6</v>
      </c>
      <c r="J980" s="119" t="s">
        <v>26</v>
      </c>
      <c r="K980" s="119" t="s">
        <v>26</v>
      </c>
      <c r="L980" s="118">
        <v>4.5</v>
      </c>
      <c r="M980" s="119" t="s">
        <v>26</v>
      </c>
      <c r="N980" s="119" t="s">
        <v>26</v>
      </c>
      <c r="O980" s="118">
        <v>4.2</v>
      </c>
      <c r="P980" s="118">
        <v>1.9</v>
      </c>
      <c r="Q980" s="119" t="s">
        <v>26</v>
      </c>
      <c r="R980" s="118">
        <v>1.4</v>
      </c>
      <c r="S980" s="127">
        <v>2.1</v>
      </c>
      <c r="T980" s="121" t="s">
        <v>26</v>
      </c>
      <c r="U980" s="133">
        <v>43</v>
      </c>
      <c r="V980" s="89">
        <v>101</v>
      </c>
      <c r="AC980" s="33"/>
      <c r="AD980" s="33"/>
      <c r="AE980" s="33"/>
    </row>
    <row r="981" spans="1:31">
      <c r="A981" s="18" t="s">
        <v>978</v>
      </c>
      <c r="B981" s="8" t="s">
        <v>981</v>
      </c>
      <c r="C981" s="8" t="s">
        <v>22</v>
      </c>
      <c r="D981" s="8" t="s">
        <v>955</v>
      </c>
      <c r="E981" s="25" t="s">
        <v>958</v>
      </c>
      <c r="F981" s="16" t="s">
        <v>984</v>
      </c>
      <c r="G981" s="118">
        <v>75</v>
      </c>
      <c r="H981" s="118">
        <v>19.399999999999999</v>
      </c>
      <c r="I981" s="118">
        <v>10.6</v>
      </c>
      <c r="J981" s="119" t="s">
        <v>26</v>
      </c>
      <c r="K981" s="119" t="s">
        <v>26</v>
      </c>
      <c r="L981" s="118">
        <v>3</v>
      </c>
      <c r="M981" s="119" t="s">
        <v>26</v>
      </c>
      <c r="N981" s="119" t="s">
        <v>26</v>
      </c>
      <c r="O981" s="118">
        <v>3.2</v>
      </c>
      <c r="P981" s="118">
        <v>1.1000000000000001</v>
      </c>
      <c r="Q981" s="119" t="s">
        <v>26</v>
      </c>
      <c r="R981" s="118">
        <v>1.4</v>
      </c>
      <c r="S981" s="127">
        <v>2.7</v>
      </c>
      <c r="T981" s="121" t="s">
        <v>26</v>
      </c>
      <c r="U981" s="133">
        <v>29</v>
      </c>
      <c r="V981" s="126" t="s">
        <v>26</v>
      </c>
      <c r="AC981" s="33"/>
      <c r="AD981" s="33"/>
      <c r="AE981" s="33"/>
    </row>
    <row r="982" spans="1:31">
      <c r="A982" s="18" t="s">
        <v>978</v>
      </c>
      <c r="B982" s="8" t="s">
        <v>981</v>
      </c>
      <c r="C982" s="8" t="s">
        <v>22</v>
      </c>
      <c r="D982" s="8" t="s">
        <v>955</v>
      </c>
      <c r="E982" s="23" t="s">
        <v>29</v>
      </c>
      <c r="F982" s="16" t="s">
        <v>985</v>
      </c>
      <c r="G982" s="118">
        <v>50</v>
      </c>
      <c r="H982" s="118">
        <v>8.6</v>
      </c>
      <c r="I982" s="118">
        <v>20.399999999999999</v>
      </c>
      <c r="J982" s="119" t="s">
        <v>26</v>
      </c>
      <c r="K982" s="119" t="s">
        <v>26</v>
      </c>
      <c r="L982" s="118">
        <v>3.2</v>
      </c>
      <c r="M982" s="119" t="s">
        <v>26</v>
      </c>
      <c r="N982" s="119" t="s">
        <v>26</v>
      </c>
      <c r="O982" s="118">
        <v>3.1</v>
      </c>
      <c r="P982" s="118">
        <v>0.9</v>
      </c>
      <c r="Q982" s="119" t="s">
        <v>26</v>
      </c>
      <c r="R982" s="118">
        <v>1.1000000000000001</v>
      </c>
      <c r="S982" s="127">
        <v>1.2</v>
      </c>
      <c r="T982" s="121" t="s">
        <v>26</v>
      </c>
      <c r="U982" s="133">
        <v>50</v>
      </c>
      <c r="V982" s="89">
        <v>145</v>
      </c>
      <c r="AC982" s="33"/>
      <c r="AD982" s="33"/>
      <c r="AE982" s="33"/>
    </row>
    <row r="983" spans="1:31">
      <c r="A983" s="18" t="s">
        <v>978</v>
      </c>
      <c r="B983" s="8" t="s">
        <v>981</v>
      </c>
      <c r="C983" s="8" t="s">
        <v>22</v>
      </c>
      <c r="D983" s="8" t="s">
        <v>955</v>
      </c>
      <c r="E983" s="23" t="s">
        <v>31</v>
      </c>
      <c r="F983" s="16" t="s">
        <v>986</v>
      </c>
      <c r="G983" s="118">
        <v>19</v>
      </c>
      <c r="H983" s="119" t="s">
        <v>26</v>
      </c>
      <c r="I983" s="118">
        <v>3.2</v>
      </c>
      <c r="J983" s="118">
        <v>1</v>
      </c>
      <c r="K983" s="119" t="s">
        <v>26</v>
      </c>
      <c r="L983" s="118">
        <v>3.9</v>
      </c>
      <c r="M983" s="119" t="s">
        <v>26</v>
      </c>
      <c r="N983" s="119" t="s">
        <v>26</v>
      </c>
      <c r="O983" s="118">
        <v>3.8</v>
      </c>
      <c r="P983" s="118">
        <v>1.3</v>
      </c>
      <c r="Q983" s="119" t="s">
        <v>26</v>
      </c>
      <c r="R983" s="119" t="s">
        <v>26</v>
      </c>
      <c r="S983" s="127">
        <v>2.7</v>
      </c>
      <c r="T983" s="121" t="s">
        <v>26</v>
      </c>
      <c r="U983" s="133">
        <v>36</v>
      </c>
      <c r="V983" s="89">
        <v>39</v>
      </c>
      <c r="AC983" s="33"/>
      <c r="AD983" s="33"/>
      <c r="AE983" s="33"/>
    </row>
    <row r="984" spans="1:31">
      <c r="A984" s="18" t="s">
        <v>978</v>
      </c>
      <c r="B984" s="8" t="s">
        <v>981</v>
      </c>
      <c r="C984" s="8" t="s">
        <v>22</v>
      </c>
      <c r="D984" s="8" t="s">
        <v>955</v>
      </c>
      <c r="E984" s="23" t="s">
        <v>24</v>
      </c>
      <c r="F984" s="16" t="s">
        <v>987</v>
      </c>
      <c r="G984" s="118">
        <v>225</v>
      </c>
      <c r="H984" s="118">
        <v>25</v>
      </c>
      <c r="I984" s="119" t="s">
        <v>26</v>
      </c>
      <c r="J984" s="119" t="s">
        <v>26</v>
      </c>
      <c r="K984" s="119" t="s">
        <v>26</v>
      </c>
      <c r="L984" s="119" t="s">
        <v>26</v>
      </c>
      <c r="M984" s="119" t="s">
        <v>26</v>
      </c>
      <c r="N984" s="119" t="s">
        <v>26</v>
      </c>
      <c r="O984" s="125" t="s">
        <v>26</v>
      </c>
      <c r="P984" s="119" t="s">
        <v>26</v>
      </c>
      <c r="Q984" s="119" t="s">
        <v>26</v>
      </c>
      <c r="R984" s="119" t="s">
        <v>26</v>
      </c>
      <c r="S984" s="120" t="s">
        <v>26</v>
      </c>
      <c r="T984" s="121" t="s">
        <v>26</v>
      </c>
      <c r="U984" s="130">
        <v>75.900000000000006</v>
      </c>
      <c r="V984" s="126" t="s">
        <v>26</v>
      </c>
      <c r="AC984" s="33"/>
      <c r="AD984" s="33"/>
      <c r="AE984" s="33"/>
    </row>
    <row r="985" spans="1:31">
      <c r="A985" s="18" t="s">
        <v>978</v>
      </c>
      <c r="B985" s="8" t="s">
        <v>981</v>
      </c>
      <c r="C985" s="8" t="s">
        <v>22</v>
      </c>
      <c r="D985" s="8" t="s">
        <v>955</v>
      </c>
      <c r="E985" s="23" t="s">
        <v>27</v>
      </c>
      <c r="F985" s="16" t="s">
        <v>988</v>
      </c>
      <c r="G985" s="118">
        <v>95</v>
      </c>
      <c r="H985" s="118">
        <v>35.4</v>
      </c>
      <c r="I985" s="118">
        <v>3.5</v>
      </c>
      <c r="J985" s="119" t="s">
        <v>26</v>
      </c>
      <c r="K985" s="119" t="s">
        <v>26</v>
      </c>
      <c r="L985" s="119" t="s">
        <v>26</v>
      </c>
      <c r="M985" s="119" t="s">
        <v>26</v>
      </c>
      <c r="N985" s="119" t="s">
        <v>26</v>
      </c>
      <c r="O985" s="118">
        <v>4.3</v>
      </c>
      <c r="P985" s="118">
        <v>1.1000000000000001</v>
      </c>
      <c r="Q985" s="119" t="s">
        <v>26</v>
      </c>
      <c r="R985" s="118">
        <v>1.4</v>
      </c>
      <c r="S985" s="127">
        <v>1.2</v>
      </c>
      <c r="T985" s="121" t="s">
        <v>26</v>
      </c>
      <c r="U985" s="123" t="s">
        <v>26</v>
      </c>
      <c r="V985" s="126" t="s">
        <v>26</v>
      </c>
      <c r="AC985" s="33"/>
      <c r="AD985" s="33"/>
      <c r="AE985" s="33"/>
    </row>
    <row r="986" spans="1:31">
      <c r="A986" s="18" t="s">
        <v>978</v>
      </c>
      <c r="B986" s="8" t="s">
        <v>981</v>
      </c>
      <c r="C986" s="8" t="s">
        <v>22</v>
      </c>
      <c r="D986" s="8" t="s">
        <v>955</v>
      </c>
      <c r="E986" s="25" t="s">
        <v>958</v>
      </c>
      <c r="F986" s="16" t="s">
        <v>989</v>
      </c>
      <c r="G986" s="118">
        <v>83</v>
      </c>
      <c r="H986" s="118">
        <v>20.100000000000001</v>
      </c>
      <c r="I986" s="118">
        <v>13.4</v>
      </c>
      <c r="J986" s="119" t="s">
        <v>26</v>
      </c>
      <c r="K986" s="119" t="s">
        <v>26</v>
      </c>
      <c r="L986" s="118">
        <v>0.8</v>
      </c>
      <c r="M986" s="119" t="s">
        <v>26</v>
      </c>
      <c r="N986" s="119" t="s">
        <v>26</v>
      </c>
      <c r="O986" s="118">
        <v>4.0999999999999996</v>
      </c>
      <c r="P986" s="118">
        <v>0.9</v>
      </c>
      <c r="Q986" s="119" t="s">
        <v>26</v>
      </c>
      <c r="R986" s="118">
        <v>1.3</v>
      </c>
      <c r="S986" s="127">
        <v>1.2</v>
      </c>
      <c r="T986" s="121" t="s">
        <v>26</v>
      </c>
      <c r="U986" s="123" t="s">
        <v>26</v>
      </c>
      <c r="V986" s="126" t="s">
        <v>26</v>
      </c>
      <c r="AC986" s="33"/>
      <c r="AD986" s="33"/>
      <c r="AE986" s="33"/>
    </row>
    <row r="987" spans="1:31">
      <c r="A987" s="18" t="s">
        <v>978</v>
      </c>
      <c r="B987" s="8" t="s">
        <v>981</v>
      </c>
      <c r="C987" s="8" t="s">
        <v>22</v>
      </c>
      <c r="D987" s="8" t="s">
        <v>955</v>
      </c>
      <c r="E987" s="23" t="s">
        <v>29</v>
      </c>
      <c r="F987" s="16" t="s">
        <v>990</v>
      </c>
      <c r="G987" s="118">
        <v>43</v>
      </c>
      <c r="H987" s="118">
        <v>10.4</v>
      </c>
      <c r="I987" s="118">
        <v>7.6</v>
      </c>
      <c r="J987" s="118">
        <v>0.8</v>
      </c>
      <c r="K987" s="119" t="s">
        <v>26</v>
      </c>
      <c r="L987" s="119" t="s">
        <v>26</v>
      </c>
      <c r="M987" s="119" t="s">
        <v>26</v>
      </c>
      <c r="N987" s="119" t="s">
        <v>26</v>
      </c>
      <c r="O987" s="118">
        <v>4.0999999999999996</v>
      </c>
      <c r="P987" s="118">
        <v>1.9</v>
      </c>
      <c r="Q987" s="119" t="s">
        <v>26</v>
      </c>
      <c r="R987" s="118">
        <v>1.4</v>
      </c>
      <c r="S987" s="127">
        <v>3.4</v>
      </c>
      <c r="T987" s="121" t="s">
        <v>26</v>
      </c>
      <c r="U987" s="123" t="s">
        <v>26</v>
      </c>
      <c r="V987" s="126" t="s">
        <v>26</v>
      </c>
      <c r="AC987" s="33"/>
      <c r="AD987" s="33"/>
      <c r="AE987" s="33"/>
    </row>
    <row r="988" spans="1:31">
      <c r="A988" s="18" t="s">
        <v>978</v>
      </c>
      <c r="B988" s="8" t="s">
        <v>981</v>
      </c>
      <c r="C988" s="8" t="s">
        <v>22</v>
      </c>
      <c r="D988" s="8" t="s">
        <v>955</v>
      </c>
      <c r="E988" s="23" t="s">
        <v>31</v>
      </c>
      <c r="F988" s="16" t="s">
        <v>991</v>
      </c>
      <c r="G988" s="118">
        <v>19</v>
      </c>
      <c r="H988" s="119" t="s">
        <v>26</v>
      </c>
      <c r="I988" s="118">
        <v>11.4</v>
      </c>
      <c r="J988" s="119" t="s">
        <v>26</v>
      </c>
      <c r="K988" s="119" t="s">
        <v>26</v>
      </c>
      <c r="L988" s="119" t="s">
        <v>26</v>
      </c>
      <c r="M988" s="119" t="s">
        <v>26</v>
      </c>
      <c r="N988" s="119" t="s">
        <v>26</v>
      </c>
      <c r="O988" s="118">
        <v>3.4</v>
      </c>
      <c r="P988" s="118">
        <v>1.1000000000000001</v>
      </c>
      <c r="Q988" s="119" t="s">
        <v>26</v>
      </c>
      <c r="R988" s="118">
        <v>1.4</v>
      </c>
      <c r="S988" s="127">
        <v>2.6</v>
      </c>
      <c r="T988" s="121" t="s">
        <v>26</v>
      </c>
      <c r="U988" s="123" t="s">
        <v>26</v>
      </c>
      <c r="V988" s="126" t="s">
        <v>26</v>
      </c>
      <c r="AC988" s="33"/>
      <c r="AD988" s="33"/>
      <c r="AE988" s="33"/>
    </row>
    <row r="989" spans="1:31">
      <c r="A989" s="18" t="s">
        <v>992</v>
      </c>
      <c r="B989" s="8" t="s">
        <v>21</v>
      </c>
      <c r="C989" s="8" t="s">
        <v>22</v>
      </c>
      <c r="D989" s="8" t="s">
        <v>964</v>
      </c>
      <c r="E989" s="23" t="s">
        <v>27</v>
      </c>
      <c r="F989" s="16" t="s">
        <v>993</v>
      </c>
      <c r="G989" s="118">
        <v>106</v>
      </c>
      <c r="H989" s="118">
        <v>35.5</v>
      </c>
      <c r="I989" s="118">
        <v>2.9</v>
      </c>
      <c r="J989" s="118">
        <v>12.5</v>
      </c>
      <c r="K989" s="118">
        <v>0.4</v>
      </c>
      <c r="L989" s="118">
        <v>0.9</v>
      </c>
      <c r="M989" s="119" t="s">
        <v>26</v>
      </c>
      <c r="N989" s="119" t="s">
        <v>26</v>
      </c>
      <c r="O989" s="118">
        <v>1.4</v>
      </c>
      <c r="P989" s="118">
        <v>0.8</v>
      </c>
      <c r="Q989" s="118">
        <v>2.2000000000000002</v>
      </c>
      <c r="R989" s="118">
        <v>1.4</v>
      </c>
      <c r="S989" s="127">
        <v>3.1</v>
      </c>
      <c r="T989" s="121" t="s">
        <v>26</v>
      </c>
      <c r="U989" s="130">
        <v>26</v>
      </c>
      <c r="V989" s="89">
        <v>14</v>
      </c>
      <c r="W989" s="11"/>
      <c r="AC989" s="33"/>
      <c r="AD989" s="33"/>
      <c r="AE989" s="33"/>
    </row>
    <row r="990" spans="1:31">
      <c r="A990" s="18" t="s">
        <v>992</v>
      </c>
      <c r="B990" s="8" t="s">
        <v>21</v>
      </c>
      <c r="C990" s="8" t="s">
        <v>22</v>
      </c>
      <c r="D990" s="8" t="s">
        <v>964</v>
      </c>
      <c r="E990" s="23" t="s">
        <v>29</v>
      </c>
      <c r="F990" s="16" t="s">
        <v>994</v>
      </c>
      <c r="G990" s="118">
        <v>46</v>
      </c>
      <c r="H990" s="118">
        <v>5.0999999999999996</v>
      </c>
      <c r="I990" s="118">
        <v>11.5</v>
      </c>
      <c r="J990" s="118">
        <v>19.5</v>
      </c>
      <c r="K990" s="118">
        <v>0.6</v>
      </c>
      <c r="L990" s="118">
        <v>0.5</v>
      </c>
      <c r="M990" s="119" t="s">
        <v>26</v>
      </c>
      <c r="N990" s="119" t="s">
        <v>26</v>
      </c>
      <c r="O990" s="118">
        <v>0.9</v>
      </c>
      <c r="P990" s="118">
        <v>2.2999999999999998</v>
      </c>
      <c r="Q990" s="119" t="s">
        <v>26</v>
      </c>
      <c r="R990" s="118">
        <v>0.5</v>
      </c>
      <c r="S990" s="127">
        <v>2.2000000000000002</v>
      </c>
      <c r="T990" s="121" t="s">
        <v>26</v>
      </c>
      <c r="U990" s="130">
        <v>21</v>
      </c>
      <c r="V990" s="89">
        <v>10</v>
      </c>
      <c r="AC990" s="33"/>
      <c r="AD990" s="33"/>
      <c r="AE990" s="33"/>
    </row>
    <row r="991" spans="1:31">
      <c r="A991" s="18" t="s">
        <v>992</v>
      </c>
      <c r="B991" s="8" t="s">
        <v>21</v>
      </c>
      <c r="C991" s="8" t="s">
        <v>22</v>
      </c>
      <c r="D991" s="8" t="s">
        <v>964</v>
      </c>
      <c r="E991" s="25" t="s">
        <v>995</v>
      </c>
      <c r="F991" s="16" t="s">
        <v>996</v>
      </c>
      <c r="G991" s="118">
        <v>12</v>
      </c>
      <c r="H991" s="118">
        <v>7.8</v>
      </c>
      <c r="I991" s="118">
        <v>6.5</v>
      </c>
      <c r="J991" s="118">
        <v>6.2</v>
      </c>
      <c r="K991" s="119" t="s">
        <v>26</v>
      </c>
      <c r="L991" s="118">
        <v>9.6999999999999993</v>
      </c>
      <c r="M991" s="119" t="s">
        <v>26</v>
      </c>
      <c r="N991" s="119" t="s">
        <v>26</v>
      </c>
      <c r="O991" s="118">
        <v>1.5</v>
      </c>
      <c r="P991" s="119" t="s">
        <v>26</v>
      </c>
      <c r="Q991" s="119" t="s">
        <v>26</v>
      </c>
      <c r="R991" s="119" t="s">
        <v>26</v>
      </c>
      <c r="S991" s="127">
        <v>7.5</v>
      </c>
      <c r="T991" s="121" t="s">
        <v>26</v>
      </c>
      <c r="U991" s="130">
        <v>864</v>
      </c>
      <c r="V991" s="89">
        <v>508</v>
      </c>
      <c r="AC991" s="33"/>
      <c r="AD991" s="33"/>
      <c r="AE991" s="33"/>
    </row>
    <row r="992" spans="1:31">
      <c r="A992" s="18" t="s">
        <v>997</v>
      </c>
      <c r="B992" s="8" t="s">
        <v>68</v>
      </c>
      <c r="C992" s="8" t="s">
        <v>22</v>
      </c>
      <c r="D992" s="8" t="s">
        <v>730</v>
      </c>
      <c r="E992" s="23" t="s">
        <v>27</v>
      </c>
      <c r="F992" s="16" t="s">
        <v>294</v>
      </c>
      <c r="G992" s="118">
        <v>158</v>
      </c>
      <c r="H992" s="118">
        <v>9.6</v>
      </c>
      <c r="I992" s="118">
        <v>40</v>
      </c>
      <c r="J992" s="118">
        <v>0.4</v>
      </c>
      <c r="K992" s="118">
        <v>0.3</v>
      </c>
      <c r="L992" s="118">
        <v>0.4</v>
      </c>
      <c r="M992" s="119" t="s">
        <v>26</v>
      </c>
      <c r="N992" s="119" t="s">
        <v>26</v>
      </c>
      <c r="O992" s="118">
        <v>0.6</v>
      </c>
      <c r="P992" s="118">
        <v>1.1000000000000001</v>
      </c>
      <c r="Q992" s="118">
        <v>2.5</v>
      </c>
      <c r="R992" s="118">
        <v>1.5</v>
      </c>
      <c r="S992" s="127">
        <v>1.2</v>
      </c>
      <c r="T992" s="121" t="s">
        <v>26</v>
      </c>
      <c r="U992" s="89">
        <v>304</v>
      </c>
      <c r="V992" s="126" t="s">
        <v>26</v>
      </c>
      <c r="W992" s="11"/>
      <c r="AC992" s="33"/>
      <c r="AD992" s="33"/>
      <c r="AE992" s="33"/>
    </row>
    <row r="993" spans="1:32">
      <c r="A993" s="18" t="s">
        <v>997</v>
      </c>
      <c r="B993" s="8" t="s">
        <v>68</v>
      </c>
      <c r="C993" s="8" t="s">
        <v>22</v>
      </c>
      <c r="D993" s="8" t="s">
        <v>730</v>
      </c>
      <c r="E993" s="23" t="s">
        <v>29</v>
      </c>
      <c r="F993" s="16" t="s">
        <v>968</v>
      </c>
      <c r="G993" s="118">
        <v>45</v>
      </c>
      <c r="H993" s="118">
        <v>4.5</v>
      </c>
      <c r="I993" s="118">
        <v>11.5</v>
      </c>
      <c r="J993" s="118">
        <v>5.0999999999999996</v>
      </c>
      <c r="K993" s="118">
        <v>0.6</v>
      </c>
      <c r="L993" s="118">
        <v>1.6</v>
      </c>
      <c r="M993" s="119" t="s">
        <v>26</v>
      </c>
      <c r="N993" s="119" t="s">
        <v>26</v>
      </c>
      <c r="O993" s="118">
        <v>2.8</v>
      </c>
      <c r="P993" s="118">
        <v>2.6</v>
      </c>
      <c r="Q993" s="119" t="s">
        <v>26</v>
      </c>
      <c r="R993" s="118">
        <v>0.7</v>
      </c>
      <c r="S993" s="127">
        <v>3.2</v>
      </c>
      <c r="T993" s="121" t="s">
        <v>26</v>
      </c>
      <c r="U993" s="133">
        <v>1233</v>
      </c>
      <c r="V993" s="126" t="s">
        <v>26</v>
      </c>
      <c r="AC993" s="33"/>
      <c r="AD993" s="33"/>
      <c r="AE993" s="33"/>
    </row>
    <row r="994" spans="1:32">
      <c r="A994" s="18" t="s">
        <v>997</v>
      </c>
      <c r="B994" s="8" t="s">
        <v>68</v>
      </c>
      <c r="C994" s="8" t="s">
        <v>22</v>
      </c>
      <c r="D994" s="8" t="s">
        <v>730</v>
      </c>
      <c r="E994" s="23" t="s">
        <v>31</v>
      </c>
      <c r="F994" s="16" t="s">
        <v>998</v>
      </c>
      <c r="G994" s="118">
        <v>23</v>
      </c>
      <c r="H994" s="119" t="s">
        <v>26</v>
      </c>
      <c r="I994" s="118">
        <v>10.5</v>
      </c>
      <c r="J994" s="118">
        <v>28.2</v>
      </c>
      <c r="K994" s="118">
        <v>0.9</v>
      </c>
      <c r="L994" s="118">
        <v>1.4</v>
      </c>
      <c r="M994" s="119" t="s">
        <v>26</v>
      </c>
      <c r="N994" s="119" t="s">
        <v>26</v>
      </c>
      <c r="O994" s="118">
        <v>2.4</v>
      </c>
      <c r="P994" s="118">
        <v>3.8</v>
      </c>
      <c r="Q994" s="119" t="s">
        <v>26</v>
      </c>
      <c r="R994" s="119" t="s">
        <v>26</v>
      </c>
      <c r="S994" s="127">
        <v>4.5</v>
      </c>
      <c r="T994" s="121" t="s">
        <v>26</v>
      </c>
      <c r="U994" s="133">
        <v>757</v>
      </c>
      <c r="V994" s="126" t="s">
        <v>26</v>
      </c>
      <c r="AC994" s="33"/>
      <c r="AD994" s="33"/>
      <c r="AE994" s="33"/>
    </row>
    <row r="995" spans="1:32">
      <c r="A995" s="18" t="s">
        <v>997</v>
      </c>
      <c r="B995" s="8" t="s">
        <v>981</v>
      </c>
      <c r="C995" s="8" t="s">
        <v>22</v>
      </c>
      <c r="D995" s="8" t="s">
        <v>955</v>
      </c>
      <c r="E995" s="23" t="s">
        <v>24</v>
      </c>
      <c r="F995" s="16" t="s">
        <v>999</v>
      </c>
      <c r="G995" s="118">
        <v>225</v>
      </c>
      <c r="H995" s="118">
        <v>12.5</v>
      </c>
      <c r="I995" s="119" t="s">
        <v>26</v>
      </c>
      <c r="J995" s="119" t="s">
        <v>26</v>
      </c>
      <c r="K995" s="119" t="s">
        <v>26</v>
      </c>
      <c r="L995" s="118">
        <v>30.5</v>
      </c>
      <c r="M995" s="119" t="s">
        <v>26</v>
      </c>
      <c r="N995" s="119" t="s">
        <v>26</v>
      </c>
      <c r="O995" s="118">
        <v>0.4</v>
      </c>
      <c r="P995" s="119" t="s">
        <v>26</v>
      </c>
      <c r="Q995" s="119" t="s">
        <v>26</v>
      </c>
      <c r="R995" s="118">
        <v>1.4</v>
      </c>
      <c r="S995" s="127">
        <v>2.6</v>
      </c>
      <c r="T995" s="121" t="s">
        <v>26</v>
      </c>
      <c r="U995" s="133">
        <v>152</v>
      </c>
      <c r="V995" s="89">
        <v>201</v>
      </c>
      <c r="AC995" s="33"/>
      <c r="AD995" s="33"/>
      <c r="AE995" s="33"/>
    </row>
    <row r="996" spans="1:32">
      <c r="A996" s="18" t="s">
        <v>997</v>
      </c>
      <c r="B996" s="8" t="s">
        <v>981</v>
      </c>
      <c r="C996" s="8" t="s">
        <v>22</v>
      </c>
      <c r="D996" s="8" t="s">
        <v>955</v>
      </c>
      <c r="E996" s="23" t="s">
        <v>27</v>
      </c>
      <c r="F996" s="16" t="s">
        <v>1000</v>
      </c>
      <c r="G996" s="118">
        <v>128</v>
      </c>
      <c r="H996" s="118">
        <v>8.9</v>
      </c>
      <c r="I996" s="118">
        <v>10.5</v>
      </c>
      <c r="J996" s="118">
        <v>0.8</v>
      </c>
      <c r="K996" s="119" t="s">
        <v>26</v>
      </c>
      <c r="L996" s="118">
        <v>30.5</v>
      </c>
      <c r="M996" s="119" t="s">
        <v>26</v>
      </c>
      <c r="N996" s="119" t="s">
        <v>26</v>
      </c>
      <c r="O996" s="118">
        <v>0.6</v>
      </c>
      <c r="P996" s="119" t="s">
        <v>26</v>
      </c>
      <c r="Q996" s="119" t="s">
        <v>26</v>
      </c>
      <c r="R996" s="118">
        <v>0.5</v>
      </c>
      <c r="S996" s="127">
        <v>10.5</v>
      </c>
      <c r="T996" s="121" t="s">
        <v>26</v>
      </c>
      <c r="U996" s="133">
        <v>87</v>
      </c>
      <c r="V996" s="89">
        <v>221</v>
      </c>
      <c r="AC996" s="33"/>
      <c r="AD996" s="33"/>
      <c r="AE996" s="33"/>
    </row>
    <row r="997" spans="1:32">
      <c r="A997" s="18" t="s">
        <v>997</v>
      </c>
      <c r="B997" s="8" t="s">
        <v>981</v>
      </c>
      <c r="C997" s="8" t="s">
        <v>22</v>
      </c>
      <c r="D997" s="8" t="s">
        <v>955</v>
      </c>
      <c r="E997" s="25" t="s">
        <v>958</v>
      </c>
      <c r="F997" s="16" t="s">
        <v>1001</v>
      </c>
      <c r="G997" s="118">
        <v>83</v>
      </c>
      <c r="H997" s="118">
        <v>5.4</v>
      </c>
      <c r="I997" s="118">
        <v>7.9</v>
      </c>
      <c r="J997" s="118">
        <v>2.2000000000000002</v>
      </c>
      <c r="K997" s="118">
        <v>0.5</v>
      </c>
      <c r="L997" s="118">
        <v>20.5</v>
      </c>
      <c r="M997" s="119" t="s">
        <v>26</v>
      </c>
      <c r="N997" s="119" t="s">
        <v>26</v>
      </c>
      <c r="O997" s="125" t="s">
        <v>26</v>
      </c>
      <c r="P997" s="119" t="s">
        <v>26</v>
      </c>
      <c r="Q997" s="119" t="s">
        <v>26</v>
      </c>
      <c r="R997" s="119" t="s">
        <v>26</v>
      </c>
      <c r="S997" s="127">
        <v>11.4</v>
      </c>
      <c r="T997" s="121" t="s">
        <v>26</v>
      </c>
      <c r="U997" s="133">
        <v>61</v>
      </c>
      <c r="V997" s="89">
        <v>8</v>
      </c>
      <c r="AC997" s="33"/>
      <c r="AD997" s="33"/>
      <c r="AE997" s="33"/>
    </row>
    <row r="998" spans="1:32">
      <c r="A998" s="18" t="s">
        <v>997</v>
      </c>
      <c r="B998" s="8" t="s">
        <v>981</v>
      </c>
      <c r="C998" s="8" t="s">
        <v>22</v>
      </c>
      <c r="D998" s="8" t="s">
        <v>955</v>
      </c>
      <c r="E998" s="23" t="s">
        <v>29</v>
      </c>
      <c r="F998" s="16" t="s">
        <v>960</v>
      </c>
      <c r="G998" s="118">
        <v>56</v>
      </c>
      <c r="H998" s="118">
        <v>0.5</v>
      </c>
      <c r="I998" s="118">
        <v>28.5</v>
      </c>
      <c r="J998" s="118">
        <v>3</v>
      </c>
      <c r="K998" s="119" t="s">
        <v>26</v>
      </c>
      <c r="L998" s="118">
        <v>24.5</v>
      </c>
      <c r="M998" s="119" t="s">
        <v>26</v>
      </c>
      <c r="N998" s="119" t="s">
        <v>26</v>
      </c>
      <c r="O998" s="125" t="s">
        <v>26</v>
      </c>
      <c r="P998" s="119" t="s">
        <v>26</v>
      </c>
      <c r="Q998" s="119" t="s">
        <v>26</v>
      </c>
      <c r="R998" s="119" t="s">
        <v>26</v>
      </c>
      <c r="S998" s="127">
        <v>25.5</v>
      </c>
      <c r="T998" s="121" t="s">
        <v>26</v>
      </c>
      <c r="U998" s="133">
        <v>56</v>
      </c>
      <c r="V998" s="89">
        <v>88</v>
      </c>
      <c r="AC998" s="33"/>
      <c r="AD998" s="33"/>
      <c r="AE998" s="33"/>
    </row>
    <row r="999" spans="1:32">
      <c r="A999" s="18" t="s">
        <v>997</v>
      </c>
      <c r="B999" s="8" t="s">
        <v>981</v>
      </c>
      <c r="C999" s="8" t="s">
        <v>22</v>
      </c>
      <c r="D999" s="8" t="s">
        <v>955</v>
      </c>
      <c r="E999" s="23" t="s">
        <v>31</v>
      </c>
      <c r="F999" s="16" t="s">
        <v>1002</v>
      </c>
      <c r="G999" s="118">
        <v>24</v>
      </c>
      <c r="H999" s="119" t="s">
        <v>26</v>
      </c>
      <c r="I999" s="118">
        <v>12.5</v>
      </c>
      <c r="J999" s="118">
        <v>12.5</v>
      </c>
      <c r="K999" s="119" t="s">
        <v>26</v>
      </c>
      <c r="L999" s="118">
        <v>12.5</v>
      </c>
      <c r="M999" s="119" t="s">
        <v>26</v>
      </c>
      <c r="N999" s="119" t="s">
        <v>26</v>
      </c>
      <c r="O999" s="125" t="s">
        <v>26</v>
      </c>
      <c r="P999" s="119" t="s">
        <v>26</v>
      </c>
      <c r="Q999" s="119" t="s">
        <v>26</v>
      </c>
      <c r="R999" s="119" t="s">
        <v>26</v>
      </c>
      <c r="S999" s="127">
        <v>20.6</v>
      </c>
      <c r="T999" s="121" t="s">
        <v>26</v>
      </c>
      <c r="U999" s="133">
        <v>18</v>
      </c>
      <c r="V999" s="89">
        <v>47</v>
      </c>
      <c r="AC999" s="33"/>
      <c r="AD999" s="33"/>
      <c r="AE999" s="33"/>
    </row>
    <row r="1000" spans="1:32">
      <c r="A1000" s="18" t="s">
        <v>997</v>
      </c>
      <c r="B1000" s="8" t="s">
        <v>1003</v>
      </c>
      <c r="C1000" s="8" t="s">
        <v>22</v>
      </c>
      <c r="D1000" s="8" t="s">
        <v>955</v>
      </c>
      <c r="E1000" s="23" t="s">
        <v>24</v>
      </c>
      <c r="F1000" s="16" t="s">
        <v>1004</v>
      </c>
      <c r="G1000" s="118">
        <v>242</v>
      </c>
      <c r="H1000" s="118">
        <v>10.5</v>
      </c>
      <c r="I1000" s="119" t="s">
        <v>26</v>
      </c>
      <c r="J1000" s="119" t="s">
        <v>26</v>
      </c>
      <c r="K1000" s="119" t="s">
        <v>26</v>
      </c>
      <c r="L1000" s="118">
        <v>0.4</v>
      </c>
      <c r="M1000" s="118">
        <v>0.9</v>
      </c>
      <c r="N1000" s="119" t="s">
        <v>26</v>
      </c>
      <c r="O1000" s="125" t="s">
        <v>26</v>
      </c>
      <c r="P1000" s="119" t="s">
        <v>26</v>
      </c>
      <c r="Q1000" s="119" t="s">
        <v>26</v>
      </c>
      <c r="R1000" s="118">
        <v>1.6</v>
      </c>
      <c r="S1000" s="127">
        <v>0.5</v>
      </c>
      <c r="T1000" s="121" t="s">
        <v>26</v>
      </c>
      <c r="U1000" s="130">
        <v>54</v>
      </c>
      <c r="V1000" s="126" t="s">
        <v>26</v>
      </c>
      <c r="AC1000" s="33"/>
      <c r="AD1000" s="33"/>
      <c r="AE1000" s="33"/>
    </row>
    <row r="1001" spans="1:32">
      <c r="A1001" s="18" t="s">
        <v>997</v>
      </c>
      <c r="B1001" s="8" t="s">
        <v>1003</v>
      </c>
      <c r="C1001" s="8" t="s">
        <v>22</v>
      </c>
      <c r="D1001" s="8" t="s">
        <v>955</v>
      </c>
      <c r="E1001" s="23" t="s">
        <v>27</v>
      </c>
      <c r="F1001" s="16" t="s">
        <v>1005</v>
      </c>
      <c r="G1001" s="118">
        <v>105</v>
      </c>
      <c r="H1001" s="118">
        <v>31.4</v>
      </c>
      <c r="I1001" s="118">
        <v>3.2</v>
      </c>
      <c r="J1001" s="119" t="s">
        <v>26</v>
      </c>
      <c r="K1001" s="119" t="s">
        <v>26</v>
      </c>
      <c r="L1001" s="118">
        <v>0.5</v>
      </c>
      <c r="M1001" s="119" t="s">
        <v>26</v>
      </c>
      <c r="N1001" s="119" t="s">
        <v>26</v>
      </c>
      <c r="O1001" s="125" t="s">
        <v>26</v>
      </c>
      <c r="P1001" s="119" t="s">
        <v>26</v>
      </c>
      <c r="Q1001" s="119" t="s">
        <v>26</v>
      </c>
      <c r="R1001" s="118">
        <v>0.5</v>
      </c>
      <c r="S1001" s="120" t="s">
        <v>26</v>
      </c>
      <c r="T1001" s="121" t="s">
        <v>26</v>
      </c>
      <c r="U1001" s="133">
        <v>46</v>
      </c>
      <c r="V1001" s="126" t="s">
        <v>26</v>
      </c>
      <c r="AC1001" s="33"/>
      <c r="AD1001" s="33"/>
      <c r="AE1001" s="33"/>
    </row>
    <row r="1002" spans="1:32">
      <c r="A1002" s="18" t="s">
        <v>997</v>
      </c>
      <c r="B1002" s="8" t="s">
        <v>1003</v>
      </c>
      <c r="C1002" s="8" t="s">
        <v>22</v>
      </c>
      <c r="D1002" s="8" t="s">
        <v>955</v>
      </c>
      <c r="E1002" s="25" t="s">
        <v>958</v>
      </c>
      <c r="F1002" s="16" t="s">
        <v>1006</v>
      </c>
      <c r="G1002" s="118">
        <v>74</v>
      </c>
      <c r="H1002" s="118">
        <v>18.5</v>
      </c>
      <c r="I1002" s="118">
        <v>2.5</v>
      </c>
      <c r="J1002" s="118">
        <v>0.6</v>
      </c>
      <c r="K1002" s="118">
        <v>0.5</v>
      </c>
      <c r="L1002" s="118">
        <v>0.6</v>
      </c>
      <c r="M1002" s="119" t="s">
        <v>26</v>
      </c>
      <c r="N1002" s="119" t="s">
        <v>26</v>
      </c>
      <c r="O1002" s="118">
        <v>1.2</v>
      </c>
      <c r="P1002" s="119" t="s">
        <v>26</v>
      </c>
      <c r="Q1002" s="119" t="s">
        <v>26</v>
      </c>
      <c r="R1002" s="119" t="s">
        <v>26</v>
      </c>
      <c r="S1002" s="120" t="s">
        <v>26</v>
      </c>
      <c r="T1002" s="121" t="s">
        <v>26</v>
      </c>
      <c r="U1002" s="133">
        <v>19</v>
      </c>
      <c r="V1002" s="126" t="s">
        <v>26</v>
      </c>
      <c r="AC1002" s="33"/>
      <c r="AD1002" s="33"/>
      <c r="AE1002" s="33"/>
    </row>
    <row r="1003" spans="1:32">
      <c r="A1003" s="18" t="s">
        <v>997</v>
      </c>
      <c r="B1003" s="8" t="s">
        <v>1003</v>
      </c>
      <c r="C1003" s="8" t="s">
        <v>22</v>
      </c>
      <c r="D1003" s="8" t="s">
        <v>955</v>
      </c>
      <c r="E1003" s="23" t="s">
        <v>29</v>
      </c>
      <c r="F1003" s="16" t="s">
        <v>1007</v>
      </c>
      <c r="G1003" s="118">
        <v>44</v>
      </c>
      <c r="H1003" s="118">
        <v>2.6</v>
      </c>
      <c r="I1003" s="118">
        <v>5.5</v>
      </c>
      <c r="J1003" s="118">
        <v>0.8</v>
      </c>
      <c r="K1003" s="119" t="s">
        <v>26</v>
      </c>
      <c r="L1003" s="118">
        <v>0.8</v>
      </c>
      <c r="M1003" s="119" t="s">
        <v>26</v>
      </c>
      <c r="N1003" s="119" t="s">
        <v>26</v>
      </c>
      <c r="O1003" s="118">
        <v>1</v>
      </c>
      <c r="P1003" s="118">
        <v>0.9</v>
      </c>
      <c r="Q1003" s="119" t="s">
        <v>26</v>
      </c>
      <c r="R1003" s="119" t="s">
        <v>26</v>
      </c>
      <c r="S1003" s="127">
        <v>1.3</v>
      </c>
      <c r="T1003" s="121" t="s">
        <v>26</v>
      </c>
      <c r="U1003" s="130">
        <v>20</v>
      </c>
      <c r="V1003" s="126" t="s">
        <v>26</v>
      </c>
      <c r="AC1003" s="33"/>
      <c r="AD1003" s="33"/>
      <c r="AE1003" s="33"/>
    </row>
    <row r="1004" spans="1:32">
      <c r="A1004" s="18" t="s">
        <v>997</v>
      </c>
      <c r="B1004" s="8" t="s">
        <v>1003</v>
      </c>
      <c r="C1004" s="8" t="s">
        <v>22</v>
      </c>
      <c r="D1004" s="8" t="s">
        <v>955</v>
      </c>
      <c r="E1004" s="23" t="s">
        <v>31</v>
      </c>
      <c r="F1004" s="16" t="s">
        <v>1008</v>
      </c>
      <c r="G1004" s="118">
        <v>21</v>
      </c>
      <c r="H1004" s="119" t="s">
        <v>26</v>
      </c>
      <c r="I1004" s="118">
        <v>8.5</v>
      </c>
      <c r="J1004" s="118">
        <v>2.1</v>
      </c>
      <c r="K1004" s="119" t="s">
        <v>26</v>
      </c>
      <c r="L1004" s="118">
        <v>1.9</v>
      </c>
      <c r="M1004" s="119" t="s">
        <v>26</v>
      </c>
      <c r="N1004" s="119" t="s">
        <v>26</v>
      </c>
      <c r="O1004" s="125" t="s">
        <v>26</v>
      </c>
      <c r="P1004" s="118">
        <v>1.1000000000000001</v>
      </c>
      <c r="Q1004" s="119" t="s">
        <v>26</v>
      </c>
      <c r="R1004" s="119" t="s">
        <v>26</v>
      </c>
      <c r="S1004" s="127">
        <v>2.8</v>
      </c>
      <c r="T1004" s="121" t="s">
        <v>26</v>
      </c>
      <c r="U1004" s="123" t="s">
        <v>26</v>
      </c>
      <c r="V1004" s="126" t="s">
        <v>26</v>
      </c>
      <c r="AC1004" s="33"/>
      <c r="AD1004" s="33"/>
      <c r="AE1004" s="33"/>
    </row>
    <row r="1005" spans="1:32">
      <c r="A1005" s="18" t="s">
        <v>1009</v>
      </c>
      <c r="B1005" s="8" t="s">
        <v>21</v>
      </c>
      <c r="C1005" s="8" t="s">
        <v>22</v>
      </c>
      <c r="D1005" s="8" t="s">
        <v>964</v>
      </c>
      <c r="E1005" s="25" t="s">
        <v>24</v>
      </c>
      <c r="F1005" s="16" t="s">
        <v>122</v>
      </c>
      <c r="G1005" s="118">
        <v>130</v>
      </c>
      <c r="H1005" s="118">
        <v>60.5</v>
      </c>
      <c r="I1005" s="119" t="s">
        <v>26</v>
      </c>
      <c r="J1005" s="118">
        <v>3.4</v>
      </c>
      <c r="K1005" s="119" t="s">
        <v>26</v>
      </c>
      <c r="L1005" s="118">
        <v>0.5</v>
      </c>
      <c r="M1005" s="119" t="s">
        <v>26</v>
      </c>
      <c r="N1005" s="119" t="s">
        <v>26</v>
      </c>
      <c r="O1005" s="118">
        <v>2.2000000000000002</v>
      </c>
      <c r="P1005" s="118">
        <v>0.7</v>
      </c>
      <c r="Q1005" s="119" t="s">
        <v>26</v>
      </c>
      <c r="R1005" s="118">
        <v>1.2</v>
      </c>
      <c r="S1005" s="127">
        <v>3.9</v>
      </c>
      <c r="T1005" s="121" t="s">
        <v>26</v>
      </c>
      <c r="U1005" s="130">
        <v>41</v>
      </c>
      <c r="V1005" s="89">
        <v>98</v>
      </c>
      <c r="AC1005" s="33"/>
      <c r="AD1005" s="33"/>
      <c r="AE1005" s="33"/>
    </row>
    <row r="1006" spans="1:32">
      <c r="A1006" s="18" t="s">
        <v>1009</v>
      </c>
      <c r="B1006" s="8" t="s">
        <v>21</v>
      </c>
      <c r="C1006" s="8" t="s">
        <v>22</v>
      </c>
      <c r="D1006" s="8" t="s">
        <v>964</v>
      </c>
      <c r="E1006" s="25" t="s">
        <v>27</v>
      </c>
      <c r="F1006" s="16" t="s">
        <v>986</v>
      </c>
      <c r="G1006" s="118">
        <v>125</v>
      </c>
      <c r="H1006" s="118">
        <v>24.5</v>
      </c>
      <c r="I1006" s="119" t="s">
        <v>26</v>
      </c>
      <c r="J1006" s="118">
        <v>3.6</v>
      </c>
      <c r="K1006" s="119" t="s">
        <v>26</v>
      </c>
      <c r="L1006" s="119" t="s">
        <v>26</v>
      </c>
      <c r="M1006" s="119" t="s">
        <v>26</v>
      </c>
      <c r="N1006" s="119" t="s">
        <v>26</v>
      </c>
      <c r="O1006" s="118">
        <v>3.1</v>
      </c>
      <c r="P1006" s="118">
        <v>0.9</v>
      </c>
      <c r="Q1006" s="119" t="s">
        <v>26</v>
      </c>
      <c r="R1006" s="119" t="s">
        <v>26</v>
      </c>
      <c r="S1006" s="127">
        <v>4.5</v>
      </c>
      <c r="T1006" s="121" t="s">
        <v>26</v>
      </c>
      <c r="U1006" s="130">
        <v>36</v>
      </c>
      <c r="V1006" s="89">
        <v>45</v>
      </c>
      <c r="AC1006" s="33"/>
      <c r="AD1006" s="33"/>
      <c r="AE1006" s="12"/>
      <c r="AF1006" s="34"/>
    </row>
    <row r="1007" spans="1:32">
      <c r="A1007" s="18" t="s">
        <v>1009</v>
      </c>
      <c r="B1007" s="8" t="s">
        <v>21</v>
      </c>
      <c r="C1007" s="8" t="s">
        <v>22</v>
      </c>
      <c r="D1007" s="8" t="s">
        <v>964</v>
      </c>
      <c r="E1007" s="25" t="s">
        <v>995</v>
      </c>
      <c r="F1007" s="16" t="s">
        <v>1010</v>
      </c>
      <c r="G1007" s="118">
        <v>10</v>
      </c>
      <c r="H1007" s="118">
        <v>5.8</v>
      </c>
      <c r="I1007" s="119" t="s">
        <v>26</v>
      </c>
      <c r="J1007" s="118">
        <v>7.4</v>
      </c>
      <c r="K1007" s="119" t="s">
        <v>26</v>
      </c>
      <c r="L1007" s="118">
        <v>16.5</v>
      </c>
      <c r="M1007" s="119" t="s">
        <v>26</v>
      </c>
      <c r="N1007" s="119" t="s">
        <v>26</v>
      </c>
      <c r="O1007" s="118">
        <v>0.9</v>
      </c>
      <c r="P1007" s="119" t="s">
        <v>26</v>
      </c>
      <c r="Q1007" s="119" t="s">
        <v>26</v>
      </c>
      <c r="R1007" s="119" t="s">
        <v>26</v>
      </c>
      <c r="S1007" s="127">
        <v>14.5</v>
      </c>
      <c r="T1007" s="121" t="s">
        <v>26</v>
      </c>
      <c r="U1007" s="130">
        <v>572</v>
      </c>
      <c r="V1007" s="89">
        <v>28</v>
      </c>
      <c r="AC1007" s="33"/>
      <c r="AD1007" s="33"/>
      <c r="AE1007" s="12"/>
      <c r="AF1007" s="34"/>
    </row>
    <row r="1008" spans="1:32">
      <c r="A1008" s="18" t="s">
        <v>1011</v>
      </c>
      <c r="B1008" s="8" t="s">
        <v>676</v>
      </c>
      <c r="C1008" s="8" t="s">
        <v>22</v>
      </c>
      <c r="D1008" s="8" t="s">
        <v>964</v>
      </c>
      <c r="E1008" s="25" t="s">
        <v>27</v>
      </c>
      <c r="F1008" s="16" t="s">
        <v>988</v>
      </c>
      <c r="G1008" s="131" t="s">
        <v>1012</v>
      </c>
      <c r="H1008" s="118">
        <v>33.6</v>
      </c>
      <c r="I1008" s="118">
        <v>3</v>
      </c>
      <c r="J1008" s="118">
        <v>5.4</v>
      </c>
      <c r="K1008" s="118">
        <v>0.5</v>
      </c>
      <c r="L1008" s="118">
        <v>0.4</v>
      </c>
      <c r="M1008" s="119" t="s">
        <v>26</v>
      </c>
      <c r="N1008" s="119" t="s">
        <v>26</v>
      </c>
      <c r="O1008" s="118">
        <v>3.2</v>
      </c>
      <c r="P1008" s="118">
        <v>2.5</v>
      </c>
      <c r="Q1008" s="119" t="s">
        <v>26</v>
      </c>
      <c r="R1008" s="118">
        <v>1.1000000000000001</v>
      </c>
      <c r="S1008" s="127">
        <v>3.9</v>
      </c>
      <c r="T1008" s="121" t="s">
        <v>26</v>
      </c>
      <c r="U1008" s="130">
        <v>63</v>
      </c>
      <c r="V1008" s="126" t="s">
        <v>26</v>
      </c>
      <c r="AC1008" s="33"/>
      <c r="AD1008" s="33"/>
      <c r="AE1008" s="12"/>
      <c r="AF1008" s="34"/>
    </row>
    <row r="1009" spans="1:32">
      <c r="A1009" s="18" t="s">
        <v>1011</v>
      </c>
      <c r="B1009" s="8" t="s">
        <v>676</v>
      </c>
      <c r="C1009" s="8" t="s">
        <v>22</v>
      </c>
      <c r="D1009" s="8" t="s">
        <v>964</v>
      </c>
      <c r="E1009" s="25" t="s">
        <v>995</v>
      </c>
      <c r="F1009" s="16" t="s">
        <v>1013</v>
      </c>
      <c r="G1009" s="131" t="s">
        <v>1014</v>
      </c>
      <c r="H1009" s="118">
        <v>13.5</v>
      </c>
      <c r="I1009" s="118">
        <v>1.4</v>
      </c>
      <c r="J1009" s="118">
        <v>18.399999999999999</v>
      </c>
      <c r="K1009" s="119" t="s">
        <v>26</v>
      </c>
      <c r="L1009" s="118">
        <v>0.8</v>
      </c>
      <c r="M1009" s="119" t="s">
        <v>26</v>
      </c>
      <c r="N1009" s="119" t="s">
        <v>26</v>
      </c>
      <c r="O1009" s="118">
        <v>1</v>
      </c>
      <c r="P1009" s="119" t="s">
        <v>26</v>
      </c>
      <c r="Q1009" s="119" t="s">
        <v>26</v>
      </c>
      <c r="R1009" s="119" t="s">
        <v>26</v>
      </c>
      <c r="S1009" s="127">
        <v>16.399999999999999</v>
      </c>
      <c r="T1009" s="121" t="s">
        <v>26</v>
      </c>
      <c r="U1009" s="130">
        <v>555</v>
      </c>
      <c r="V1009" s="126" t="s">
        <v>26</v>
      </c>
      <c r="AC1009" s="33"/>
      <c r="AD1009" s="33"/>
      <c r="AE1009" s="12"/>
      <c r="AF1009" s="34"/>
    </row>
    <row r="1010" spans="1:32">
      <c r="A1010" s="18" t="s">
        <v>1011</v>
      </c>
      <c r="B1010" s="8" t="s">
        <v>21</v>
      </c>
      <c r="C1010" s="8" t="s">
        <v>22</v>
      </c>
      <c r="D1010" s="8" t="s">
        <v>1015</v>
      </c>
      <c r="E1010" s="25" t="s">
        <v>27</v>
      </c>
      <c r="F1010" s="16" t="s">
        <v>1016</v>
      </c>
      <c r="G1010" s="131" t="s">
        <v>1017</v>
      </c>
      <c r="H1010" s="118">
        <v>30.1</v>
      </c>
      <c r="I1010" s="118">
        <v>19.5</v>
      </c>
      <c r="J1010" s="119" t="s">
        <v>26</v>
      </c>
      <c r="K1010" s="119" t="s">
        <v>26</v>
      </c>
      <c r="L1010" s="118">
        <v>0.8</v>
      </c>
      <c r="M1010" s="119" t="s">
        <v>26</v>
      </c>
      <c r="N1010" s="119" t="s">
        <v>26</v>
      </c>
      <c r="O1010" s="125" t="s">
        <v>26</v>
      </c>
      <c r="P1010" s="119" t="s">
        <v>26</v>
      </c>
      <c r="Q1010" s="119" t="s">
        <v>26</v>
      </c>
      <c r="R1010" s="118">
        <v>1.4</v>
      </c>
      <c r="S1010" s="120" t="s">
        <v>26</v>
      </c>
      <c r="T1010" s="121" t="s">
        <v>26</v>
      </c>
      <c r="U1010" s="89">
        <v>324</v>
      </c>
      <c r="V1010" s="89">
        <v>205</v>
      </c>
      <c r="W1010" s="11"/>
      <c r="AC1010" s="33"/>
      <c r="AD1010" s="33"/>
      <c r="AE1010" s="12"/>
      <c r="AF1010" s="34"/>
    </row>
    <row r="1011" spans="1:32">
      <c r="A1011" s="18" t="s">
        <v>1011</v>
      </c>
      <c r="B1011" s="8" t="s">
        <v>21</v>
      </c>
      <c r="C1011" s="8" t="s">
        <v>22</v>
      </c>
      <c r="D1011" s="8" t="s">
        <v>1015</v>
      </c>
      <c r="E1011" s="25" t="s">
        <v>958</v>
      </c>
      <c r="F1011" s="16" t="s">
        <v>1018</v>
      </c>
      <c r="G1011" s="131" t="s">
        <v>1019</v>
      </c>
      <c r="H1011" s="118">
        <v>28.5</v>
      </c>
      <c r="I1011" s="118">
        <v>2.4</v>
      </c>
      <c r="J1011" s="119" t="s">
        <v>26</v>
      </c>
      <c r="K1011" s="119" t="s">
        <v>26</v>
      </c>
      <c r="L1011" s="118">
        <v>0.7</v>
      </c>
      <c r="M1011" s="119" t="s">
        <v>26</v>
      </c>
      <c r="N1011" s="119" t="s">
        <v>26</v>
      </c>
      <c r="O1011" s="118">
        <v>0.6</v>
      </c>
      <c r="P1011" s="119" t="s">
        <v>26</v>
      </c>
      <c r="Q1011" s="119" t="s">
        <v>26</v>
      </c>
      <c r="R1011" s="118">
        <v>0.5</v>
      </c>
      <c r="S1011" s="120" t="s">
        <v>26</v>
      </c>
      <c r="T1011" s="121" t="s">
        <v>26</v>
      </c>
      <c r="U1011" s="89">
        <v>562</v>
      </c>
      <c r="V1011" s="89">
        <v>5</v>
      </c>
      <c r="AC1011" s="33"/>
      <c r="AD1011" s="33"/>
      <c r="AE1011" s="12"/>
      <c r="AF1011" s="34"/>
    </row>
    <row r="1012" spans="1:32">
      <c r="A1012" s="18" t="s">
        <v>1011</v>
      </c>
      <c r="B1012" s="8" t="s">
        <v>21</v>
      </c>
      <c r="C1012" s="8" t="s">
        <v>22</v>
      </c>
      <c r="D1012" s="8" t="s">
        <v>1015</v>
      </c>
      <c r="E1012" s="25" t="s">
        <v>29</v>
      </c>
      <c r="F1012" s="16" t="s">
        <v>1020</v>
      </c>
      <c r="G1012" s="118">
        <v>56</v>
      </c>
      <c r="H1012" s="119" t="s">
        <v>26</v>
      </c>
      <c r="I1012" s="118">
        <v>27.5</v>
      </c>
      <c r="J1012" s="118">
        <v>1.9</v>
      </c>
      <c r="K1012" s="119" t="s">
        <v>26</v>
      </c>
      <c r="L1012" s="118">
        <v>0.9</v>
      </c>
      <c r="M1012" s="119" t="s">
        <v>26</v>
      </c>
      <c r="N1012" s="119" t="s">
        <v>26</v>
      </c>
      <c r="O1012" s="118">
        <v>0.9</v>
      </c>
      <c r="P1012" s="119" t="s">
        <v>26</v>
      </c>
      <c r="Q1012" s="119" t="s">
        <v>26</v>
      </c>
      <c r="R1012" s="119" t="s">
        <v>26</v>
      </c>
      <c r="S1012" s="120" t="s">
        <v>26</v>
      </c>
      <c r="T1012" s="121" t="s">
        <v>26</v>
      </c>
      <c r="U1012" s="89">
        <v>303</v>
      </c>
      <c r="V1012" s="89">
        <v>98</v>
      </c>
      <c r="AC1012" s="33"/>
      <c r="AD1012" s="33"/>
      <c r="AE1012" s="12"/>
      <c r="AF1012" s="34"/>
    </row>
    <row r="1013" spans="1:32">
      <c r="A1013" s="18" t="s">
        <v>1011</v>
      </c>
      <c r="B1013" s="8" t="s">
        <v>21</v>
      </c>
      <c r="C1013" s="8" t="s">
        <v>22</v>
      </c>
      <c r="D1013" s="8" t="s">
        <v>1015</v>
      </c>
      <c r="E1013" s="25" t="s">
        <v>31</v>
      </c>
      <c r="F1013" s="16" t="s">
        <v>1021</v>
      </c>
      <c r="G1013" s="118">
        <v>26</v>
      </c>
      <c r="H1013" s="119" t="s">
        <v>26</v>
      </c>
      <c r="I1013" s="118">
        <v>28.1</v>
      </c>
      <c r="J1013" s="118">
        <v>8.9</v>
      </c>
      <c r="K1013" s="119" t="s">
        <v>26</v>
      </c>
      <c r="L1013" s="118">
        <v>0.9</v>
      </c>
      <c r="M1013" s="119" t="s">
        <v>26</v>
      </c>
      <c r="N1013" s="119" t="s">
        <v>26</v>
      </c>
      <c r="O1013" s="125" t="s">
        <v>26</v>
      </c>
      <c r="P1013" s="119" t="s">
        <v>26</v>
      </c>
      <c r="Q1013" s="119" t="s">
        <v>26</v>
      </c>
      <c r="R1013" s="119" t="s">
        <v>26</v>
      </c>
      <c r="S1013" s="120" t="s">
        <v>26</v>
      </c>
      <c r="T1013" s="121" t="s">
        <v>26</v>
      </c>
      <c r="U1013" s="123" t="s">
        <v>26</v>
      </c>
      <c r="V1013" s="89">
        <v>102</v>
      </c>
      <c r="AC1013" s="33"/>
      <c r="AD1013" s="33"/>
      <c r="AE1013" s="12"/>
      <c r="AF1013" s="34"/>
    </row>
    <row r="1014" spans="1:32">
      <c r="A1014" s="18" t="s">
        <v>1022</v>
      </c>
      <c r="B1014" s="8" t="s">
        <v>614</v>
      </c>
      <c r="C1014" s="8" t="s">
        <v>22</v>
      </c>
      <c r="D1014" s="8" t="s">
        <v>964</v>
      </c>
      <c r="E1014" s="25" t="s">
        <v>27</v>
      </c>
      <c r="F1014" s="16" t="s">
        <v>984</v>
      </c>
      <c r="G1014" s="118">
        <v>102</v>
      </c>
      <c r="H1014" s="118">
        <v>37.5</v>
      </c>
      <c r="I1014" s="118">
        <v>1.5</v>
      </c>
      <c r="J1014" s="118">
        <v>4.2</v>
      </c>
      <c r="K1014" s="119" t="s">
        <v>26</v>
      </c>
      <c r="L1014" s="119" t="s">
        <v>26</v>
      </c>
      <c r="M1014" s="119" t="s">
        <v>26</v>
      </c>
      <c r="N1014" s="119" t="s">
        <v>26</v>
      </c>
      <c r="O1014" s="118">
        <v>2.2000000000000002</v>
      </c>
      <c r="P1014" s="118">
        <v>8.1</v>
      </c>
      <c r="Q1014" s="119" t="s">
        <v>26</v>
      </c>
      <c r="R1014" s="119" t="s">
        <v>26</v>
      </c>
      <c r="S1014" s="127">
        <v>0.9</v>
      </c>
      <c r="T1014" s="121" t="s">
        <v>26</v>
      </c>
      <c r="U1014" s="130">
        <v>29</v>
      </c>
      <c r="V1014" s="89">
        <v>124</v>
      </c>
      <c r="AC1014" s="33"/>
      <c r="AD1014" s="33"/>
      <c r="AE1014" s="12"/>
      <c r="AF1014" s="34"/>
    </row>
    <row r="1015" spans="1:32">
      <c r="A1015" s="18" t="s">
        <v>1022</v>
      </c>
      <c r="B1015" s="8" t="s">
        <v>614</v>
      </c>
      <c r="C1015" s="8" t="s">
        <v>22</v>
      </c>
      <c r="D1015" s="8" t="s">
        <v>964</v>
      </c>
      <c r="E1015" s="25" t="s">
        <v>995</v>
      </c>
      <c r="F1015" s="16" t="s">
        <v>1023</v>
      </c>
      <c r="G1015" s="118">
        <v>9</v>
      </c>
      <c r="H1015" s="118">
        <v>17</v>
      </c>
      <c r="I1015" s="118">
        <v>0.8</v>
      </c>
      <c r="J1015" s="118">
        <v>12.9</v>
      </c>
      <c r="K1015" s="119" t="s">
        <v>26</v>
      </c>
      <c r="L1015" s="118">
        <v>0.4</v>
      </c>
      <c r="M1015" s="119" t="s">
        <v>26</v>
      </c>
      <c r="N1015" s="119" t="s">
        <v>26</v>
      </c>
      <c r="O1015" s="118">
        <v>1.1000000000000001</v>
      </c>
      <c r="P1015" s="119" t="s">
        <v>26</v>
      </c>
      <c r="Q1015" s="119" t="s">
        <v>26</v>
      </c>
      <c r="R1015" s="119" t="s">
        <v>26</v>
      </c>
      <c r="S1015" s="127">
        <v>13.1</v>
      </c>
      <c r="T1015" s="121" t="s">
        <v>26</v>
      </c>
      <c r="U1015" s="130">
        <v>7</v>
      </c>
      <c r="V1015" s="89">
        <v>312</v>
      </c>
      <c r="AC1015" s="33"/>
      <c r="AD1015" s="33"/>
      <c r="AE1015" s="12"/>
      <c r="AF1015" s="34"/>
    </row>
    <row r="1016" spans="1:32">
      <c r="A1016" s="18" t="s">
        <v>1022</v>
      </c>
      <c r="B1016" s="8" t="s">
        <v>614</v>
      </c>
      <c r="C1016" s="8" t="s">
        <v>22</v>
      </c>
      <c r="D1016" s="8" t="s">
        <v>964</v>
      </c>
      <c r="E1016" s="25" t="s">
        <v>29</v>
      </c>
      <c r="F1016" s="16" t="s">
        <v>1024</v>
      </c>
      <c r="G1016" s="118">
        <v>41</v>
      </c>
      <c r="H1016" s="118">
        <v>15.5</v>
      </c>
      <c r="I1016" s="118">
        <v>8.5</v>
      </c>
      <c r="J1016" s="118">
        <v>15.1</v>
      </c>
      <c r="K1016" s="119" t="s">
        <v>26</v>
      </c>
      <c r="L1016" s="119" t="s">
        <v>26</v>
      </c>
      <c r="M1016" s="119" t="s">
        <v>26</v>
      </c>
      <c r="N1016" s="118">
        <v>0.9</v>
      </c>
      <c r="O1016" s="118">
        <v>0.5</v>
      </c>
      <c r="P1016" s="118">
        <v>20.5</v>
      </c>
      <c r="Q1016" s="119" t="s">
        <v>26</v>
      </c>
      <c r="R1016" s="119" t="s">
        <v>26</v>
      </c>
      <c r="S1016" s="120" t="s">
        <v>26</v>
      </c>
      <c r="T1016" s="121" t="s">
        <v>26</v>
      </c>
      <c r="U1016" s="130">
        <v>512</v>
      </c>
      <c r="V1016" s="89">
        <v>121</v>
      </c>
      <c r="AC1016" s="33"/>
      <c r="AD1016" s="33"/>
      <c r="AE1016" s="12"/>
      <c r="AF1016" s="34"/>
    </row>
    <row r="1017" spans="1:32">
      <c r="A1017" s="18" t="s">
        <v>1022</v>
      </c>
      <c r="B1017" s="8" t="s">
        <v>614</v>
      </c>
      <c r="C1017" s="8" t="s">
        <v>22</v>
      </c>
      <c r="D1017" s="8" t="s">
        <v>1015</v>
      </c>
      <c r="E1017" s="25" t="s">
        <v>27</v>
      </c>
      <c r="F1017" s="16" t="s">
        <v>1025</v>
      </c>
      <c r="G1017" s="118">
        <v>110</v>
      </c>
      <c r="H1017" s="118">
        <v>32.5</v>
      </c>
      <c r="I1017" s="118">
        <v>14.5</v>
      </c>
      <c r="J1017" s="118">
        <v>0.4</v>
      </c>
      <c r="K1017" s="119" t="s">
        <v>26</v>
      </c>
      <c r="L1017" s="118">
        <v>0.4</v>
      </c>
      <c r="M1017" s="119" t="s">
        <v>26</v>
      </c>
      <c r="N1017" s="118">
        <v>1.1000000000000001</v>
      </c>
      <c r="O1017" s="125" t="s">
        <v>26</v>
      </c>
      <c r="P1017" s="118">
        <v>0.4</v>
      </c>
      <c r="Q1017" s="119" t="s">
        <v>26</v>
      </c>
      <c r="R1017" s="118">
        <v>1.1000000000000001</v>
      </c>
      <c r="S1017" s="120" t="s">
        <v>26</v>
      </c>
      <c r="T1017" s="121" t="s">
        <v>26</v>
      </c>
      <c r="U1017" s="89">
        <v>1052</v>
      </c>
      <c r="V1017" s="126" t="s">
        <v>26</v>
      </c>
      <c r="AC1017" s="33"/>
      <c r="AD1017" s="33"/>
      <c r="AE1017" s="12"/>
      <c r="AF1017" s="34"/>
    </row>
    <row r="1018" spans="1:32">
      <c r="A1018" s="18" t="s">
        <v>1022</v>
      </c>
      <c r="B1018" s="8" t="s">
        <v>614</v>
      </c>
      <c r="C1018" s="8" t="s">
        <v>22</v>
      </c>
      <c r="D1018" s="8" t="s">
        <v>1015</v>
      </c>
      <c r="E1018" s="25" t="s">
        <v>29</v>
      </c>
      <c r="F1018" s="16" t="s">
        <v>1026</v>
      </c>
      <c r="G1018" s="118">
        <v>48</v>
      </c>
      <c r="H1018" s="118">
        <v>1.5</v>
      </c>
      <c r="I1018" s="118">
        <v>18.5</v>
      </c>
      <c r="J1018" s="118">
        <v>3.4</v>
      </c>
      <c r="K1018" s="119" t="s">
        <v>26</v>
      </c>
      <c r="L1018" s="118">
        <v>0.9</v>
      </c>
      <c r="M1018" s="119" t="s">
        <v>26</v>
      </c>
      <c r="N1018" s="119" t="s">
        <v>26</v>
      </c>
      <c r="O1018" s="118">
        <v>1.2</v>
      </c>
      <c r="P1018" s="118">
        <v>1.8</v>
      </c>
      <c r="Q1018" s="119" t="s">
        <v>26</v>
      </c>
      <c r="R1018" s="119" t="s">
        <v>26</v>
      </c>
      <c r="S1018" s="127">
        <v>0.5</v>
      </c>
      <c r="T1018" s="121" t="s">
        <v>26</v>
      </c>
      <c r="U1018" s="89">
        <v>160</v>
      </c>
      <c r="V1018" s="89">
        <v>29</v>
      </c>
      <c r="AC1018" s="33"/>
      <c r="AD1018" s="33"/>
      <c r="AE1018" s="12"/>
      <c r="AF1018" s="34"/>
    </row>
    <row r="1019" spans="1:32">
      <c r="A1019" s="18" t="s">
        <v>1022</v>
      </c>
      <c r="B1019" s="8" t="s">
        <v>614</v>
      </c>
      <c r="C1019" s="8" t="s">
        <v>22</v>
      </c>
      <c r="D1019" s="8" t="s">
        <v>1015</v>
      </c>
      <c r="E1019" s="25" t="s">
        <v>31</v>
      </c>
      <c r="F1019" s="16" t="s">
        <v>159</v>
      </c>
      <c r="G1019" s="118">
        <v>25</v>
      </c>
      <c r="H1019" s="119" t="s">
        <v>26</v>
      </c>
      <c r="I1019" s="118">
        <v>28.5</v>
      </c>
      <c r="J1019" s="118">
        <v>18.399999999999999</v>
      </c>
      <c r="K1019" s="119" t="s">
        <v>26</v>
      </c>
      <c r="L1019" s="118">
        <v>0.5</v>
      </c>
      <c r="M1019" s="119" t="s">
        <v>26</v>
      </c>
      <c r="N1019" s="119" t="s">
        <v>26</v>
      </c>
      <c r="O1019" s="118">
        <v>1.4</v>
      </c>
      <c r="P1019" s="118">
        <v>1.6</v>
      </c>
      <c r="Q1019" s="119" t="s">
        <v>26</v>
      </c>
      <c r="R1019" s="119" t="s">
        <v>26</v>
      </c>
      <c r="S1019" s="127">
        <v>1.2</v>
      </c>
      <c r="T1019" s="121" t="s">
        <v>26</v>
      </c>
      <c r="U1019" s="89">
        <v>174</v>
      </c>
      <c r="V1019" s="126" t="s">
        <v>26</v>
      </c>
      <c r="AC1019" s="33"/>
      <c r="AD1019" s="33"/>
      <c r="AE1019" s="12"/>
      <c r="AF1019" s="34"/>
    </row>
    <row r="1020" spans="1:32">
      <c r="A1020" s="18" t="s">
        <v>1027</v>
      </c>
      <c r="B1020" s="8" t="s">
        <v>63</v>
      </c>
      <c r="C1020" s="8" t="s">
        <v>22</v>
      </c>
      <c r="D1020" s="8" t="s">
        <v>1015</v>
      </c>
      <c r="E1020" s="25" t="s">
        <v>27</v>
      </c>
      <c r="F1020" s="16" t="s">
        <v>1028</v>
      </c>
      <c r="G1020" s="118">
        <v>114</v>
      </c>
      <c r="H1020" s="118">
        <v>29.5</v>
      </c>
      <c r="I1020" s="118">
        <v>17.100000000000001</v>
      </c>
      <c r="J1020" s="118">
        <v>0.7</v>
      </c>
      <c r="K1020" s="119" t="s">
        <v>26</v>
      </c>
      <c r="L1020" s="118">
        <v>0.5</v>
      </c>
      <c r="M1020" s="119" t="s">
        <v>26</v>
      </c>
      <c r="N1020" s="119" t="s">
        <v>26</v>
      </c>
      <c r="O1020" s="118">
        <v>1.8</v>
      </c>
      <c r="P1020" s="118">
        <v>1.4</v>
      </c>
      <c r="Q1020" s="118">
        <v>0.4</v>
      </c>
      <c r="R1020" s="118">
        <v>1.5</v>
      </c>
      <c r="S1020" s="127">
        <v>0.8</v>
      </c>
      <c r="T1020" s="121" t="s">
        <v>26</v>
      </c>
      <c r="U1020" s="89">
        <v>144</v>
      </c>
      <c r="V1020" s="126" t="s">
        <v>26</v>
      </c>
      <c r="AC1020" s="33"/>
      <c r="AD1020" s="33"/>
      <c r="AE1020" s="12"/>
      <c r="AF1020" s="34"/>
    </row>
    <row r="1021" spans="1:32">
      <c r="A1021" s="18" t="s">
        <v>1027</v>
      </c>
      <c r="B1021" s="8" t="s">
        <v>63</v>
      </c>
      <c r="C1021" s="8" t="s">
        <v>22</v>
      </c>
      <c r="D1021" s="8" t="s">
        <v>1015</v>
      </c>
      <c r="E1021" s="25" t="s">
        <v>29</v>
      </c>
      <c r="F1021" s="16" t="s">
        <v>1029</v>
      </c>
      <c r="G1021" s="118">
        <v>52</v>
      </c>
      <c r="H1021" s="119" t="s">
        <v>26</v>
      </c>
      <c r="I1021" s="118">
        <v>23.8</v>
      </c>
      <c r="J1021" s="118">
        <v>4.3</v>
      </c>
      <c r="K1021" s="119" t="s">
        <v>26</v>
      </c>
      <c r="L1021" s="118">
        <v>0.8</v>
      </c>
      <c r="M1021" s="119" t="s">
        <v>26</v>
      </c>
      <c r="N1021" s="119" t="s">
        <v>26</v>
      </c>
      <c r="O1021" s="118">
        <v>1.9</v>
      </c>
      <c r="P1021" s="118">
        <v>1.8</v>
      </c>
      <c r="Q1021" s="119" t="s">
        <v>26</v>
      </c>
      <c r="R1021" s="118">
        <v>0.7</v>
      </c>
      <c r="S1021" s="127">
        <v>0.9</v>
      </c>
      <c r="T1021" s="121" t="s">
        <v>26</v>
      </c>
      <c r="U1021" s="89">
        <v>2316</v>
      </c>
      <c r="V1021" s="126" t="s">
        <v>26</v>
      </c>
      <c r="AC1021" s="33"/>
      <c r="AD1021" s="33"/>
      <c r="AE1021" s="12"/>
      <c r="AF1021" s="34"/>
    </row>
    <row r="1022" spans="1:32">
      <c r="A1022" s="18" t="s">
        <v>1027</v>
      </c>
      <c r="B1022" s="8" t="s">
        <v>63</v>
      </c>
      <c r="C1022" s="8" t="s">
        <v>22</v>
      </c>
      <c r="D1022" s="8" t="s">
        <v>1015</v>
      </c>
      <c r="E1022" s="25" t="s">
        <v>31</v>
      </c>
      <c r="F1022" s="16" t="s">
        <v>1030</v>
      </c>
      <c r="G1022" s="118">
        <v>24</v>
      </c>
      <c r="H1022" s="119" t="s">
        <v>26</v>
      </c>
      <c r="I1022" s="118">
        <v>19.5</v>
      </c>
      <c r="J1022" s="118">
        <v>21.3</v>
      </c>
      <c r="K1022" s="119" t="s">
        <v>26</v>
      </c>
      <c r="L1022" s="118">
        <v>0.5</v>
      </c>
      <c r="M1022" s="119" t="s">
        <v>26</v>
      </c>
      <c r="N1022" s="119" t="s">
        <v>26</v>
      </c>
      <c r="O1022" s="118">
        <v>0.9</v>
      </c>
      <c r="P1022" s="118">
        <v>2</v>
      </c>
      <c r="Q1022" s="119" t="s">
        <v>26</v>
      </c>
      <c r="R1022" s="119" t="s">
        <v>26</v>
      </c>
      <c r="S1022" s="127">
        <v>3.5</v>
      </c>
      <c r="T1022" s="121" t="s">
        <v>26</v>
      </c>
      <c r="U1022" s="89">
        <v>338</v>
      </c>
      <c r="V1022" s="126" t="s">
        <v>26</v>
      </c>
      <c r="AC1022" s="33"/>
      <c r="AD1022" s="33"/>
      <c r="AE1022" s="33"/>
    </row>
    <row r="1023" spans="1:32">
      <c r="A1023" s="18" t="s">
        <v>1027</v>
      </c>
      <c r="B1023" s="8" t="s">
        <v>68</v>
      </c>
      <c r="C1023" s="8" t="s">
        <v>22</v>
      </c>
      <c r="D1023" s="8" t="s">
        <v>1015</v>
      </c>
      <c r="E1023" s="25" t="s">
        <v>27</v>
      </c>
      <c r="F1023" s="16" t="s">
        <v>1031</v>
      </c>
      <c r="G1023" s="118">
        <v>118</v>
      </c>
      <c r="H1023" s="118">
        <v>25.5</v>
      </c>
      <c r="I1023" s="118">
        <v>20.5</v>
      </c>
      <c r="J1023" s="118">
        <v>0.6</v>
      </c>
      <c r="K1023" s="119" t="s">
        <v>26</v>
      </c>
      <c r="L1023" s="118">
        <v>0.8</v>
      </c>
      <c r="M1023" s="119" t="s">
        <v>26</v>
      </c>
      <c r="N1023" s="119" t="s">
        <v>26</v>
      </c>
      <c r="O1023" s="118">
        <v>1.4</v>
      </c>
      <c r="P1023" s="118">
        <v>0.9</v>
      </c>
      <c r="Q1023" s="119" t="s">
        <v>26</v>
      </c>
      <c r="R1023" s="118">
        <v>0.8</v>
      </c>
      <c r="S1023" s="127">
        <v>0.9</v>
      </c>
      <c r="T1023" s="121" t="s">
        <v>26</v>
      </c>
      <c r="U1023" s="89">
        <v>396</v>
      </c>
      <c r="V1023" s="89">
        <v>170</v>
      </c>
      <c r="AC1023" s="33"/>
      <c r="AD1023" s="33"/>
      <c r="AE1023" s="33"/>
    </row>
    <row r="1024" spans="1:32">
      <c r="A1024" s="18" t="s">
        <v>1027</v>
      </c>
      <c r="B1024" s="8" t="s">
        <v>68</v>
      </c>
      <c r="C1024" s="8" t="s">
        <v>22</v>
      </c>
      <c r="D1024" s="8" t="s">
        <v>1015</v>
      </c>
      <c r="E1024" s="25" t="s">
        <v>29</v>
      </c>
      <c r="F1024" s="16" t="s">
        <v>1032</v>
      </c>
      <c r="G1024" s="118">
        <v>53</v>
      </c>
      <c r="H1024" s="119" t="s">
        <v>26</v>
      </c>
      <c r="I1024" s="118">
        <v>24.5</v>
      </c>
      <c r="J1024" s="118">
        <v>5.2</v>
      </c>
      <c r="K1024" s="119" t="s">
        <v>26</v>
      </c>
      <c r="L1024" s="118">
        <v>3.4</v>
      </c>
      <c r="M1024" s="119" t="s">
        <v>26</v>
      </c>
      <c r="N1024" s="119" t="s">
        <v>26</v>
      </c>
      <c r="O1024" s="118">
        <v>1.2</v>
      </c>
      <c r="P1024" s="118">
        <v>1.8</v>
      </c>
      <c r="Q1024" s="119" t="s">
        <v>26</v>
      </c>
      <c r="R1024" s="118">
        <v>1.4</v>
      </c>
      <c r="S1024" s="127">
        <v>1.4</v>
      </c>
      <c r="T1024" s="121" t="s">
        <v>26</v>
      </c>
      <c r="U1024" s="89">
        <v>1477</v>
      </c>
      <c r="V1024" s="89">
        <v>5</v>
      </c>
      <c r="AC1024" s="33"/>
      <c r="AD1024" s="33"/>
      <c r="AE1024" s="33"/>
    </row>
    <row r="1025" spans="1:31">
      <c r="A1025" s="18" t="s">
        <v>1027</v>
      </c>
      <c r="B1025" s="8" t="s">
        <v>68</v>
      </c>
      <c r="C1025" s="8" t="s">
        <v>22</v>
      </c>
      <c r="D1025" s="8" t="s">
        <v>1015</v>
      </c>
      <c r="E1025" s="25" t="s">
        <v>31</v>
      </c>
      <c r="F1025" s="16" t="s">
        <v>509</v>
      </c>
      <c r="G1025" s="118">
        <v>22</v>
      </c>
      <c r="H1025" s="119" t="s">
        <v>26</v>
      </c>
      <c r="I1025" s="118">
        <v>18.5</v>
      </c>
      <c r="J1025" s="118">
        <v>23.2</v>
      </c>
      <c r="K1025" s="119" t="s">
        <v>26</v>
      </c>
      <c r="L1025" s="118">
        <v>3.2</v>
      </c>
      <c r="M1025" s="119" t="s">
        <v>26</v>
      </c>
      <c r="N1025" s="119" t="s">
        <v>26</v>
      </c>
      <c r="O1025" s="118">
        <v>2</v>
      </c>
      <c r="P1025" s="118">
        <v>1.9</v>
      </c>
      <c r="Q1025" s="119" t="s">
        <v>26</v>
      </c>
      <c r="R1025" s="119" t="s">
        <v>26</v>
      </c>
      <c r="S1025" s="127">
        <v>4.5</v>
      </c>
      <c r="T1025" s="121" t="s">
        <v>26</v>
      </c>
      <c r="U1025" s="89">
        <v>592</v>
      </c>
      <c r="V1025" s="89">
        <v>4</v>
      </c>
      <c r="AC1025" s="33"/>
      <c r="AD1025" s="33"/>
      <c r="AE1025" s="33"/>
    </row>
    <row r="1026" spans="1:31">
      <c r="A1026" s="18" t="s">
        <v>1033</v>
      </c>
      <c r="B1026" s="8" t="s">
        <v>981</v>
      </c>
      <c r="C1026" s="8" t="s">
        <v>22</v>
      </c>
      <c r="D1026" s="8" t="s">
        <v>955</v>
      </c>
      <c r="E1026" s="25" t="s">
        <v>24</v>
      </c>
      <c r="F1026" s="16" t="s">
        <v>1034</v>
      </c>
      <c r="G1026" s="118">
        <v>275</v>
      </c>
      <c r="H1026" s="118">
        <v>8.1</v>
      </c>
      <c r="I1026" s="119" t="s">
        <v>26</v>
      </c>
      <c r="J1026" s="119" t="s">
        <v>26</v>
      </c>
      <c r="K1026" s="119" t="s">
        <v>26</v>
      </c>
      <c r="L1026" s="119" t="s">
        <v>26</v>
      </c>
      <c r="M1026" s="118">
        <v>0.8</v>
      </c>
      <c r="N1026" s="119" t="s">
        <v>26</v>
      </c>
      <c r="O1026" s="118">
        <v>6.4</v>
      </c>
      <c r="P1026" s="118">
        <v>0.8</v>
      </c>
      <c r="Q1026" s="118">
        <v>4.7</v>
      </c>
      <c r="R1026" s="119" t="s">
        <v>26</v>
      </c>
      <c r="S1026" s="120" t="s">
        <v>26</v>
      </c>
      <c r="T1026" s="121" t="s">
        <v>26</v>
      </c>
      <c r="U1026" s="130">
        <v>40</v>
      </c>
      <c r="V1026" s="89">
        <v>24</v>
      </c>
      <c r="AC1026" s="33"/>
      <c r="AD1026" s="33"/>
      <c r="AE1026" s="33"/>
    </row>
    <row r="1027" spans="1:31">
      <c r="A1027" s="18" t="s">
        <v>1033</v>
      </c>
      <c r="B1027" s="8" t="s">
        <v>981</v>
      </c>
      <c r="C1027" s="8" t="s">
        <v>22</v>
      </c>
      <c r="D1027" s="8" t="s">
        <v>955</v>
      </c>
      <c r="E1027" s="25" t="s">
        <v>27</v>
      </c>
      <c r="F1027" s="16" t="s">
        <v>1035</v>
      </c>
      <c r="G1027" s="118">
        <v>135</v>
      </c>
      <c r="H1027" s="118">
        <v>4.9000000000000004</v>
      </c>
      <c r="I1027" s="118">
        <v>7.9</v>
      </c>
      <c r="J1027" s="119" t="s">
        <v>26</v>
      </c>
      <c r="K1027" s="119" t="s">
        <v>26</v>
      </c>
      <c r="L1027" s="119" t="s">
        <v>26</v>
      </c>
      <c r="M1027" s="118">
        <v>3.4</v>
      </c>
      <c r="N1027" s="119" t="s">
        <v>26</v>
      </c>
      <c r="O1027" s="118">
        <v>7.5</v>
      </c>
      <c r="P1027" s="119" t="s">
        <v>26</v>
      </c>
      <c r="Q1027" s="118">
        <v>1.7</v>
      </c>
      <c r="R1027" s="119" t="s">
        <v>26</v>
      </c>
      <c r="S1027" s="127">
        <v>1.6</v>
      </c>
      <c r="T1027" s="121" t="s">
        <v>26</v>
      </c>
      <c r="U1027" s="130">
        <v>20</v>
      </c>
      <c r="V1027" s="89">
        <v>10</v>
      </c>
      <c r="AC1027" s="33"/>
      <c r="AD1027" s="33"/>
      <c r="AE1027" s="33"/>
    </row>
    <row r="1028" spans="1:31">
      <c r="A1028" s="18" t="s">
        <v>1033</v>
      </c>
      <c r="B1028" s="8" t="s">
        <v>981</v>
      </c>
      <c r="C1028" s="8" t="s">
        <v>22</v>
      </c>
      <c r="D1028" s="8" t="s">
        <v>955</v>
      </c>
      <c r="E1028" s="25" t="s">
        <v>958</v>
      </c>
      <c r="F1028" s="16" t="s">
        <v>1036</v>
      </c>
      <c r="G1028" s="118">
        <v>70</v>
      </c>
      <c r="H1028" s="118">
        <v>21.17</v>
      </c>
      <c r="I1028" s="118">
        <v>5.2</v>
      </c>
      <c r="J1028" s="118">
        <v>6.7</v>
      </c>
      <c r="K1028" s="119" t="s">
        <v>26</v>
      </c>
      <c r="L1028" s="119" t="s">
        <v>26</v>
      </c>
      <c r="M1028" s="119" t="s">
        <v>26</v>
      </c>
      <c r="N1028" s="119" t="s">
        <v>26</v>
      </c>
      <c r="O1028" s="118">
        <v>8.1999999999999993</v>
      </c>
      <c r="P1028" s="119" t="s">
        <v>26</v>
      </c>
      <c r="Q1028" s="119" t="s">
        <v>26</v>
      </c>
      <c r="R1028" s="119" t="s">
        <v>26</v>
      </c>
      <c r="S1028" s="127">
        <v>1.9</v>
      </c>
      <c r="T1028" s="121" t="s">
        <v>26</v>
      </c>
      <c r="U1028" s="130">
        <v>136</v>
      </c>
      <c r="V1028" s="126" t="s">
        <v>26</v>
      </c>
      <c r="AC1028" s="33"/>
      <c r="AD1028" s="33"/>
      <c r="AE1028" s="33"/>
    </row>
    <row r="1029" spans="1:31">
      <c r="A1029" s="18" t="s">
        <v>1033</v>
      </c>
      <c r="B1029" s="8" t="s">
        <v>981</v>
      </c>
      <c r="C1029" s="8" t="s">
        <v>22</v>
      </c>
      <c r="D1029" s="8" t="s">
        <v>955</v>
      </c>
      <c r="E1029" s="25" t="s">
        <v>29</v>
      </c>
      <c r="F1029" s="16" t="s">
        <v>1037</v>
      </c>
      <c r="G1029" s="118">
        <v>45</v>
      </c>
      <c r="H1029" s="118">
        <v>14.8</v>
      </c>
      <c r="I1029" s="118">
        <v>12.2</v>
      </c>
      <c r="J1029" s="118">
        <v>5.38</v>
      </c>
      <c r="K1029" s="119" t="s">
        <v>26</v>
      </c>
      <c r="L1029" s="119" t="s">
        <v>26</v>
      </c>
      <c r="M1029" s="118">
        <v>1.78</v>
      </c>
      <c r="N1029" s="119" t="s">
        <v>26</v>
      </c>
      <c r="O1029" s="118">
        <v>3.9</v>
      </c>
      <c r="P1029" s="119" t="s">
        <v>26</v>
      </c>
      <c r="Q1029" s="119" t="s">
        <v>26</v>
      </c>
      <c r="R1029" s="119" t="s">
        <v>26</v>
      </c>
      <c r="S1029" s="127">
        <v>8.9</v>
      </c>
      <c r="T1029" s="121" t="s">
        <v>26</v>
      </c>
      <c r="U1029" s="130">
        <v>78</v>
      </c>
      <c r="V1029" s="89">
        <v>5</v>
      </c>
      <c r="AC1029" s="33"/>
      <c r="AD1029" s="33"/>
      <c r="AE1029" s="33"/>
    </row>
    <row r="1030" spans="1:31">
      <c r="A1030" s="18" t="s">
        <v>1033</v>
      </c>
      <c r="B1030" s="8" t="s">
        <v>981</v>
      </c>
      <c r="C1030" s="8" t="s">
        <v>22</v>
      </c>
      <c r="D1030" s="8" t="s">
        <v>955</v>
      </c>
      <c r="E1030" s="25" t="s">
        <v>31</v>
      </c>
      <c r="F1030" s="16" t="s">
        <v>1038</v>
      </c>
      <c r="G1030" s="118">
        <v>22</v>
      </c>
      <c r="H1030" s="119" t="s">
        <v>26</v>
      </c>
      <c r="I1030" s="118">
        <v>9.6</v>
      </c>
      <c r="J1030" s="118">
        <v>7</v>
      </c>
      <c r="K1030" s="119" t="s">
        <v>26</v>
      </c>
      <c r="L1030" s="119" t="s">
        <v>26</v>
      </c>
      <c r="M1030" s="118">
        <v>3.1</v>
      </c>
      <c r="N1030" s="119" t="s">
        <v>26</v>
      </c>
      <c r="O1030" s="118">
        <v>4.2</v>
      </c>
      <c r="P1030" s="119" t="s">
        <v>26</v>
      </c>
      <c r="Q1030" s="119" t="s">
        <v>26</v>
      </c>
      <c r="R1030" s="119" t="s">
        <v>26</v>
      </c>
      <c r="S1030" s="127">
        <v>8.5</v>
      </c>
      <c r="T1030" s="121" t="s">
        <v>26</v>
      </c>
      <c r="U1030" s="130">
        <v>33</v>
      </c>
      <c r="V1030" s="126" t="s">
        <v>26</v>
      </c>
      <c r="AC1030" s="33"/>
      <c r="AD1030" s="33"/>
      <c r="AE1030" s="33"/>
    </row>
    <row r="1031" spans="1:31">
      <c r="A1031" s="18" t="s">
        <v>1033</v>
      </c>
      <c r="B1031" s="8" t="s">
        <v>1039</v>
      </c>
      <c r="C1031" s="8" t="s">
        <v>22</v>
      </c>
      <c r="D1031" s="8" t="s">
        <v>955</v>
      </c>
      <c r="E1031" s="25" t="s">
        <v>24</v>
      </c>
      <c r="F1031" s="16" t="s">
        <v>1040</v>
      </c>
      <c r="G1031" s="118">
        <v>291</v>
      </c>
      <c r="H1031" s="118">
        <v>3.6</v>
      </c>
      <c r="I1031" s="119" t="s">
        <v>26</v>
      </c>
      <c r="J1031" s="119" t="s">
        <v>26</v>
      </c>
      <c r="K1031" s="119" t="s">
        <v>26</v>
      </c>
      <c r="L1031" s="119" t="s">
        <v>26</v>
      </c>
      <c r="M1031" s="119" t="s">
        <v>26</v>
      </c>
      <c r="N1031" s="119" t="s">
        <v>26</v>
      </c>
      <c r="O1031" s="118">
        <v>7.2</v>
      </c>
      <c r="P1031" s="119" t="s">
        <v>26</v>
      </c>
      <c r="Q1031" s="118">
        <v>2.6</v>
      </c>
      <c r="R1031" s="119" t="s">
        <v>26</v>
      </c>
      <c r="S1031" s="127">
        <v>1.2</v>
      </c>
      <c r="T1031" s="121" t="s">
        <v>26</v>
      </c>
      <c r="U1031" s="130">
        <v>30</v>
      </c>
      <c r="V1031" s="126" t="s">
        <v>26</v>
      </c>
      <c r="AC1031" s="33"/>
      <c r="AD1031" s="33"/>
      <c r="AE1031" s="33"/>
    </row>
    <row r="1032" spans="1:31">
      <c r="A1032" s="18" t="s">
        <v>1033</v>
      </c>
      <c r="B1032" s="8" t="s">
        <v>1039</v>
      </c>
      <c r="C1032" s="8" t="s">
        <v>22</v>
      </c>
      <c r="D1032" s="8" t="s">
        <v>955</v>
      </c>
      <c r="E1032" s="25" t="s">
        <v>27</v>
      </c>
      <c r="F1032" s="16" t="s">
        <v>1041</v>
      </c>
      <c r="G1032" s="118">
        <v>104</v>
      </c>
      <c r="H1032" s="118">
        <v>7.2</v>
      </c>
      <c r="I1032" s="118">
        <v>4.3</v>
      </c>
      <c r="J1032" s="119" t="s">
        <v>26</v>
      </c>
      <c r="K1032" s="119" t="s">
        <v>26</v>
      </c>
      <c r="L1032" s="119" t="s">
        <v>26</v>
      </c>
      <c r="M1032" s="118">
        <v>1.2</v>
      </c>
      <c r="N1032" s="119" t="s">
        <v>26</v>
      </c>
      <c r="O1032" s="118">
        <v>6.45</v>
      </c>
      <c r="P1032" s="119" t="s">
        <v>26</v>
      </c>
      <c r="Q1032" s="119" t="s">
        <v>26</v>
      </c>
      <c r="R1032" s="119" t="s">
        <v>26</v>
      </c>
      <c r="S1032" s="127">
        <v>7.2</v>
      </c>
      <c r="T1032" s="121" t="s">
        <v>26</v>
      </c>
      <c r="U1032" s="130">
        <v>17</v>
      </c>
      <c r="V1032" s="126" t="s">
        <v>26</v>
      </c>
      <c r="AC1032" s="33"/>
      <c r="AD1032" s="33"/>
      <c r="AE1032" s="33"/>
    </row>
    <row r="1033" spans="1:31">
      <c r="A1033" s="18" t="s">
        <v>1033</v>
      </c>
      <c r="B1033" s="8" t="s">
        <v>1039</v>
      </c>
      <c r="C1033" s="8" t="s">
        <v>22</v>
      </c>
      <c r="D1033" s="8" t="s">
        <v>955</v>
      </c>
      <c r="E1033" s="25" t="s">
        <v>29</v>
      </c>
      <c r="F1033" s="16" t="s">
        <v>1042</v>
      </c>
      <c r="G1033" s="118">
        <v>56</v>
      </c>
      <c r="H1033" s="118">
        <v>15.8</v>
      </c>
      <c r="I1033" s="118">
        <v>9.9</v>
      </c>
      <c r="J1033" s="119" t="s">
        <v>26</v>
      </c>
      <c r="K1033" s="119" t="s">
        <v>26</v>
      </c>
      <c r="L1033" s="119" t="s">
        <v>26</v>
      </c>
      <c r="M1033" s="118">
        <v>6.2</v>
      </c>
      <c r="N1033" s="119" t="s">
        <v>26</v>
      </c>
      <c r="O1033" s="118">
        <v>12.1</v>
      </c>
      <c r="P1033" s="119" t="s">
        <v>26</v>
      </c>
      <c r="Q1033" s="119" t="s">
        <v>26</v>
      </c>
      <c r="R1033" s="119" t="s">
        <v>26</v>
      </c>
      <c r="S1033" s="120" t="s">
        <v>26</v>
      </c>
      <c r="T1033" s="121" t="s">
        <v>26</v>
      </c>
      <c r="U1033" s="130">
        <v>75</v>
      </c>
      <c r="V1033" s="126" t="s">
        <v>26</v>
      </c>
      <c r="AC1033" s="33"/>
      <c r="AD1033" s="33"/>
      <c r="AE1033" s="33"/>
    </row>
    <row r="1034" spans="1:31">
      <c r="A1034" s="18" t="s">
        <v>1033</v>
      </c>
      <c r="B1034" s="8" t="s">
        <v>1039</v>
      </c>
      <c r="C1034" s="8" t="s">
        <v>22</v>
      </c>
      <c r="D1034" s="8" t="s">
        <v>955</v>
      </c>
      <c r="E1034" s="25" t="s">
        <v>31</v>
      </c>
      <c r="F1034" s="16" t="s">
        <v>1043</v>
      </c>
      <c r="G1034" s="118">
        <v>17</v>
      </c>
      <c r="H1034" s="119" t="s">
        <v>26</v>
      </c>
      <c r="I1034" s="118">
        <v>1.7</v>
      </c>
      <c r="J1034" s="119" t="s">
        <v>26</v>
      </c>
      <c r="K1034" s="119" t="s">
        <v>26</v>
      </c>
      <c r="L1034" s="119" t="s">
        <v>26</v>
      </c>
      <c r="M1034" s="118">
        <v>4</v>
      </c>
      <c r="N1034" s="119" t="s">
        <v>26</v>
      </c>
      <c r="O1034" s="118">
        <v>3.1</v>
      </c>
      <c r="P1034" s="119" t="s">
        <v>26</v>
      </c>
      <c r="Q1034" s="119" t="s">
        <v>26</v>
      </c>
      <c r="R1034" s="119" t="s">
        <v>26</v>
      </c>
      <c r="S1034" s="120" t="s">
        <v>26</v>
      </c>
      <c r="T1034" s="121" t="s">
        <v>26</v>
      </c>
      <c r="U1034" s="123" t="s">
        <v>26</v>
      </c>
      <c r="V1034" s="126" t="s">
        <v>26</v>
      </c>
      <c r="AC1034" s="33"/>
      <c r="AD1034" s="33"/>
      <c r="AE1034" s="33"/>
    </row>
    <row r="1035" spans="1:31">
      <c r="A1035" s="18" t="s">
        <v>1033</v>
      </c>
      <c r="B1035" s="8" t="s">
        <v>39</v>
      </c>
      <c r="C1035" s="8" t="s">
        <v>22</v>
      </c>
      <c r="D1035" s="8" t="s">
        <v>730</v>
      </c>
      <c r="E1035" s="25" t="s">
        <v>27</v>
      </c>
      <c r="F1035" s="16" t="s">
        <v>1044</v>
      </c>
      <c r="G1035" s="118">
        <v>180</v>
      </c>
      <c r="H1035" s="118">
        <v>10.1</v>
      </c>
      <c r="I1035" s="118">
        <v>9.6</v>
      </c>
      <c r="J1035" s="118">
        <v>2.2999999999999998</v>
      </c>
      <c r="K1035" s="119" t="s">
        <v>26</v>
      </c>
      <c r="L1035" s="118">
        <v>2.4</v>
      </c>
      <c r="M1035" s="119" t="s">
        <v>26</v>
      </c>
      <c r="N1035" s="119" t="s">
        <v>26</v>
      </c>
      <c r="O1035" s="118">
        <v>4.8</v>
      </c>
      <c r="P1035" s="118">
        <v>3.1</v>
      </c>
      <c r="Q1035" s="118">
        <v>6.8</v>
      </c>
      <c r="R1035" s="119" t="s">
        <v>26</v>
      </c>
      <c r="S1035" s="127">
        <v>2.1</v>
      </c>
      <c r="T1035" s="121" t="s">
        <v>26</v>
      </c>
      <c r="U1035" s="89">
        <v>2047</v>
      </c>
      <c r="V1035" s="126" t="s">
        <v>26</v>
      </c>
      <c r="AC1035" s="33"/>
      <c r="AD1035" s="33"/>
      <c r="AE1035" s="33"/>
    </row>
    <row r="1036" spans="1:31">
      <c r="A1036" s="18" t="s">
        <v>1033</v>
      </c>
      <c r="B1036" s="8" t="s">
        <v>39</v>
      </c>
      <c r="C1036" s="8" t="s">
        <v>22</v>
      </c>
      <c r="D1036" s="8" t="s">
        <v>730</v>
      </c>
      <c r="E1036" s="25" t="s">
        <v>29</v>
      </c>
      <c r="F1036" s="16" t="s">
        <v>888</v>
      </c>
      <c r="G1036" s="118">
        <v>54</v>
      </c>
      <c r="H1036" s="119" t="s">
        <v>26</v>
      </c>
      <c r="I1036" s="118">
        <v>10.5</v>
      </c>
      <c r="J1036" s="118">
        <v>8.5</v>
      </c>
      <c r="K1036" s="119" t="s">
        <v>26</v>
      </c>
      <c r="L1036" s="119" t="s">
        <v>26</v>
      </c>
      <c r="M1036" s="119" t="s">
        <v>26</v>
      </c>
      <c r="N1036" s="119" t="s">
        <v>26</v>
      </c>
      <c r="O1036" s="118">
        <v>7.7</v>
      </c>
      <c r="P1036" s="118">
        <v>3.5</v>
      </c>
      <c r="Q1036" s="119" t="s">
        <v>26</v>
      </c>
      <c r="R1036" s="119" t="s">
        <v>26</v>
      </c>
      <c r="S1036" s="127">
        <v>0.9</v>
      </c>
      <c r="T1036" s="121" t="s">
        <v>26</v>
      </c>
      <c r="U1036" s="89">
        <v>1181</v>
      </c>
      <c r="V1036" s="126" t="s">
        <v>26</v>
      </c>
      <c r="AC1036" s="33"/>
      <c r="AD1036" s="33"/>
      <c r="AE1036" s="33"/>
    </row>
    <row r="1037" spans="1:31">
      <c r="A1037" s="18" t="s">
        <v>1033</v>
      </c>
      <c r="B1037" s="8" t="s">
        <v>39</v>
      </c>
      <c r="C1037" s="8" t="s">
        <v>22</v>
      </c>
      <c r="D1037" s="8" t="s">
        <v>730</v>
      </c>
      <c r="E1037" s="25" t="s">
        <v>31</v>
      </c>
      <c r="F1037" s="16" t="s">
        <v>1045</v>
      </c>
      <c r="G1037" s="118">
        <v>23</v>
      </c>
      <c r="H1037" s="119" t="s">
        <v>26</v>
      </c>
      <c r="I1037" s="118">
        <v>15.7</v>
      </c>
      <c r="J1037" s="118">
        <v>7.42</v>
      </c>
      <c r="K1037" s="119" t="s">
        <v>26</v>
      </c>
      <c r="L1037" s="119" t="s">
        <v>26</v>
      </c>
      <c r="M1037" s="119" t="s">
        <v>26</v>
      </c>
      <c r="N1037" s="119" t="s">
        <v>26</v>
      </c>
      <c r="O1037" s="118">
        <v>3.64</v>
      </c>
      <c r="P1037" s="118">
        <v>2.5</v>
      </c>
      <c r="Q1037" s="119" t="s">
        <v>26</v>
      </c>
      <c r="R1037" s="119" t="s">
        <v>26</v>
      </c>
      <c r="S1037" s="127">
        <v>3</v>
      </c>
      <c r="T1037" s="121" t="s">
        <v>26</v>
      </c>
      <c r="U1037" s="131" t="s">
        <v>1045</v>
      </c>
      <c r="V1037" s="126" t="s">
        <v>26</v>
      </c>
      <c r="AC1037" s="33"/>
      <c r="AD1037" s="33"/>
      <c r="AE1037" s="33"/>
    </row>
    <row r="1038" spans="1:31">
      <c r="A1038" s="18" t="s">
        <v>1046</v>
      </c>
      <c r="B1038" s="8" t="s">
        <v>1047</v>
      </c>
      <c r="C1038" s="8" t="s">
        <v>22</v>
      </c>
      <c r="D1038" s="8" t="s">
        <v>1015</v>
      </c>
      <c r="E1038" s="25" t="s">
        <v>27</v>
      </c>
      <c r="F1038" s="16" t="s">
        <v>1048</v>
      </c>
      <c r="G1038" s="118">
        <v>115</v>
      </c>
      <c r="H1038" s="118">
        <v>32.5</v>
      </c>
      <c r="I1038" s="118">
        <v>19.5</v>
      </c>
      <c r="J1038" s="118">
        <v>0.8</v>
      </c>
      <c r="K1038" s="119" t="s">
        <v>26</v>
      </c>
      <c r="L1038" s="118">
        <v>0.8</v>
      </c>
      <c r="M1038" s="119" t="s">
        <v>26</v>
      </c>
      <c r="N1038" s="119" t="s">
        <v>26</v>
      </c>
      <c r="O1038" s="118">
        <v>1.6</v>
      </c>
      <c r="P1038" s="118">
        <v>1.4</v>
      </c>
      <c r="Q1038" s="118">
        <v>4.5</v>
      </c>
      <c r="R1038" s="118">
        <v>0.9</v>
      </c>
      <c r="S1038" s="127">
        <v>1.8</v>
      </c>
      <c r="T1038" s="121" t="s">
        <v>26</v>
      </c>
      <c r="U1038" s="89">
        <v>486</v>
      </c>
      <c r="V1038" s="89">
        <v>439</v>
      </c>
      <c r="AC1038" s="33"/>
      <c r="AD1038" s="33"/>
      <c r="AE1038" s="33"/>
    </row>
    <row r="1039" spans="1:31">
      <c r="A1039" s="18" t="s">
        <v>1046</v>
      </c>
      <c r="B1039" s="8" t="s">
        <v>1047</v>
      </c>
      <c r="C1039" s="8" t="s">
        <v>22</v>
      </c>
      <c r="D1039" s="8" t="s">
        <v>1015</v>
      </c>
      <c r="E1039" s="25" t="s">
        <v>29</v>
      </c>
      <c r="F1039" s="16" t="s">
        <v>1049</v>
      </c>
      <c r="G1039" s="118">
        <v>54</v>
      </c>
      <c r="H1039" s="118">
        <v>0.9</v>
      </c>
      <c r="I1039" s="118">
        <v>21.8</v>
      </c>
      <c r="J1039" s="118">
        <v>7.2</v>
      </c>
      <c r="K1039" s="119" t="s">
        <v>26</v>
      </c>
      <c r="L1039" s="118">
        <v>7.5</v>
      </c>
      <c r="M1039" s="119" t="s">
        <v>26</v>
      </c>
      <c r="N1039" s="119" t="s">
        <v>26</v>
      </c>
      <c r="O1039" s="118">
        <v>1.7</v>
      </c>
      <c r="P1039" s="118">
        <v>1.6</v>
      </c>
      <c r="Q1039" s="119" t="s">
        <v>26</v>
      </c>
      <c r="R1039" s="118">
        <v>1.2</v>
      </c>
      <c r="S1039" s="127">
        <v>1.7</v>
      </c>
      <c r="T1039" s="121" t="s">
        <v>26</v>
      </c>
      <c r="U1039" s="89">
        <v>1965</v>
      </c>
      <c r="V1039" s="89">
        <v>201</v>
      </c>
      <c r="AC1039" s="33"/>
      <c r="AD1039" s="33"/>
      <c r="AE1039" s="33"/>
    </row>
    <row r="1040" spans="1:31">
      <c r="A1040" s="18" t="s">
        <v>1046</v>
      </c>
      <c r="B1040" s="8" t="s">
        <v>1047</v>
      </c>
      <c r="C1040" s="8" t="s">
        <v>22</v>
      </c>
      <c r="D1040" s="8" t="s">
        <v>1015</v>
      </c>
      <c r="E1040" s="25" t="s">
        <v>31</v>
      </c>
      <c r="F1040" s="16" t="s">
        <v>942</v>
      </c>
      <c r="G1040" s="118">
        <v>25</v>
      </c>
      <c r="H1040" s="119" t="s">
        <v>26</v>
      </c>
      <c r="I1040" s="118">
        <v>22.4</v>
      </c>
      <c r="J1040" s="118">
        <v>31.6</v>
      </c>
      <c r="K1040" s="119" t="s">
        <v>26</v>
      </c>
      <c r="L1040" s="118">
        <v>3.6</v>
      </c>
      <c r="M1040" s="119" t="s">
        <v>26</v>
      </c>
      <c r="N1040" s="119" t="s">
        <v>26</v>
      </c>
      <c r="O1040" s="118">
        <v>1</v>
      </c>
      <c r="P1040" s="118">
        <v>1.3</v>
      </c>
      <c r="Q1040" s="119" t="s">
        <v>26</v>
      </c>
      <c r="R1040" s="119" t="s">
        <v>26</v>
      </c>
      <c r="S1040" s="127">
        <v>2.2999999999999998</v>
      </c>
      <c r="T1040" s="121" t="s">
        <v>26</v>
      </c>
      <c r="U1040" s="89">
        <v>518</v>
      </c>
      <c r="V1040" s="89">
        <v>74</v>
      </c>
      <c r="AC1040" s="33"/>
      <c r="AD1040" s="33"/>
      <c r="AE1040" s="33"/>
    </row>
    <row r="1041" spans="1:31">
      <c r="A1041" s="18" t="s">
        <v>1046</v>
      </c>
      <c r="B1041" s="8" t="s">
        <v>1050</v>
      </c>
      <c r="C1041" s="8" t="s">
        <v>22</v>
      </c>
      <c r="D1041" s="8" t="s">
        <v>1015</v>
      </c>
      <c r="E1041" s="25" t="s">
        <v>27</v>
      </c>
      <c r="F1041" s="16" t="s">
        <v>1051</v>
      </c>
      <c r="G1041" s="118">
        <v>118</v>
      </c>
      <c r="H1041" s="118">
        <v>35.799999999999997</v>
      </c>
      <c r="I1041" s="118">
        <v>20.5</v>
      </c>
      <c r="J1041" s="118">
        <v>0.7</v>
      </c>
      <c r="K1041" s="119" t="s">
        <v>26</v>
      </c>
      <c r="L1041" s="118">
        <v>0.7</v>
      </c>
      <c r="M1041" s="119" t="s">
        <v>26</v>
      </c>
      <c r="N1041" s="119" t="s">
        <v>26</v>
      </c>
      <c r="O1041" s="118">
        <v>2.8</v>
      </c>
      <c r="P1041" s="118">
        <v>1.8</v>
      </c>
      <c r="Q1041" s="118">
        <v>6.5</v>
      </c>
      <c r="R1041" s="118">
        <v>1.4</v>
      </c>
      <c r="S1041" s="127">
        <v>1.4</v>
      </c>
      <c r="T1041" s="121" t="s">
        <v>26</v>
      </c>
      <c r="U1041" s="89">
        <v>1483</v>
      </c>
      <c r="V1041" s="126" t="s">
        <v>26</v>
      </c>
      <c r="AC1041" s="33"/>
      <c r="AD1041" s="33"/>
      <c r="AE1041" s="33"/>
    </row>
    <row r="1042" spans="1:31">
      <c r="A1042" s="18" t="s">
        <v>1046</v>
      </c>
      <c r="B1042" s="8" t="s">
        <v>1050</v>
      </c>
      <c r="C1042" s="8" t="s">
        <v>22</v>
      </c>
      <c r="D1042" s="8" t="s">
        <v>1015</v>
      </c>
      <c r="E1042" s="25" t="s">
        <v>29</v>
      </c>
      <c r="F1042" s="16" t="s">
        <v>890</v>
      </c>
      <c r="G1042" s="118">
        <v>53</v>
      </c>
      <c r="H1042" s="118">
        <v>2.1</v>
      </c>
      <c r="I1042" s="118">
        <v>19.5</v>
      </c>
      <c r="J1042" s="118">
        <v>2.61</v>
      </c>
      <c r="K1042" s="119" t="s">
        <v>26</v>
      </c>
      <c r="L1042" s="118">
        <v>6.5</v>
      </c>
      <c r="M1042" s="119" t="s">
        <v>26</v>
      </c>
      <c r="N1042" s="119" t="s">
        <v>26</v>
      </c>
      <c r="O1042" s="118">
        <v>2.9</v>
      </c>
      <c r="P1042" s="118">
        <v>2.2000000000000002</v>
      </c>
      <c r="Q1042" s="118">
        <v>35.5</v>
      </c>
      <c r="R1042" s="118">
        <v>0.9</v>
      </c>
      <c r="S1042" s="127">
        <v>1.5</v>
      </c>
      <c r="T1042" s="121" t="s">
        <v>26</v>
      </c>
      <c r="U1042" s="133">
        <v>1997</v>
      </c>
      <c r="V1042" s="126" t="s">
        <v>26</v>
      </c>
      <c r="AC1042" s="33"/>
      <c r="AD1042" s="33"/>
      <c r="AE1042" s="33"/>
    </row>
    <row r="1043" spans="1:31">
      <c r="A1043" s="18" t="s">
        <v>1046</v>
      </c>
      <c r="B1043" s="8" t="s">
        <v>1050</v>
      </c>
      <c r="C1043" s="8" t="s">
        <v>22</v>
      </c>
      <c r="D1043" s="8" t="s">
        <v>1015</v>
      </c>
      <c r="E1043" s="25" t="s">
        <v>31</v>
      </c>
      <c r="F1043" s="16" t="s">
        <v>1052</v>
      </c>
      <c r="G1043" s="118">
        <v>23</v>
      </c>
      <c r="H1043" s="119" t="s">
        <v>26</v>
      </c>
      <c r="I1043" s="118">
        <v>19.8</v>
      </c>
      <c r="J1043" s="118">
        <v>11.1</v>
      </c>
      <c r="K1043" s="119" t="s">
        <v>26</v>
      </c>
      <c r="L1043" s="118">
        <v>3.1</v>
      </c>
      <c r="M1043" s="119" t="s">
        <v>26</v>
      </c>
      <c r="N1043" s="119" t="s">
        <v>26</v>
      </c>
      <c r="O1043" s="118">
        <v>2.4</v>
      </c>
      <c r="P1043" s="118">
        <v>3.1</v>
      </c>
      <c r="Q1043" s="119" t="s">
        <v>26</v>
      </c>
      <c r="R1043" s="119" t="s">
        <v>26</v>
      </c>
      <c r="S1043" s="127">
        <v>2.2999999999999998</v>
      </c>
      <c r="T1043" s="121" t="s">
        <v>26</v>
      </c>
      <c r="U1043" s="133">
        <v>636</v>
      </c>
      <c r="V1043" s="126" t="s">
        <v>26</v>
      </c>
      <c r="AC1043" s="33"/>
      <c r="AD1043" s="33"/>
      <c r="AE1043" s="33"/>
    </row>
    <row r="1044" spans="1:31">
      <c r="A1044" s="18" t="s">
        <v>1053</v>
      </c>
      <c r="B1044" s="8" t="s">
        <v>1039</v>
      </c>
      <c r="C1044" s="8" t="s">
        <v>22</v>
      </c>
      <c r="D1044" s="8" t="s">
        <v>955</v>
      </c>
      <c r="E1044" s="25" t="s">
        <v>24</v>
      </c>
      <c r="F1044" s="16" t="s">
        <v>900</v>
      </c>
      <c r="G1044" s="118">
        <v>314</v>
      </c>
      <c r="H1044" s="118">
        <v>2.7</v>
      </c>
      <c r="I1044" s="119" t="s">
        <v>26</v>
      </c>
      <c r="J1044" s="119" t="s">
        <v>26</v>
      </c>
      <c r="K1044" s="119" t="s">
        <v>26</v>
      </c>
      <c r="L1044" s="118">
        <v>1.9</v>
      </c>
      <c r="M1044" s="119" t="s">
        <v>26</v>
      </c>
      <c r="N1044" s="119" t="s">
        <v>26</v>
      </c>
      <c r="O1044" s="118">
        <v>2.8</v>
      </c>
      <c r="P1044" s="118">
        <v>0.5</v>
      </c>
      <c r="Q1044" s="119" t="s">
        <v>26</v>
      </c>
      <c r="R1044" s="119" t="s">
        <v>26</v>
      </c>
      <c r="S1044" s="120" t="s">
        <v>26</v>
      </c>
      <c r="T1044" s="121" t="s">
        <v>26</v>
      </c>
      <c r="U1044" s="130">
        <v>18</v>
      </c>
      <c r="V1044" s="89">
        <v>26</v>
      </c>
      <c r="AC1044" s="33"/>
      <c r="AD1044" s="33"/>
      <c r="AE1044" s="33"/>
    </row>
    <row r="1045" spans="1:31">
      <c r="A1045" s="18" t="s">
        <v>1053</v>
      </c>
      <c r="B1045" s="8" t="s">
        <v>1039</v>
      </c>
      <c r="C1045" s="8" t="s">
        <v>22</v>
      </c>
      <c r="D1045" s="8" t="s">
        <v>955</v>
      </c>
      <c r="E1045" s="25" t="s">
        <v>27</v>
      </c>
      <c r="F1045" s="16" t="s">
        <v>1054</v>
      </c>
      <c r="G1045" s="118">
        <v>125</v>
      </c>
      <c r="H1045" s="118">
        <v>5.9</v>
      </c>
      <c r="I1045" s="118">
        <v>3.8</v>
      </c>
      <c r="J1045" s="119" t="s">
        <v>26</v>
      </c>
      <c r="K1045" s="119" t="s">
        <v>26</v>
      </c>
      <c r="L1045" s="119" t="s">
        <v>26</v>
      </c>
      <c r="M1045" s="119" t="s">
        <v>26</v>
      </c>
      <c r="N1045" s="119" t="s">
        <v>26</v>
      </c>
      <c r="O1045" s="118">
        <v>8</v>
      </c>
      <c r="P1045" s="119" t="s">
        <v>26</v>
      </c>
      <c r="Q1045" s="118">
        <v>4.4000000000000004</v>
      </c>
      <c r="R1045" s="119" t="s">
        <v>26</v>
      </c>
      <c r="S1045" s="127">
        <v>2</v>
      </c>
      <c r="T1045" s="121" t="s">
        <v>26</v>
      </c>
      <c r="U1045" s="130">
        <v>21</v>
      </c>
      <c r="V1045" s="89">
        <v>171</v>
      </c>
      <c r="AC1045" s="33"/>
      <c r="AD1045" s="33"/>
      <c r="AE1045" s="33"/>
    </row>
    <row r="1046" spans="1:31">
      <c r="A1046" s="18" t="s">
        <v>1053</v>
      </c>
      <c r="B1046" s="8" t="s">
        <v>1039</v>
      </c>
      <c r="C1046" s="8" t="s">
        <v>22</v>
      </c>
      <c r="D1046" s="8" t="s">
        <v>955</v>
      </c>
      <c r="E1046" s="25" t="s">
        <v>958</v>
      </c>
      <c r="F1046" s="16" t="s">
        <v>1055</v>
      </c>
      <c r="G1046" s="118">
        <v>95</v>
      </c>
      <c r="H1046" s="119" t="s">
        <v>26</v>
      </c>
      <c r="I1046" s="118">
        <v>14.4</v>
      </c>
      <c r="J1046" s="118">
        <v>2.8</v>
      </c>
      <c r="K1046" s="119" t="s">
        <v>26</v>
      </c>
      <c r="L1046" s="119" t="s">
        <v>26</v>
      </c>
      <c r="M1046" s="119" t="s">
        <v>26</v>
      </c>
      <c r="N1046" s="119" t="s">
        <v>26</v>
      </c>
      <c r="O1046" s="118">
        <v>9.9</v>
      </c>
      <c r="P1046" s="118">
        <v>3.3</v>
      </c>
      <c r="Q1046" s="118">
        <v>1.4</v>
      </c>
      <c r="R1046" s="119" t="s">
        <v>26</v>
      </c>
      <c r="S1046" s="120" t="s">
        <v>26</v>
      </c>
      <c r="T1046" s="121" t="s">
        <v>26</v>
      </c>
      <c r="U1046" s="130">
        <v>35</v>
      </c>
      <c r="V1046" s="89">
        <v>15</v>
      </c>
      <c r="AC1046" s="33"/>
      <c r="AD1046" s="33"/>
      <c r="AE1046" s="33"/>
    </row>
    <row r="1047" spans="1:31">
      <c r="A1047" s="18" t="s">
        <v>1053</v>
      </c>
      <c r="B1047" s="8" t="s">
        <v>1039</v>
      </c>
      <c r="C1047" s="8" t="s">
        <v>22</v>
      </c>
      <c r="D1047" s="8" t="s">
        <v>955</v>
      </c>
      <c r="E1047" s="25" t="s">
        <v>29</v>
      </c>
      <c r="F1047" s="16" t="s">
        <v>1056</v>
      </c>
      <c r="G1047" s="118">
        <v>52</v>
      </c>
      <c r="H1047" s="119" t="s">
        <v>26</v>
      </c>
      <c r="I1047" s="118">
        <v>10</v>
      </c>
      <c r="J1047" s="118">
        <v>1.1000000000000001</v>
      </c>
      <c r="K1047" s="119" t="s">
        <v>26</v>
      </c>
      <c r="L1047" s="119" t="s">
        <v>26</v>
      </c>
      <c r="M1047" s="119" t="s">
        <v>26</v>
      </c>
      <c r="N1047" s="119" t="s">
        <v>26</v>
      </c>
      <c r="O1047" s="118">
        <v>3.4</v>
      </c>
      <c r="P1047" s="119" t="s">
        <v>26</v>
      </c>
      <c r="Q1047" s="119" t="s">
        <v>26</v>
      </c>
      <c r="R1047" s="119" t="s">
        <v>26</v>
      </c>
      <c r="S1047" s="127">
        <v>1.4</v>
      </c>
      <c r="T1047" s="121" t="s">
        <v>26</v>
      </c>
      <c r="U1047" s="130">
        <v>160</v>
      </c>
      <c r="V1047" s="89">
        <v>147</v>
      </c>
      <c r="AC1047" s="33"/>
      <c r="AD1047" s="33"/>
      <c r="AE1047" s="33"/>
    </row>
    <row r="1048" spans="1:31">
      <c r="A1048" s="18" t="s">
        <v>1053</v>
      </c>
      <c r="B1048" s="8" t="s">
        <v>1039</v>
      </c>
      <c r="C1048" s="8" t="s">
        <v>22</v>
      </c>
      <c r="D1048" s="8" t="s">
        <v>955</v>
      </c>
      <c r="E1048" s="25" t="s">
        <v>31</v>
      </c>
      <c r="F1048" s="16" t="s">
        <v>1057</v>
      </c>
      <c r="G1048" s="118">
        <v>24</v>
      </c>
      <c r="H1048" s="119" t="s">
        <v>26</v>
      </c>
      <c r="I1048" s="118">
        <v>6.8</v>
      </c>
      <c r="J1048" s="118">
        <v>6.1</v>
      </c>
      <c r="K1048" s="119" t="s">
        <v>26</v>
      </c>
      <c r="L1048" s="119" t="s">
        <v>26</v>
      </c>
      <c r="M1048" s="118">
        <v>1.3</v>
      </c>
      <c r="N1048" s="119" t="s">
        <v>26</v>
      </c>
      <c r="O1048" s="118">
        <v>4.4000000000000004</v>
      </c>
      <c r="P1048" s="118">
        <v>2.5</v>
      </c>
      <c r="Q1048" s="119" t="s">
        <v>26</v>
      </c>
      <c r="R1048" s="119" t="s">
        <v>26</v>
      </c>
      <c r="S1048" s="127">
        <v>1.06</v>
      </c>
      <c r="T1048" s="121" t="s">
        <v>26</v>
      </c>
      <c r="U1048" s="130">
        <v>80</v>
      </c>
      <c r="V1048" s="126" t="s">
        <v>26</v>
      </c>
      <c r="AC1048" s="33"/>
      <c r="AD1048" s="33"/>
      <c r="AE1048" s="33"/>
    </row>
    <row r="1049" spans="1:31">
      <c r="A1049" s="18" t="s">
        <v>1053</v>
      </c>
      <c r="B1049" s="8" t="s">
        <v>1039</v>
      </c>
      <c r="C1049" s="8" t="s">
        <v>22</v>
      </c>
      <c r="D1049" s="8" t="s">
        <v>955</v>
      </c>
      <c r="E1049" s="25" t="s">
        <v>24</v>
      </c>
      <c r="F1049" s="16" t="s">
        <v>1058</v>
      </c>
      <c r="G1049" s="118">
        <v>276</v>
      </c>
      <c r="H1049" s="118">
        <v>7.4</v>
      </c>
      <c r="I1049" s="119" t="s">
        <v>26</v>
      </c>
      <c r="J1049" s="119" t="s">
        <v>26</v>
      </c>
      <c r="K1049" s="119" t="s">
        <v>26</v>
      </c>
      <c r="L1049" s="119" t="s">
        <v>26</v>
      </c>
      <c r="M1049" s="119" t="s">
        <v>26</v>
      </c>
      <c r="N1049" s="119" t="s">
        <v>26</v>
      </c>
      <c r="O1049" s="118">
        <v>1.5</v>
      </c>
      <c r="P1049" s="119" t="s">
        <v>26</v>
      </c>
      <c r="Q1049" s="118">
        <v>2.2000000000000002</v>
      </c>
      <c r="R1049" s="119" t="s">
        <v>26</v>
      </c>
      <c r="S1049" s="127">
        <v>0.6</v>
      </c>
      <c r="T1049" s="121" t="s">
        <v>26</v>
      </c>
      <c r="U1049" s="130">
        <v>12</v>
      </c>
      <c r="V1049" s="126" t="s">
        <v>26</v>
      </c>
      <c r="AC1049" s="33"/>
      <c r="AD1049" s="33"/>
      <c r="AE1049" s="33"/>
    </row>
    <row r="1050" spans="1:31">
      <c r="A1050" s="18" t="s">
        <v>1053</v>
      </c>
      <c r="B1050" s="8" t="s">
        <v>1039</v>
      </c>
      <c r="C1050" s="8" t="s">
        <v>22</v>
      </c>
      <c r="D1050" s="8" t="s">
        <v>955</v>
      </c>
      <c r="E1050" s="25" t="s">
        <v>27</v>
      </c>
      <c r="F1050" s="16" t="s">
        <v>1059</v>
      </c>
      <c r="G1050" s="118">
        <v>121</v>
      </c>
      <c r="H1050" s="118">
        <v>14.4</v>
      </c>
      <c r="I1050" s="118">
        <v>1.7</v>
      </c>
      <c r="J1050" s="119" t="s">
        <v>26</v>
      </c>
      <c r="K1050" s="119" t="s">
        <v>26</v>
      </c>
      <c r="L1050" s="119" t="s">
        <v>26</v>
      </c>
      <c r="M1050" s="119" t="s">
        <v>26</v>
      </c>
      <c r="N1050" s="119" t="s">
        <v>26</v>
      </c>
      <c r="O1050" s="118">
        <v>2</v>
      </c>
      <c r="P1050" s="119" t="s">
        <v>26</v>
      </c>
      <c r="Q1050" s="118">
        <v>3.2</v>
      </c>
      <c r="R1050" s="119" t="s">
        <v>26</v>
      </c>
      <c r="S1050" s="127">
        <v>1.9</v>
      </c>
      <c r="T1050" s="121" t="s">
        <v>26</v>
      </c>
      <c r="U1050" s="130">
        <v>36</v>
      </c>
      <c r="V1050" s="126" t="s">
        <v>26</v>
      </c>
      <c r="AC1050" s="33"/>
      <c r="AD1050" s="33"/>
      <c r="AE1050" s="33"/>
    </row>
    <row r="1051" spans="1:31">
      <c r="A1051" s="18" t="s">
        <v>1053</v>
      </c>
      <c r="B1051" s="8" t="s">
        <v>1039</v>
      </c>
      <c r="C1051" s="8" t="s">
        <v>22</v>
      </c>
      <c r="D1051" s="8" t="s">
        <v>955</v>
      </c>
      <c r="E1051" s="25" t="s">
        <v>958</v>
      </c>
      <c r="F1051" s="16" t="s">
        <v>1057</v>
      </c>
      <c r="G1051" s="118">
        <v>75</v>
      </c>
      <c r="H1051" s="118">
        <v>11.3</v>
      </c>
      <c r="I1051" s="118">
        <v>3.9</v>
      </c>
      <c r="J1051" s="119" t="s">
        <v>26</v>
      </c>
      <c r="K1051" s="119" t="s">
        <v>26</v>
      </c>
      <c r="L1051" s="119" t="s">
        <v>26</v>
      </c>
      <c r="M1051" s="119" t="s">
        <v>26</v>
      </c>
      <c r="N1051" s="119" t="s">
        <v>26</v>
      </c>
      <c r="O1051" s="118">
        <v>5.5</v>
      </c>
      <c r="P1051" s="119" t="s">
        <v>26</v>
      </c>
      <c r="Q1051" s="119" t="s">
        <v>26</v>
      </c>
      <c r="R1051" s="119" t="s">
        <v>26</v>
      </c>
      <c r="S1051" s="127">
        <v>2.2000000000000002</v>
      </c>
      <c r="T1051" s="121" t="s">
        <v>26</v>
      </c>
      <c r="U1051" s="123" t="s">
        <v>26</v>
      </c>
      <c r="V1051" s="126" t="s">
        <v>26</v>
      </c>
      <c r="AC1051" s="33"/>
      <c r="AD1051" s="33"/>
      <c r="AE1051" s="33"/>
    </row>
    <row r="1052" spans="1:31">
      <c r="A1052" s="18" t="s">
        <v>1053</v>
      </c>
      <c r="B1052" s="8" t="s">
        <v>1039</v>
      </c>
      <c r="C1052" s="8" t="s">
        <v>22</v>
      </c>
      <c r="D1052" s="8" t="s">
        <v>955</v>
      </c>
      <c r="E1052" s="25" t="s">
        <v>29</v>
      </c>
      <c r="F1052" s="16" t="s">
        <v>932</v>
      </c>
      <c r="G1052" s="118">
        <v>43</v>
      </c>
      <c r="H1052" s="118">
        <v>7.9</v>
      </c>
      <c r="I1052" s="118">
        <v>3.1</v>
      </c>
      <c r="J1052" s="118">
        <v>0.98</v>
      </c>
      <c r="K1052" s="119" t="s">
        <v>26</v>
      </c>
      <c r="L1052" s="119" t="s">
        <v>26</v>
      </c>
      <c r="M1052" s="119" t="s">
        <v>26</v>
      </c>
      <c r="N1052" s="119" t="s">
        <v>26</v>
      </c>
      <c r="O1052" s="118">
        <v>2.8</v>
      </c>
      <c r="P1052" s="118">
        <v>1.7</v>
      </c>
      <c r="Q1052" s="119" t="s">
        <v>26</v>
      </c>
      <c r="R1052" s="119" t="s">
        <v>26</v>
      </c>
      <c r="S1052" s="127">
        <v>1</v>
      </c>
      <c r="T1052" s="121" t="s">
        <v>26</v>
      </c>
      <c r="U1052" s="123" t="s">
        <v>26</v>
      </c>
      <c r="V1052" s="126" t="s">
        <v>26</v>
      </c>
      <c r="AC1052" s="33"/>
      <c r="AD1052" s="33"/>
      <c r="AE1052" s="33"/>
    </row>
    <row r="1053" spans="1:31">
      <c r="A1053" s="18" t="s">
        <v>1053</v>
      </c>
      <c r="B1053" s="8" t="s">
        <v>1039</v>
      </c>
      <c r="C1053" s="8" t="s">
        <v>22</v>
      </c>
      <c r="D1053" s="8" t="s">
        <v>955</v>
      </c>
      <c r="E1053" s="25" t="s">
        <v>31</v>
      </c>
      <c r="F1053" s="16" t="s">
        <v>1060</v>
      </c>
      <c r="G1053" s="118">
        <v>19</v>
      </c>
      <c r="H1053" s="119" t="s">
        <v>26</v>
      </c>
      <c r="I1053" s="119" t="s">
        <v>26</v>
      </c>
      <c r="J1053" s="119" t="s">
        <v>26</v>
      </c>
      <c r="K1053" s="119" t="s">
        <v>26</v>
      </c>
      <c r="L1053" s="119" t="s">
        <v>26</v>
      </c>
      <c r="M1053" s="119" t="s">
        <v>26</v>
      </c>
      <c r="N1053" s="119" t="s">
        <v>26</v>
      </c>
      <c r="O1053" s="118">
        <v>3</v>
      </c>
      <c r="P1053" s="119" t="s">
        <v>26</v>
      </c>
      <c r="Q1053" s="119" t="s">
        <v>26</v>
      </c>
      <c r="R1053" s="119" t="s">
        <v>26</v>
      </c>
      <c r="S1053" s="127">
        <v>1.1000000000000001</v>
      </c>
      <c r="T1053" s="121" t="s">
        <v>26</v>
      </c>
      <c r="U1053" s="123" t="s">
        <v>26</v>
      </c>
      <c r="V1053" s="126" t="s">
        <v>26</v>
      </c>
      <c r="AC1053" s="33"/>
      <c r="AD1053" s="33"/>
      <c r="AE1053" s="33"/>
    </row>
    <row r="1054" spans="1:31">
      <c r="A1054" s="18" t="s">
        <v>1053</v>
      </c>
      <c r="B1054" s="8" t="s">
        <v>1061</v>
      </c>
      <c r="C1054" s="8" t="s">
        <v>22</v>
      </c>
      <c r="D1054" s="8" t="s">
        <v>730</v>
      </c>
      <c r="E1054" s="25" t="s">
        <v>27</v>
      </c>
      <c r="F1054" s="16" t="s">
        <v>1062</v>
      </c>
      <c r="G1054" s="118">
        <v>175</v>
      </c>
      <c r="H1054" s="118">
        <v>9.1999999999999993</v>
      </c>
      <c r="I1054" s="118">
        <v>22.3</v>
      </c>
      <c r="J1054" s="119" t="s">
        <v>26</v>
      </c>
      <c r="K1054" s="119" t="s">
        <v>26</v>
      </c>
      <c r="L1054" s="119" t="s">
        <v>26</v>
      </c>
      <c r="M1054" s="119" t="s">
        <v>26</v>
      </c>
      <c r="N1054" s="119" t="s">
        <v>26</v>
      </c>
      <c r="O1054" s="118">
        <v>3.1</v>
      </c>
      <c r="P1054" s="118">
        <v>0.5</v>
      </c>
      <c r="Q1054" s="118">
        <v>0.8</v>
      </c>
      <c r="R1054" s="119" t="s">
        <v>26</v>
      </c>
      <c r="S1054" s="120" t="s">
        <v>26</v>
      </c>
      <c r="T1054" s="121" t="s">
        <v>26</v>
      </c>
      <c r="U1054" s="89">
        <v>404</v>
      </c>
      <c r="V1054" s="126" t="s">
        <v>26</v>
      </c>
      <c r="AC1054" s="33"/>
      <c r="AD1054" s="33"/>
      <c r="AE1054" s="33"/>
    </row>
    <row r="1055" spans="1:31">
      <c r="A1055" s="18" t="s">
        <v>1053</v>
      </c>
      <c r="B1055" s="8" t="s">
        <v>1061</v>
      </c>
      <c r="C1055" s="8" t="s">
        <v>22</v>
      </c>
      <c r="D1055" s="8" t="s">
        <v>730</v>
      </c>
      <c r="E1055" s="25" t="s">
        <v>29</v>
      </c>
      <c r="F1055" s="16" t="s">
        <v>1063</v>
      </c>
      <c r="G1055" s="118">
        <v>52</v>
      </c>
      <c r="H1055" s="119" t="s">
        <v>26</v>
      </c>
      <c r="I1055" s="118">
        <v>8.3000000000000007</v>
      </c>
      <c r="J1055" s="118">
        <v>6</v>
      </c>
      <c r="K1055" s="119" t="s">
        <v>26</v>
      </c>
      <c r="L1055" s="119" t="s">
        <v>26</v>
      </c>
      <c r="M1055" s="119" t="s">
        <v>26</v>
      </c>
      <c r="N1055" s="119" t="s">
        <v>26</v>
      </c>
      <c r="O1055" s="118">
        <v>3.9</v>
      </c>
      <c r="P1055" s="118">
        <v>3.5</v>
      </c>
      <c r="Q1055" s="119" t="s">
        <v>26</v>
      </c>
      <c r="R1055" s="119" t="s">
        <v>26</v>
      </c>
      <c r="S1055" s="127">
        <v>1</v>
      </c>
      <c r="T1055" s="121" t="s">
        <v>26</v>
      </c>
      <c r="U1055" s="133">
        <v>1104</v>
      </c>
      <c r="V1055" s="126" t="s">
        <v>26</v>
      </c>
      <c r="AC1055" s="33"/>
      <c r="AD1055" s="33"/>
      <c r="AE1055" s="33"/>
    </row>
    <row r="1056" spans="1:31">
      <c r="A1056" s="18" t="s">
        <v>1053</v>
      </c>
      <c r="B1056" s="8" t="s">
        <v>1061</v>
      </c>
      <c r="C1056" s="8" t="s">
        <v>22</v>
      </c>
      <c r="D1056" s="8" t="s">
        <v>730</v>
      </c>
      <c r="E1056" s="25" t="s">
        <v>31</v>
      </c>
      <c r="F1056" s="16" t="s">
        <v>1064</v>
      </c>
      <c r="G1056" s="118">
        <v>20</v>
      </c>
      <c r="H1056" s="118">
        <v>10.7</v>
      </c>
      <c r="I1056" s="119" t="s">
        <v>26</v>
      </c>
      <c r="J1056" s="118">
        <v>8</v>
      </c>
      <c r="K1056" s="119" t="s">
        <v>26</v>
      </c>
      <c r="L1056" s="119" t="s">
        <v>26</v>
      </c>
      <c r="M1056" s="119" t="s">
        <v>26</v>
      </c>
      <c r="N1056" s="119" t="s">
        <v>26</v>
      </c>
      <c r="O1056" s="118">
        <v>2.1</v>
      </c>
      <c r="P1056" s="118">
        <v>7.6</v>
      </c>
      <c r="Q1056" s="119" t="s">
        <v>26</v>
      </c>
      <c r="R1056" s="119" t="s">
        <v>26</v>
      </c>
      <c r="S1056" s="127">
        <v>0.5</v>
      </c>
      <c r="T1056" s="121" t="s">
        <v>26</v>
      </c>
      <c r="U1056" s="133">
        <v>389</v>
      </c>
      <c r="V1056" s="126" t="s">
        <v>26</v>
      </c>
      <c r="AC1056" s="33"/>
      <c r="AD1056" s="33"/>
      <c r="AE1056" s="33"/>
    </row>
    <row r="1057" spans="1:31">
      <c r="A1057" s="18" t="s">
        <v>1053</v>
      </c>
      <c r="B1057" s="8" t="s">
        <v>623</v>
      </c>
      <c r="C1057" s="8" t="s">
        <v>22</v>
      </c>
      <c r="D1057" s="8" t="s">
        <v>1015</v>
      </c>
      <c r="E1057" s="25" t="s">
        <v>27</v>
      </c>
      <c r="F1057" s="16" t="s">
        <v>1065</v>
      </c>
      <c r="G1057" s="118">
        <v>134</v>
      </c>
      <c r="H1057" s="118">
        <v>13.3</v>
      </c>
      <c r="I1057" s="118">
        <v>13.6</v>
      </c>
      <c r="J1057" s="119" t="s">
        <v>26</v>
      </c>
      <c r="K1057" s="119" t="s">
        <v>26</v>
      </c>
      <c r="L1057" s="118">
        <v>1.2</v>
      </c>
      <c r="M1057" s="118">
        <v>1.2</v>
      </c>
      <c r="N1057" s="119" t="s">
        <v>26</v>
      </c>
      <c r="O1057" s="118">
        <v>3.4</v>
      </c>
      <c r="P1057" s="119" t="s">
        <v>26</v>
      </c>
      <c r="Q1057" s="118">
        <v>2.7</v>
      </c>
      <c r="R1057" s="119" t="s">
        <v>26</v>
      </c>
      <c r="S1057" s="127">
        <v>0.5</v>
      </c>
      <c r="T1057" s="121" t="s">
        <v>26</v>
      </c>
      <c r="U1057" s="89">
        <v>198</v>
      </c>
      <c r="V1057" s="126" t="s">
        <v>26</v>
      </c>
      <c r="AC1057" s="33"/>
      <c r="AD1057" s="33"/>
      <c r="AE1057" s="33"/>
    </row>
    <row r="1058" spans="1:31">
      <c r="A1058" s="18" t="s">
        <v>1053</v>
      </c>
      <c r="B1058" s="8" t="s">
        <v>623</v>
      </c>
      <c r="C1058" s="8" t="s">
        <v>22</v>
      </c>
      <c r="D1058" s="8" t="s">
        <v>1015</v>
      </c>
      <c r="E1058" s="25" t="s">
        <v>29</v>
      </c>
      <c r="F1058" s="16" t="s">
        <v>1066</v>
      </c>
      <c r="G1058" s="118">
        <v>53</v>
      </c>
      <c r="H1058" s="119" t="s">
        <v>26</v>
      </c>
      <c r="I1058" s="118">
        <v>17.2</v>
      </c>
      <c r="J1058" s="118">
        <v>5.9</v>
      </c>
      <c r="K1058" s="119" t="s">
        <v>26</v>
      </c>
      <c r="L1058" s="118">
        <v>0.6</v>
      </c>
      <c r="M1058" s="119" t="s">
        <v>26</v>
      </c>
      <c r="N1058" s="119" t="s">
        <v>26</v>
      </c>
      <c r="O1058" s="118">
        <v>4.5999999999999996</v>
      </c>
      <c r="P1058" s="118">
        <v>1.04</v>
      </c>
      <c r="Q1058" s="118">
        <v>5.7</v>
      </c>
      <c r="R1058" s="118">
        <v>0.2</v>
      </c>
      <c r="S1058" s="127">
        <v>2.1</v>
      </c>
      <c r="T1058" s="121" t="s">
        <v>26</v>
      </c>
      <c r="U1058" s="133">
        <v>1039</v>
      </c>
      <c r="V1058" s="126" t="s">
        <v>26</v>
      </c>
      <c r="AC1058" s="33"/>
      <c r="AD1058" s="33"/>
      <c r="AE1058" s="33"/>
    </row>
    <row r="1059" spans="1:31">
      <c r="A1059" s="18" t="s">
        <v>1053</v>
      </c>
      <c r="B1059" s="8" t="s">
        <v>623</v>
      </c>
      <c r="C1059" s="8" t="s">
        <v>22</v>
      </c>
      <c r="D1059" s="8" t="s">
        <v>1015</v>
      </c>
      <c r="E1059" s="25" t="s">
        <v>31</v>
      </c>
      <c r="F1059" s="16" t="s">
        <v>1067</v>
      </c>
      <c r="G1059" s="118">
        <v>19</v>
      </c>
      <c r="H1059" s="119" t="s">
        <v>26</v>
      </c>
      <c r="I1059" s="118">
        <v>8.9</v>
      </c>
      <c r="J1059" s="118">
        <v>11.9</v>
      </c>
      <c r="K1059" s="119" t="s">
        <v>26</v>
      </c>
      <c r="L1059" s="118">
        <v>0.9</v>
      </c>
      <c r="M1059" s="119" t="s">
        <v>26</v>
      </c>
      <c r="N1059" s="119" t="s">
        <v>26</v>
      </c>
      <c r="O1059" s="118">
        <v>6.2</v>
      </c>
      <c r="P1059" s="119" t="s">
        <v>26</v>
      </c>
      <c r="Q1059" s="119" t="s">
        <v>26</v>
      </c>
      <c r="R1059" s="119" t="s">
        <v>26</v>
      </c>
      <c r="S1059" s="127">
        <v>2.2999999999999998</v>
      </c>
      <c r="T1059" s="121" t="s">
        <v>26</v>
      </c>
      <c r="U1059" s="133">
        <v>359</v>
      </c>
      <c r="V1059" s="126" t="s">
        <v>26</v>
      </c>
      <c r="AC1059" s="33"/>
      <c r="AD1059" s="33"/>
      <c r="AE1059" s="33"/>
    </row>
    <row r="1060" spans="1:31">
      <c r="A1060" s="18" t="s">
        <v>1068</v>
      </c>
      <c r="B1060" s="8" t="s">
        <v>676</v>
      </c>
      <c r="C1060" s="8" t="s">
        <v>22</v>
      </c>
      <c r="D1060" s="8" t="s">
        <v>1015</v>
      </c>
      <c r="E1060" s="25" t="s">
        <v>27</v>
      </c>
      <c r="F1060" s="16" t="s">
        <v>1069</v>
      </c>
      <c r="G1060" s="118">
        <v>125</v>
      </c>
      <c r="H1060" s="118">
        <v>39.700000000000003</v>
      </c>
      <c r="I1060" s="118">
        <v>18.8</v>
      </c>
      <c r="J1060" s="118">
        <v>0.8</v>
      </c>
      <c r="K1060" s="119" t="s">
        <v>26</v>
      </c>
      <c r="L1060" s="118">
        <v>0.4</v>
      </c>
      <c r="M1060" s="119" t="s">
        <v>26</v>
      </c>
      <c r="N1060" s="119" t="s">
        <v>26</v>
      </c>
      <c r="O1060" s="118">
        <v>1.5</v>
      </c>
      <c r="P1060" s="118">
        <v>1.8</v>
      </c>
      <c r="Q1060" s="119" t="s">
        <v>26</v>
      </c>
      <c r="R1060" s="119" t="s">
        <v>26</v>
      </c>
      <c r="S1060" s="120" t="s">
        <v>26</v>
      </c>
      <c r="T1060" s="121" t="s">
        <v>26</v>
      </c>
      <c r="U1060" s="89">
        <v>430</v>
      </c>
      <c r="V1060" s="126" t="s">
        <v>26</v>
      </c>
      <c r="AC1060" s="33"/>
      <c r="AD1060" s="33"/>
      <c r="AE1060" s="33"/>
    </row>
    <row r="1061" spans="1:31">
      <c r="A1061" s="18" t="s">
        <v>1068</v>
      </c>
      <c r="B1061" s="8" t="s">
        <v>676</v>
      </c>
      <c r="C1061" s="8" t="s">
        <v>22</v>
      </c>
      <c r="D1061" s="8" t="s">
        <v>1015</v>
      </c>
      <c r="E1061" s="25" t="s">
        <v>29</v>
      </c>
      <c r="F1061" s="16" t="s">
        <v>1070</v>
      </c>
      <c r="G1061" s="118">
        <v>52</v>
      </c>
      <c r="H1061" s="118">
        <v>2</v>
      </c>
      <c r="I1061" s="118">
        <v>17.2</v>
      </c>
      <c r="J1061" s="118">
        <v>4.2</v>
      </c>
      <c r="K1061" s="119" t="s">
        <v>26</v>
      </c>
      <c r="L1061" s="119" t="s">
        <v>26</v>
      </c>
      <c r="M1061" s="119" t="s">
        <v>26</v>
      </c>
      <c r="N1061" s="119" t="s">
        <v>26</v>
      </c>
      <c r="O1061" s="118">
        <v>2.1</v>
      </c>
      <c r="P1061" s="118">
        <v>1.7</v>
      </c>
      <c r="Q1061" s="119" t="s">
        <v>26</v>
      </c>
      <c r="R1061" s="119" t="s">
        <v>26</v>
      </c>
      <c r="S1061" s="120" t="s">
        <v>26</v>
      </c>
      <c r="T1061" s="121" t="s">
        <v>26</v>
      </c>
      <c r="U1061" s="89">
        <v>2025</v>
      </c>
      <c r="V1061" s="126" t="s">
        <v>26</v>
      </c>
      <c r="AC1061" s="33"/>
      <c r="AD1061" s="33"/>
      <c r="AE1061" s="33"/>
    </row>
    <row r="1062" spans="1:31">
      <c r="A1062" s="18" t="s">
        <v>1068</v>
      </c>
      <c r="B1062" s="8" t="s">
        <v>676</v>
      </c>
      <c r="C1062" s="8" t="s">
        <v>22</v>
      </c>
      <c r="D1062" s="8" t="s">
        <v>1015</v>
      </c>
      <c r="E1062" s="25" t="s">
        <v>31</v>
      </c>
      <c r="F1062" s="16" t="s">
        <v>469</v>
      </c>
      <c r="G1062" s="118">
        <v>21</v>
      </c>
      <c r="H1062" s="119" t="s">
        <v>26</v>
      </c>
      <c r="I1062" s="118">
        <v>7.5</v>
      </c>
      <c r="J1062" s="118">
        <v>10.9</v>
      </c>
      <c r="K1062" s="119" t="s">
        <v>26</v>
      </c>
      <c r="L1062" s="119" t="s">
        <v>26</v>
      </c>
      <c r="M1062" s="119" t="s">
        <v>26</v>
      </c>
      <c r="N1062" s="119" t="s">
        <v>26</v>
      </c>
      <c r="O1062" s="118">
        <v>2.7</v>
      </c>
      <c r="P1062" s="119" t="s">
        <v>26</v>
      </c>
      <c r="Q1062" s="119" t="s">
        <v>26</v>
      </c>
      <c r="R1062" s="119" t="s">
        <v>26</v>
      </c>
      <c r="S1062" s="127">
        <v>1.2</v>
      </c>
      <c r="T1062" s="121" t="s">
        <v>26</v>
      </c>
      <c r="U1062" s="89">
        <v>740</v>
      </c>
      <c r="V1062" s="126" t="s">
        <v>26</v>
      </c>
      <c r="AC1062" s="33"/>
      <c r="AD1062" s="33"/>
      <c r="AE1062" s="33"/>
    </row>
    <row r="1063" spans="1:31">
      <c r="A1063" s="18" t="s">
        <v>1068</v>
      </c>
      <c r="B1063" s="8" t="s">
        <v>1071</v>
      </c>
      <c r="C1063" s="8" t="s">
        <v>22</v>
      </c>
      <c r="D1063" s="8" t="s">
        <v>1015</v>
      </c>
      <c r="E1063" s="25" t="s">
        <v>27</v>
      </c>
      <c r="F1063" s="16" t="s">
        <v>1072</v>
      </c>
      <c r="G1063" s="118">
        <v>132</v>
      </c>
      <c r="H1063" s="118">
        <v>20.2</v>
      </c>
      <c r="I1063" s="118">
        <v>11.8</v>
      </c>
      <c r="J1063" s="118">
        <v>1.65</v>
      </c>
      <c r="K1063" s="119" t="s">
        <v>26</v>
      </c>
      <c r="L1063" s="119" t="s">
        <v>26</v>
      </c>
      <c r="M1063" s="119" t="s">
        <v>26</v>
      </c>
      <c r="N1063" s="119" t="s">
        <v>26</v>
      </c>
      <c r="O1063" s="118">
        <v>5.6</v>
      </c>
      <c r="P1063" s="118">
        <v>2.9</v>
      </c>
      <c r="Q1063" s="119" t="s">
        <v>26</v>
      </c>
      <c r="R1063" s="119" t="s">
        <v>26</v>
      </c>
      <c r="S1063" s="127">
        <v>0.9</v>
      </c>
      <c r="T1063" s="121" t="s">
        <v>26</v>
      </c>
      <c r="U1063" s="138">
        <v>160</v>
      </c>
      <c r="V1063" s="89">
        <v>244</v>
      </c>
      <c r="AC1063" s="33"/>
      <c r="AD1063" s="33"/>
      <c r="AE1063" s="33"/>
    </row>
    <row r="1064" spans="1:31">
      <c r="A1064" s="18" t="s">
        <v>1068</v>
      </c>
      <c r="B1064" s="8" t="s">
        <v>1071</v>
      </c>
      <c r="C1064" s="8" t="s">
        <v>22</v>
      </c>
      <c r="D1064" s="8" t="s">
        <v>1015</v>
      </c>
      <c r="E1064" s="25" t="s">
        <v>29</v>
      </c>
      <c r="F1064" s="16" t="s">
        <v>1073</v>
      </c>
      <c r="G1064" s="118">
        <v>47</v>
      </c>
      <c r="H1064" s="118">
        <v>18.899999999999999</v>
      </c>
      <c r="I1064" s="118">
        <v>6.7</v>
      </c>
      <c r="J1064" s="118">
        <v>5.5</v>
      </c>
      <c r="K1064" s="119" t="s">
        <v>26</v>
      </c>
      <c r="L1064" s="119" t="s">
        <v>26</v>
      </c>
      <c r="M1064" s="119" t="s">
        <v>26</v>
      </c>
      <c r="N1064" s="119" t="s">
        <v>26</v>
      </c>
      <c r="O1064" s="118">
        <v>3.6</v>
      </c>
      <c r="P1064" s="118">
        <v>3.16</v>
      </c>
      <c r="Q1064" s="119" t="s">
        <v>26</v>
      </c>
      <c r="R1064" s="119" t="s">
        <v>26</v>
      </c>
      <c r="S1064" s="127">
        <v>1.2</v>
      </c>
      <c r="T1064" s="121" t="s">
        <v>26</v>
      </c>
      <c r="U1064" s="89">
        <v>1789</v>
      </c>
      <c r="V1064" s="89">
        <v>321</v>
      </c>
      <c r="AC1064" s="33"/>
      <c r="AD1064" s="33"/>
      <c r="AE1064" s="33"/>
    </row>
    <row r="1065" spans="1:31">
      <c r="A1065" s="18" t="s">
        <v>1068</v>
      </c>
      <c r="B1065" s="8" t="s">
        <v>1071</v>
      </c>
      <c r="C1065" s="8" t="s">
        <v>22</v>
      </c>
      <c r="D1065" s="8" t="s">
        <v>1015</v>
      </c>
      <c r="E1065" s="25" t="s">
        <v>31</v>
      </c>
      <c r="F1065" s="16" t="s">
        <v>1074</v>
      </c>
      <c r="G1065" s="118">
        <v>17</v>
      </c>
      <c r="H1065" s="119" t="s">
        <v>26</v>
      </c>
      <c r="I1065" s="118">
        <v>3.5</v>
      </c>
      <c r="J1065" s="118">
        <v>6.3</v>
      </c>
      <c r="K1065" s="119" t="s">
        <v>26</v>
      </c>
      <c r="L1065" s="119" t="s">
        <v>26</v>
      </c>
      <c r="M1065" s="119" t="s">
        <v>26</v>
      </c>
      <c r="N1065" s="119" t="s">
        <v>26</v>
      </c>
      <c r="O1065" s="118">
        <v>2.6</v>
      </c>
      <c r="P1065" s="118">
        <v>2.8</v>
      </c>
      <c r="Q1065" s="119" t="s">
        <v>26</v>
      </c>
      <c r="R1065" s="119" t="s">
        <v>26</v>
      </c>
      <c r="S1065" s="120" t="s">
        <v>26</v>
      </c>
      <c r="T1065" s="121" t="s">
        <v>26</v>
      </c>
      <c r="U1065" s="89">
        <v>742</v>
      </c>
      <c r="V1065" s="89">
        <v>49</v>
      </c>
      <c r="AC1065" s="33"/>
      <c r="AD1065" s="33"/>
      <c r="AE1065" s="33"/>
    </row>
    <row r="1066" spans="1:31">
      <c r="A1066" s="18" t="s">
        <v>1068</v>
      </c>
      <c r="B1066" s="8" t="s">
        <v>68</v>
      </c>
      <c r="C1066" s="8" t="s">
        <v>22</v>
      </c>
      <c r="D1066" s="8" t="s">
        <v>1015</v>
      </c>
      <c r="E1066" s="25" t="s">
        <v>27</v>
      </c>
      <c r="F1066" s="16" t="s">
        <v>1075</v>
      </c>
      <c r="G1066" s="118">
        <v>120</v>
      </c>
      <c r="H1066" s="118">
        <v>20.6</v>
      </c>
      <c r="I1066" s="118">
        <v>13.6</v>
      </c>
      <c r="J1066" s="119" t="s">
        <v>26</v>
      </c>
      <c r="K1066" s="119" t="s">
        <v>26</v>
      </c>
      <c r="L1066" s="119" t="s">
        <v>26</v>
      </c>
      <c r="M1066" s="119" t="s">
        <v>26</v>
      </c>
      <c r="N1066" s="119" t="s">
        <v>26</v>
      </c>
      <c r="O1066" s="125" t="s">
        <v>26</v>
      </c>
      <c r="P1066" s="118">
        <v>3.3</v>
      </c>
      <c r="Q1066" s="119" t="s">
        <v>26</v>
      </c>
      <c r="R1066" s="119" t="s">
        <v>26</v>
      </c>
      <c r="S1066" s="120" t="s">
        <v>26</v>
      </c>
      <c r="T1066" s="121" t="s">
        <v>26</v>
      </c>
      <c r="U1066" s="138">
        <v>375</v>
      </c>
      <c r="V1066" s="126" t="s">
        <v>26</v>
      </c>
      <c r="AC1066" s="33"/>
      <c r="AD1066" s="33"/>
      <c r="AE1066" s="33"/>
    </row>
    <row r="1067" spans="1:31">
      <c r="A1067" s="18" t="s">
        <v>1068</v>
      </c>
      <c r="B1067" s="8" t="s">
        <v>68</v>
      </c>
      <c r="C1067" s="8" t="s">
        <v>22</v>
      </c>
      <c r="D1067" s="8" t="s">
        <v>1015</v>
      </c>
      <c r="E1067" s="25" t="s">
        <v>29</v>
      </c>
      <c r="F1067" s="16" t="s">
        <v>1076</v>
      </c>
      <c r="G1067" s="118">
        <v>54</v>
      </c>
      <c r="H1067" s="118">
        <v>7</v>
      </c>
      <c r="I1067" s="118">
        <v>22.7</v>
      </c>
      <c r="J1067" s="118">
        <v>5.9</v>
      </c>
      <c r="K1067" s="119" t="s">
        <v>26</v>
      </c>
      <c r="L1067" s="119" t="s">
        <v>26</v>
      </c>
      <c r="M1067" s="119" t="s">
        <v>26</v>
      </c>
      <c r="N1067" s="119" t="s">
        <v>26</v>
      </c>
      <c r="O1067" s="125" t="s">
        <v>26</v>
      </c>
      <c r="P1067" s="118">
        <v>6.1</v>
      </c>
      <c r="Q1067" s="119" t="s">
        <v>26</v>
      </c>
      <c r="R1067" s="118">
        <v>3.8</v>
      </c>
      <c r="S1067" s="127">
        <v>1.1000000000000001</v>
      </c>
      <c r="T1067" s="121" t="s">
        <v>26</v>
      </c>
      <c r="U1067" s="89">
        <v>1585</v>
      </c>
      <c r="V1067" s="126" t="s">
        <v>26</v>
      </c>
      <c r="AC1067" s="33"/>
      <c r="AD1067" s="33"/>
      <c r="AE1067" s="33"/>
    </row>
    <row r="1068" spans="1:31">
      <c r="A1068" s="18" t="s">
        <v>1068</v>
      </c>
      <c r="B1068" s="8" t="s">
        <v>68</v>
      </c>
      <c r="C1068" s="8" t="s">
        <v>22</v>
      </c>
      <c r="D1068" s="8" t="s">
        <v>1015</v>
      </c>
      <c r="E1068" s="25" t="s">
        <v>31</v>
      </c>
      <c r="F1068" s="16" t="s">
        <v>592</v>
      </c>
      <c r="G1068" s="118">
        <v>18</v>
      </c>
      <c r="H1068" s="118">
        <v>15.6</v>
      </c>
      <c r="I1068" s="119" t="s">
        <v>26</v>
      </c>
      <c r="J1068" s="118">
        <v>12.7</v>
      </c>
      <c r="K1068" s="119" t="s">
        <v>26</v>
      </c>
      <c r="L1068" s="119" t="s">
        <v>26</v>
      </c>
      <c r="M1068" s="119" t="s">
        <v>26</v>
      </c>
      <c r="N1068" s="119" t="s">
        <v>26</v>
      </c>
      <c r="O1068" s="125" t="s">
        <v>26</v>
      </c>
      <c r="P1068" s="118">
        <v>2.6</v>
      </c>
      <c r="Q1068" s="119" t="s">
        <v>26</v>
      </c>
      <c r="R1068" s="118">
        <v>2.1</v>
      </c>
      <c r="S1068" s="127">
        <v>0.8</v>
      </c>
      <c r="T1068" s="121" t="s">
        <v>26</v>
      </c>
      <c r="U1068" s="89">
        <v>646</v>
      </c>
      <c r="V1068" s="126" t="s">
        <v>26</v>
      </c>
      <c r="AC1068" s="33"/>
      <c r="AD1068" s="33"/>
      <c r="AE1068" s="33"/>
    </row>
    <row r="1069" spans="1:31">
      <c r="A1069" s="18" t="s">
        <v>1068</v>
      </c>
      <c r="B1069" s="8" t="s">
        <v>1050</v>
      </c>
      <c r="C1069" s="8" t="s">
        <v>22</v>
      </c>
      <c r="D1069" s="8" t="s">
        <v>1015</v>
      </c>
      <c r="E1069" s="25" t="s">
        <v>27</v>
      </c>
      <c r="F1069" s="16" t="s">
        <v>1077</v>
      </c>
      <c r="G1069" s="118">
        <v>114</v>
      </c>
      <c r="H1069" s="118">
        <v>24.2</v>
      </c>
      <c r="I1069" s="118">
        <v>11.6</v>
      </c>
      <c r="J1069" s="118">
        <v>1.2</v>
      </c>
      <c r="K1069" s="119" t="s">
        <v>26</v>
      </c>
      <c r="L1069" s="119" t="s">
        <v>26</v>
      </c>
      <c r="M1069" s="118">
        <v>0.8</v>
      </c>
      <c r="N1069" s="119" t="s">
        <v>26</v>
      </c>
      <c r="O1069" s="118">
        <v>4.5</v>
      </c>
      <c r="P1069" s="118">
        <v>1.9</v>
      </c>
      <c r="Q1069" s="119" t="s">
        <v>26</v>
      </c>
      <c r="R1069" s="119" t="s">
        <v>26</v>
      </c>
      <c r="S1069" s="127">
        <v>0.5</v>
      </c>
      <c r="T1069" s="121" t="s">
        <v>26</v>
      </c>
      <c r="U1069" s="89">
        <v>963</v>
      </c>
      <c r="V1069" s="126" t="s">
        <v>26</v>
      </c>
      <c r="AC1069" s="33"/>
      <c r="AD1069" s="33"/>
      <c r="AE1069" s="33"/>
    </row>
    <row r="1070" spans="1:31">
      <c r="A1070" s="18" t="s">
        <v>1068</v>
      </c>
      <c r="B1070" s="8" t="s">
        <v>1050</v>
      </c>
      <c r="C1070" s="8" t="s">
        <v>22</v>
      </c>
      <c r="D1070" s="8" t="s">
        <v>1015</v>
      </c>
      <c r="E1070" s="25" t="s">
        <v>29</v>
      </c>
      <c r="F1070" s="16" t="s">
        <v>1078</v>
      </c>
      <c r="G1070" s="118">
        <v>52</v>
      </c>
      <c r="H1070" s="119" t="s">
        <v>26</v>
      </c>
      <c r="I1070" s="118">
        <v>18.600000000000001</v>
      </c>
      <c r="J1070" s="118">
        <v>5.9</v>
      </c>
      <c r="K1070" s="119" t="s">
        <v>26</v>
      </c>
      <c r="L1070" s="119" t="s">
        <v>26</v>
      </c>
      <c r="M1070" s="118">
        <v>2.8</v>
      </c>
      <c r="N1070" s="119" t="s">
        <v>26</v>
      </c>
      <c r="O1070" s="118">
        <v>9.9</v>
      </c>
      <c r="P1070" s="118">
        <v>3.5</v>
      </c>
      <c r="Q1070" s="119" t="s">
        <v>26</v>
      </c>
      <c r="R1070" s="119" t="s">
        <v>26</v>
      </c>
      <c r="S1070" s="127">
        <v>1.4</v>
      </c>
      <c r="T1070" s="121" t="s">
        <v>26</v>
      </c>
      <c r="U1070" s="89">
        <v>2364</v>
      </c>
      <c r="V1070" s="126" t="s">
        <v>26</v>
      </c>
      <c r="AC1070" s="33"/>
      <c r="AD1070" s="33"/>
      <c r="AE1070" s="33"/>
    </row>
    <row r="1071" spans="1:31">
      <c r="A1071" s="18" t="s">
        <v>1068</v>
      </c>
      <c r="B1071" s="8" t="s">
        <v>1050</v>
      </c>
      <c r="C1071" s="8" t="s">
        <v>22</v>
      </c>
      <c r="D1071" s="8" t="s">
        <v>1015</v>
      </c>
      <c r="E1071" s="25" t="s">
        <v>31</v>
      </c>
      <c r="F1071" s="16" t="s">
        <v>1079</v>
      </c>
      <c r="G1071" s="118">
        <v>17</v>
      </c>
      <c r="H1071" s="118">
        <v>11.2</v>
      </c>
      <c r="I1071" s="119" t="s">
        <v>26</v>
      </c>
      <c r="J1071" s="118">
        <v>17.7</v>
      </c>
      <c r="K1071" s="119" t="s">
        <v>26</v>
      </c>
      <c r="L1071" s="119" t="s">
        <v>26</v>
      </c>
      <c r="M1071" s="118">
        <v>9.4</v>
      </c>
      <c r="N1071" s="119" t="s">
        <v>26</v>
      </c>
      <c r="O1071" s="118">
        <v>4.3</v>
      </c>
      <c r="P1071" s="118">
        <v>2.7</v>
      </c>
      <c r="Q1071" s="119" t="s">
        <v>26</v>
      </c>
      <c r="R1071" s="119" t="s">
        <v>26</v>
      </c>
      <c r="S1071" s="127">
        <v>3.18</v>
      </c>
      <c r="T1071" s="121" t="s">
        <v>26</v>
      </c>
      <c r="U1071" s="89">
        <v>991</v>
      </c>
      <c r="V1071" s="126" t="s">
        <v>26</v>
      </c>
      <c r="AC1071" s="33"/>
      <c r="AD1071" s="33"/>
      <c r="AE1071" s="33"/>
    </row>
    <row r="1072" spans="1:31">
      <c r="A1072" s="18" t="s">
        <v>1080</v>
      </c>
      <c r="B1072" s="8" t="s">
        <v>623</v>
      </c>
      <c r="C1072" s="8" t="s">
        <v>22</v>
      </c>
      <c r="D1072" s="8" t="s">
        <v>730</v>
      </c>
      <c r="E1072" s="25" t="s">
        <v>27</v>
      </c>
      <c r="F1072" s="16" t="s">
        <v>120</v>
      </c>
      <c r="G1072" s="118">
        <v>199</v>
      </c>
      <c r="H1072" s="118">
        <v>8.3000000000000007</v>
      </c>
      <c r="I1072" s="118">
        <v>30</v>
      </c>
      <c r="J1072" s="118">
        <v>1.05</v>
      </c>
      <c r="K1072" s="119" t="s">
        <v>26</v>
      </c>
      <c r="L1072" s="118">
        <v>0.4</v>
      </c>
      <c r="M1072" s="118">
        <v>1.8</v>
      </c>
      <c r="N1072" s="119" t="s">
        <v>26</v>
      </c>
      <c r="O1072" s="118">
        <v>6.2</v>
      </c>
      <c r="P1072" s="118">
        <v>3.7</v>
      </c>
      <c r="Q1072" s="119" t="s">
        <v>26</v>
      </c>
      <c r="R1072" s="118">
        <v>1.2</v>
      </c>
      <c r="S1072" s="127">
        <v>0.8</v>
      </c>
      <c r="T1072" s="121" t="s">
        <v>26</v>
      </c>
      <c r="U1072" s="89">
        <v>912</v>
      </c>
      <c r="V1072" s="89">
        <v>385</v>
      </c>
      <c r="W1072" s="11"/>
      <c r="AC1072" s="33"/>
      <c r="AD1072" s="33"/>
      <c r="AE1072" s="33"/>
    </row>
    <row r="1073" spans="1:31">
      <c r="A1073" s="18" t="s">
        <v>1080</v>
      </c>
      <c r="B1073" s="8" t="s">
        <v>623</v>
      </c>
      <c r="C1073" s="8" t="s">
        <v>22</v>
      </c>
      <c r="D1073" s="8" t="s">
        <v>730</v>
      </c>
      <c r="E1073" s="25" t="s">
        <v>29</v>
      </c>
      <c r="F1073" s="16" t="s">
        <v>1081</v>
      </c>
      <c r="G1073" s="118">
        <v>62</v>
      </c>
      <c r="H1073" s="118">
        <v>3.9</v>
      </c>
      <c r="I1073" s="118">
        <v>21.2</v>
      </c>
      <c r="J1073" s="118">
        <v>4.5199999999999996</v>
      </c>
      <c r="K1073" s="119" t="s">
        <v>26</v>
      </c>
      <c r="L1073" s="118">
        <v>1.2</v>
      </c>
      <c r="M1073" s="119" t="s">
        <v>26</v>
      </c>
      <c r="N1073" s="119" t="s">
        <v>26</v>
      </c>
      <c r="O1073" s="118">
        <v>2.8</v>
      </c>
      <c r="P1073" s="118">
        <v>1.1499999999999999</v>
      </c>
      <c r="Q1073" s="119" t="s">
        <v>26</v>
      </c>
      <c r="R1073" s="119" t="s">
        <v>26</v>
      </c>
      <c r="S1073" s="127">
        <v>1.2</v>
      </c>
      <c r="T1073" s="121" t="s">
        <v>26</v>
      </c>
      <c r="U1073" s="89">
        <v>374</v>
      </c>
      <c r="V1073" s="89">
        <v>246</v>
      </c>
      <c r="AC1073" s="33"/>
      <c r="AD1073" s="33"/>
      <c r="AE1073" s="33"/>
    </row>
    <row r="1074" spans="1:31">
      <c r="A1074" s="18" t="s">
        <v>1080</v>
      </c>
      <c r="B1074" s="8" t="s">
        <v>623</v>
      </c>
      <c r="C1074" s="8" t="s">
        <v>22</v>
      </c>
      <c r="D1074" s="8" t="s">
        <v>730</v>
      </c>
      <c r="E1074" s="25" t="s">
        <v>31</v>
      </c>
      <c r="F1074" s="16" t="s">
        <v>1082</v>
      </c>
      <c r="G1074" s="118">
        <v>25</v>
      </c>
      <c r="H1074" s="119" t="s">
        <v>26</v>
      </c>
      <c r="I1074" s="118">
        <v>9.9</v>
      </c>
      <c r="J1074" s="118">
        <v>10.75</v>
      </c>
      <c r="K1074" s="119" t="s">
        <v>26</v>
      </c>
      <c r="L1074" s="119" t="s">
        <v>26</v>
      </c>
      <c r="M1074" s="119" t="s">
        <v>26</v>
      </c>
      <c r="N1074" s="119" t="s">
        <v>26</v>
      </c>
      <c r="O1074" s="118">
        <v>1.7</v>
      </c>
      <c r="P1074" s="118">
        <v>1</v>
      </c>
      <c r="Q1074" s="119" t="s">
        <v>26</v>
      </c>
      <c r="R1074" s="119" t="s">
        <v>26</v>
      </c>
      <c r="S1074" s="127">
        <v>0.8</v>
      </c>
      <c r="T1074" s="121" t="s">
        <v>26</v>
      </c>
      <c r="U1074" s="138">
        <v>239</v>
      </c>
      <c r="V1074" s="89">
        <v>44</v>
      </c>
      <c r="W1074" s="11"/>
      <c r="AC1074" s="33"/>
      <c r="AD1074" s="33"/>
      <c r="AE1074" s="33"/>
    </row>
    <row r="1075" spans="1:31">
      <c r="A1075" s="18" t="s">
        <v>1080</v>
      </c>
      <c r="B1075" s="8" t="s">
        <v>623</v>
      </c>
      <c r="C1075" s="8" t="s">
        <v>22</v>
      </c>
      <c r="D1075" s="8" t="s">
        <v>1015</v>
      </c>
      <c r="E1075" s="25" t="s">
        <v>27</v>
      </c>
      <c r="F1075" s="16" t="s">
        <v>1083</v>
      </c>
      <c r="G1075" s="118">
        <v>113</v>
      </c>
      <c r="H1075" s="118">
        <v>14.8</v>
      </c>
      <c r="I1075" s="118">
        <v>12.4</v>
      </c>
      <c r="J1075" s="118">
        <v>0.4</v>
      </c>
      <c r="K1075" s="119" t="s">
        <v>26</v>
      </c>
      <c r="L1075" s="118">
        <v>0.7</v>
      </c>
      <c r="M1075" s="119" t="s">
        <v>26</v>
      </c>
      <c r="N1075" s="119" t="s">
        <v>26</v>
      </c>
      <c r="O1075" s="118">
        <v>4.0999999999999996</v>
      </c>
      <c r="P1075" s="119" t="s">
        <v>26</v>
      </c>
      <c r="Q1075" s="118">
        <v>1.25</v>
      </c>
      <c r="R1075" s="119" t="s">
        <v>26</v>
      </c>
      <c r="S1075" s="120" t="s">
        <v>26</v>
      </c>
      <c r="T1075" s="121" t="s">
        <v>26</v>
      </c>
      <c r="U1075" s="89">
        <v>129</v>
      </c>
      <c r="V1075" s="126" t="s">
        <v>26</v>
      </c>
      <c r="AC1075" s="33"/>
      <c r="AD1075" s="33"/>
      <c r="AE1075" s="33"/>
    </row>
    <row r="1076" spans="1:31">
      <c r="A1076" s="18" t="s">
        <v>1080</v>
      </c>
      <c r="B1076" s="8" t="s">
        <v>623</v>
      </c>
      <c r="C1076" s="8" t="s">
        <v>22</v>
      </c>
      <c r="D1076" s="8" t="s">
        <v>1015</v>
      </c>
      <c r="E1076" s="25" t="s">
        <v>29</v>
      </c>
      <c r="F1076" s="16" t="s">
        <v>1084</v>
      </c>
      <c r="G1076" s="118">
        <v>52</v>
      </c>
      <c r="H1076" s="119" t="s">
        <v>26</v>
      </c>
      <c r="I1076" s="118">
        <v>23.6</v>
      </c>
      <c r="J1076" s="118">
        <v>4.5</v>
      </c>
      <c r="K1076" s="119" t="s">
        <v>26</v>
      </c>
      <c r="L1076" s="118">
        <v>1.1000000000000001</v>
      </c>
      <c r="M1076" s="119" t="s">
        <v>26</v>
      </c>
      <c r="N1076" s="119" t="s">
        <v>26</v>
      </c>
      <c r="O1076" s="118">
        <v>2.6</v>
      </c>
      <c r="P1076" s="118">
        <v>2.0699999999999998</v>
      </c>
      <c r="Q1076" s="119" t="s">
        <v>26</v>
      </c>
      <c r="R1076" s="119" t="s">
        <v>26</v>
      </c>
      <c r="S1076" s="127">
        <v>1.3</v>
      </c>
      <c r="T1076" s="121" t="s">
        <v>26</v>
      </c>
      <c r="U1076" s="89">
        <v>1089</v>
      </c>
      <c r="V1076" s="126" t="s">
        <v>26</v>
      </c>
      <c r="AC1076" s="33"/>
      <c r="AD1076" s="33"/>
      <c r="AE1076" s="33"/>
    </row>
    <row r="1077" spans="1:31">
      <c r="A1077" s="18" t="s">
        <v>1080</v>
      </c>
      <c r="B1077" s="8" t="s">
        <v>623</v>
      </c>
      <c r="C1077" s="8" t="s">
        <v>22</v>
      </c>
      <c r="D1077" s="8" t="s">
        <v>1015</v>
      </c>
      <c r="E1077" s="25" t="s">
        <v>31</v>
      </c>
      <c r="F1077" s="16" t="s">
        <v>1085</v>
      </c>
      <c r="G1077" s="118">
        <v>15</v>
      </c>
      <c r="H1077" s="118">
        <v>17.2</v>
      </c>
      <c r="I1077" s="118">
        <v>5.8</v>
      </c>
      <c r="J1077" s="118">
        <v>9.6</v>
      </c>
      <c r="K1077" s="119" t="s">
        <v>26</v>
      </c>
      <c r="L1077" s="118">
        <v>0.8</v>
      </c>
      <c r="M1077" s="119" t="s">
        <v>26</v>
      </c>
      <c r="N1077" s="119" t="s">
        <v>26</v>
      </c>
      <c r="O1077" s="118">
        <v>4.2</v>
      </c>
      <c r="P1077" s="118">
        <v>2.67</v>
      </c>
      <c r="Q1077" s="119" t="s">
        <v>26</v>
      </c>
      <c r="R1077" s="119" t="s">
        <v>26</v>
      </c>
      <c r="S1077" s="120" t="s">
        <v>26</v>
      </c>
      <c r="T1077" s="121" t="s">
        <v>26</v>
      </c>
      <c r="U1077" s="89">
        <v>831</v>
      </c>
      <c r="V1077" s="126" t="s">
        <v>26</v>
      </c>
      <c r="AC1077" s="33"/>
      <c r="AD1077" s="33"/>
      <c r="AE1077" s="33"/>
    </row>
    <row r="1078" spans="1:31">
      <c r="A1078" s="18" t="s">
        <v>1080</v>
      </c>
      <c r="B1078" s="8" t="s">
        <v>981</v>
      </c>
      <c r="C1078" s="8" t="s">
        <v>22</v>
      </c>
      <c r="D1078" s="8" t="s">
        <v>955</v>
      </c>
      <c r="E1078" s="25" t="s">
        <v>24</v>
      </c>
      <c r="F1078" s="16" t="s">
        <v>715</v>
      </c>
      <c r="G1078" s="118">
        <v>301</v>
      </c>
      <c r="H1078" s="118">
        <v>7.8</v>
      </c>
      <c r="I1078" s="118">
        <v>0.3</v>
      </c>
      <c r="J1078" s="119" t="s">
        <v>26</v>
      </c>
      <c r="K1078" s="119" t="s">
        <v>26</v>
      </c>
      <c r="L1078" s="118">
        <v>0.45</v>
      </c>
      <c r="M1078" s="119" t="s">
        <v>26</v>
      </c>
      <c r="N1078" s="119" t="s">
        <v>26</v>
      </c>
      <c r="O1078" s="118">
        <v>1.6</v>
      </c>
      <c r="P1078" s="119" t="s">
        <v>26</v>
      </c>
      <c r="Q1078" s="119" t="s">
        <v>26</v>
      </c>
      <c r="R1078" s="119" t="s">
        <v>26</v>
      </c>
      <c r="S1078" s="120" t="s">
        <v>26</v>
      </c>
      <c r="T1078" s="121" t="s">
        <v>26</v>
      </c>
      <c r="U1078" s="130">
        <v>150</v>
      </c>
      <c r="V1078" s="126" t="s">
        <v>26</v>
      </c>
      <c r="AC1078" s="33"/>
      <c r="AD1078" s="33"/>
      <c r="AE1078" s="33"/>
    </row>
    <row r="1079" spans="1:31">
      <c r="A1079" s="18" t="s">
        <v>1080</v>
      </c>
      <c r="B1079" s="8" t="s">
        <v>981</v>
      </c>
      <c r="C1079" s="8" t="s">
        <v>22</v>
      </c>
      <c r="D1079" s="8" t="s">
        <v>955</v>
      </c>
      <c r="E1079" s="25" t="s">
        <v>27</v>
      </c>
      <c r="F1079" s="16" t="s">
        <v>1055</v>
      </c>
      <c r="G1079" s="118">
        <v>123</v>
      </c>
      <c r="H1079" s="118">
        <v>7.3</v>
      </c>
      <c r="I1079" s="118">
        <v>0.8</v>
      </c>
      <c r="J1079" s="118">
        <v>0.5</v>
      </c>
      <c r="K1079" s="119" t="s">
        <v>26</v>
      </c>
      <c r="L1079" s="118">
        <v>0.35</v>
      </c>
      <c r="M1079" s="119" t="s">
        <v>26</v>
      </c>
      <c r="N1079" s="119" t="s">
        <v>26</v>
      </c>
      <c r="O1079" s="118">
        <v>2.61</v>
      </c>
      <c r="P1079" s="119" t="s">
        <v>26</v>
      </c>
      <c r="Q1079" s="119" t="s">
        <v>26</v>
      </c>
      <c r="R1079" s="119" t="s">
        <v>26</v>
      </c>
      <c r="S1079" s="127">
        <v>3.2</v>
      </c>
      <c r="T1079" s="121" t="s">
        <v>26</v>
      </c>
      <c r="U1079" s="130">
        <v>75</v>
      </c>
      <c r="V1079" s="126" t="s">
        <v>26</v>
      </c>
      <c r="AC1079" s="33"/>
      <c r="AD1079" s="33"/>
      <c r="AE1079" s="33"/>
    </row>
    <row r="1080" spans="1:31">
      <c r="A1080" s="18" t="s">
        <v>1080</v>
      </c>
      <c r="B1080" s="8" t="s">
        <v>981</v>
      </c>
      <c r="C1080" s="8" t="s">
        <v>22</v>
      </c>
      <c r="D1080" s="8" t="s">
        <v>955</v>
      </c>
      <c r="E1080" s="25" t="s">
        <v>29</v>
      </c>
      <c r="F1080" s="16" t="s">
        <v>1086</v>
      </c>
      <c r="G1080" s="118">
        <v>50</v>
      </c>
      <c r="H1080" s="118">
        <v>3.9</v>
      </c>
      <c r="I1080" s="118">
        <v>1.2</v>
      </c>
      <c r="J1080" s="118">
        <v>3.8</v>
      </c>
      <c r="K1080" s="119" t="s">
        <v>26</v>
      </c>
      <c r="L1080" s="118">
        <v>1.1000000000000001</v>
      </c>
      <c r="M1080" s="119" t="s">
        <v>26</v>
      </c>
      <c r="N1080" s="119" t="s">
        <v>26</v>
      </c>
      <c r="O1080" s="118">
        <v>5.0999999999999996</v>
      </c>
      <c r="P1080" s="119" t="s">
        <v>26</v>
      </c>
      <c r="Q1080" s="119" t="s">
        <v>26</v>
      </c>
      <c r="R1080" s="119" t="s">
        <v>26</v>
      </c>
      <c r="S1080" s="127">
        <v>10.7</v>
      </c>
      <c r="T1080" s="121" t="s">
        <v>26</v>
      </c>
      <c r="U1080" s="130">
        <v>317</v>
      </c>
      <c r="V1080" s="126" t="s">
        <v>26</v>
      </c>
      <c r="AC1080" s="33"/>
      <c r="AD1080" s="33"/>
      <c r="AE1080" s="33"/>
    </row>
    <row r="1081" spans="1:31">
      <c r="A1081" s="18" t="s">
        <v>1080</v>
      </c>
      <c r="B1081" s="8" t="s">
        <v>981</v>
      </c>
      <c r="C1081" s="8" t="s">
        <v>22</v>
      </c>
      <c r="D1081" s="8" t="s">
        <v>955</v>
      </c>
      <c r="E1081" s="25" t="s">
        <v>31</v>
      </c>
      <c r="F1081" s="16" t="s">
        <v>137</v>
      </c>
      <c r="G1081" s="118">
        <v>19</v>
      </c>
      <c r="H1081" s="118">
        <v>10.5</v>
      </c>
      <c r="I1081" s="118">
        <v>2.1</v>
      </c>
      <c r="J1081" s="118">
        <v>4.4800000000000004</v>
      </c>
      <c r="K1081" s="119" t="s">
        <v>26</v>
      </c>
      <c r="L1081" s="118">
        <v>0.97</v>
      </c>
      <c r="M1081" s="119" t="s">
        <v>26</v>
      </c>
      <c r="N1081" s="119" t="s">
        <v>26</v>
      </c>
      <c r="O1081" s="118">
        <v>3.9</v>
      </c>
      <c r="P1081" s="119" t="s">
        <v>26</v>
      </c>
      <c r="Q1081" s="119" t="s">
        <v>26</v>
      </c>
      <c r="R1081" s="119" t="s">
        <v>26</v>
      </c>
      <c r="S1081" s="127">
        <v>7.5</v>
      </c>
      <c r="T1081" s="121" t="s">
        <v>26</v>
      </c>
      <c r="U1081" s="130">
        <v>180</v>
      </c>
      <c r="V1081" s="126" t="s">
        <v>26</v>
      </c>
      <c r="AC1081" s="33"/>
      <c r="AD1081" s="33"/>
      <c r="AE1081" s="33"/>
    </row>
    <row r="1082" spans="1:31">
      <c r="A1082" s="18" t="s">
        <v>1080</v>
      </c>
      <c r="B1082" s="8" t="s">
        <v>954</v>
      </c>
      <c r="C1082" s="8" t="s">
        <v>22</v>
      </c>
      <c r="D1082" s="8" t="s">
        <v>1015</v>
      </c>
      <c r="E1082" s="25" t="s">
        <v>27</v>
      </c>
      <c r="F1082" s="16" t="s">
        <v>1087</v>
      </c>
      <c r="G1082" s="118">
        <v>121</v>
      </c>
      <c r="H1082" s="118">
        <v>18.2</v>
      </c>
      <c r="I1082" s="118">
        <v>3.7</v>
      </c>
      <c r="J1082" s="119" t="s">
        <v>26</v>
      </c>
      <c r="K1082" s="119" t="s">
        <v>26</v>
      </c>
      <c r="L1082" s="118">
        <v>0.41</v>
      </c>
      <c r="M1082" s="119" t="s">
        <v>26</v>
      </c>
      <c r="N1082" s="119" t="s">
        <v>26</v>
      </c>
      <c r="O1082" s="118">
        <v>2.1</v>
      </c>
      <c r="P1082" s="118">
        <v>0.5</v>
      </c>
      <c r="Q1082" s="119" t="s">
        <v>26</v>
      </c>
      <c r="R1082" s="118">
        <v>1.1200000000000001</v>
      </c>
      <c r="S1082" s="127">
        <v>1.2</v>
      </c>
      <c r="T1082" s="121" t="s">
        <v>26</v>
      </c>
      <c r="U1082" s="89">
        <v>219</v>
      </c>
      <c r="V1082" s="126" t="s">
        <v>26</v>
      </c>
      <c r="AC1082" s="33"/>
      <c r="AD1082" s="33"/>
      <c r="AE1082" s="33"/>
    </row>
    <row r="1083" spans="1:31">
      <c r="A1083" s="18" t="s">
        <v>1080</v>
      </c>
      <c r="B1083" s="8" t="s">
        <v>954</v>
      </c>
      <c r="C1083" s="8" t="s">
        <v>22</v>
      </c>
      <c r="D1083" s="8" t="s">
        <v>1015</v>
      </c>
      <c r="E1083" s="25" t="s">
        <v>958</v>
      </c>
      <c r="F1083" s="16" t="s">
        <v>1088</v>
      </c>
      <c r="G1083" s="118">
        <v>81</v>
      </c>
      <c r="H1083" s="118">
        <v>5.6</v>
      </c>
      <c r="I1083" s="118">
        <v>14.5</v>
      </c>
      <c r="J1083" s="118">
        <v>3.8</v>
      </c>
      <c r="K1083" s="119" t="s">
        <v>26</v>
      </c>
      <c r="L1083" s="118">
        <v>0.6</v>
      </c>
      <c r="M1083" s="119" t="s">
        <v>26</v>
      </c>
      <c r="N1083" s="119" t="s">
        <v>26</v>
      </c>
      <c r="O1083" s="118">
        <v>2</v>
      </c>
      <c r="P1083" s="118">
        <v>0.7</v>
      </c>
      <c r="Q1083" s="119" t="s">
        <v>26</v>
      </c>
      <c r="R1083" s="119" t="s">
        <v>26</v>
      </c>
      <c r="S1083" s="127">
        <v>1.6</v>
      </c>
      <c r="T1083" s="121" t="s">
        <v>26</v>
      </c>
      <c r="U1083" s="138">
        <v>1490</v>
      </c>
      <c r="V1083" s="126" t="s">
        <v>26</v>
      </c>
      <c r="AC1083" s="33"/>
      <c r="AD1083" s="33"/>
      <c r="AE1083" s="33"/>
    </row>
    <row r="1084" spans="1:31">
      <c r="A1084" s="18" t="s">
        <v>1080</v>
      </c>
      <c r="B1084" s="8" t="s">
        <v>954</v>
      </c>
      <c r="C1084" s="8" t="s">
        <v>22</v>
      </c>
      <c r="D1084" s="8" t="s">
        <v>1015</v>
      </c>
      <c r="E1084" s="25" t="s">
        <v>29</v>
      </c>
      <c r="F1084" s="16" t="s">
        <v>502</v>
      </c>
      <c r="G1084" s="118">
        <v>51</v>
      </c>
      <c r="H1084" s="118">
        <v>3.2</v>
      </c>
      <c r="I1084" s="118">
        <v>8.6</v>
      </c>
      <c r="J1084" s="118">
        <v>3.8</v>
      </c>
      <c r="K1084" s="119" t="s">
        <v>26</v>
      </c>
      <c r="L1084" s="118">
        <v>0.3</v>
      </c>
      <c r="M1084" s="119" t="s">
        <v>26</v>
      </c>
      <c r="N1084" s="119" t="s">
        <v>26</v>
      </c>
      <c r="O1084" s="118">
        <v>3.2</v>
      </c>
      <c r="P1084" s="119" t="s">
        <v>26</v>
      </c>
      <c r="Q1084" s="119" t="s">
        <v>26</v>
      </c>
      <c r="R1084" s="119" t="s">
        <v>26</v>
      </c>
      <c r="S1084" s="127">
        <v>0.78</v>
      </c>
      <c r="T1084" s="121" t="s">
        <v>26</v>
      </c>
      <c r="U1084" s="133">
        <v>1095</v>
      </c>
      <c r="V1084" s="126" t="s">
        <v>26</v>
      </c>
      <c r="AC1084" s="33"/>
      <c r="AD1084" s="33"/>
      <c r="AE1084" s="33"/>
    </row>
    <row r="1085" spans="1:31">
      <c r="A1085" s="18" t="s">
        <v>1080</v>
      </c>
      <c r="B1085" s="8" t="s">
        <v>954</v>
      </c>
      <c r="C1085" s="8" t="s">
        <v>22</v>
      </c>
      <c r="D1085" s="8" t="s">
        <v>1015</v>
      </c>
      <c r="E1085" s="25" t="s">
        <v>31</v>
      </c>
      <c r="F1085" s="16" t="s">
        <v>1089</v>
      </c>
      <c r="G1085" s="118">
        <v>20</v>
      </c>
      <c r="H1085" s="118">
        <v>11.2</v>
      </c>
      <c r="I1085" s="118">
        <v>5.4</v>
      </c>
      <c r="J1085" s="118">
        <v>8.9</v>
      </c>
      <c r="K1085" s="118">
        <v>1.88</v>
      </c>
      <c r="L1085" s="118">
        <v>2.36</v>
      </c>
      <c r="M1085" s="119" t="s">
        <v>26</v>
      </c>
      <c r="N1085" s="119" t="s">
        <v>26</v>
      </c>
      <c r="O1085" s="118">
        <v>2.6</v>
      </c>
      <c r="P1085" s="118">
        <v>2.86</v>
      </c>
      <c r="Q1085" s="119" t="s">
        <v>26</v>
      </c>
      <c r="R1085" s="119" t="s">
        <v>26</v>
      </c>
      <c r="S1085" s="127">
        <v>0.7</v>
      </c>
      <c r="T1085" s="121" t="s">
        <v>26</v>
      </c>
      <c r="U1085" s="133">
        <v>503</v>
      </c>
      <c r="V1085" s="126" t="s">
        <v>26</v>
      </c>
      <c r="AC1085" s="33"/>
      <c r="AD1085" s="33"/>
      <c r="AE1085" s="33"/>
    </row>
    <row r="1086" spans="1:31">
      <c r="A1086" s="18" t="s">
        <v>1080</v>
      </c>
      <c r="B1086" s="8" t="s">
        <v>676</v>
      </c>
      <c r="C1086" s="8" t="s">
        <v>22</v>
      </c>
      <c r="D1086" s="8" t="s">
        <v>1015</v>
      </c>
      <c r="E1086" s="25" t="s">
        <v>27</v>
      </c>
      <c r="F1086" s="16" t="s">
        <v>1090</v>
      </c>
      <c r="G1086" s="118">
        <v>124</v>
      </c>
      <c r="H1086" s="118">
        <v>18.399999999999999</v>
      </c>
      <c r="I1086" s="118">
        <v>11.8</v>
      </c>
      <c r="J1086" s="119" t="s">
        <v>26</v>
      </c>
      <c r="K1086" s="119" t="s">
        <v>26</v>
      </c>
      <c r="L1086" s="118">
        <v>0.5</v>
      </c>
      <c r="M1086" s="119" t="s">
        <v>26</v>
      </c>
      <c r="N1086" s="119" t="s">
        <v>26</v>
      </c>
      <c r="O1086" s="118">
        <v>2.2999999999999998</v>
      </c>
      <c r="P1086" s="119" t="s">
        <v>26</v>
      </c>
      <c r="Q1086" s="119" t="s">
        <v>26</v>
      </c>
      <c r="R1086" s="118">
        <v>0.9</v>
      </c>
      <c r="S1086" s="127">
        <v>0.6</v>
      </c>
      <c r="T1086" s="121" t="s">
        <v>26</v>
      </c>
      <c r="U1086" s="133">
        <v>1336</v>
      </c>
      <c r="V1086" s="126" t="s">
        <v>26</v>
      </c>
      <c r="AC1086" s="33"/>
      <c r="AD1086" s="33"/>
      <c r="AE1086" s="33"/>
    </row>
    <row r="1087" spans="1:31">
      <c r="A1087" s="18" t="s">
        <v>1080</v>
      </c>
      <c r="B1087" s="8" t="s">
        <v>676</v>
      </c>
      <c r="C1087" s="8" t="s">
        <v>22</v>
      </c>
      <c r="D1087" s="8" t="s">
        <v>1015</v>
      </c>
      <c r="E1087" s="25" t="s">
        <v>29</v>
      </c>
      <c r="F1087" s="16" t="s">
        <v>663</v>
      </c>
      <c r="G1087" s="118">
        <v>52</v>
      </c>
      <c r="H1087" s="119" t="s">
        <v>26</v>
      </c>
      <c r="I1087" s="118">
        <v>11.9</v>
      </c>
      <c r="J1087" s="118">
        <v>4.7</v>
      </c>
      <c r="K1087" s="119" t="s">
        <v>26</v>
      </c>
      <c r="L1087" s="119" t="s">
        <v>26</v>
      </c>
      <c r="M1087" s="119" t="s">
        <v>26</v>
      </c>
      <c r="N1087" s="119" t="s">
        <v>26</v>
      </c>
      <c r="O1087" s="118">
        <v>3.12</v>
      </c>
      <c r="P1087" s="118">
        <v>1.1000000000000001</v>
      </c>
      <c r="Q1087" s="119" t="s">
        <v>26</v>
      </c>
      <c r="R1087" s="118">
        <v>0.7</v>
      </c>
      <c r="S1087" s="120" t="s">
        <v>26</v>
      </c>
      <c r="T1087" s="121" t="s">
        <v>26</v>
      </c>
      <c r="U1087" s="133">
        <v>1645</v>
      </c>
      <c r="V1087" s="126" t="s">
        <v>26</v>
      </c>
      <c r="AC1087" s="33"/>
      <c r="AD1087" s="33"/>
      <c r="AE1087" s="33"/>
    </row>
    <row r="1088" spans="1:31">
      <c r="A1088" s="18" t="s">
        <v>1080</v>
      </c>
      <c r="B1088" s="8" t="s">
        <v>676</v>
      </c>
      <c r="C1088" s="8" t="s">
        <v>22</v>
      </c>
      <c r="D1088" s="8" t="s">
        <v>1015</v>
      </c>
      <c r="E1088" s="25" t="s">
        <v>31</v>
      </c>
      <c r="F1088" s="16" t="s">
        <v>1091</v>
      </c>
      <c r="G1088" s="118">
        <v>24</v>
      </c>
      <c r="H1088" s="119" t="s">
        <v>26</v>
      </c>
      <c r="I1088" s="118">
        <v>9.4</v>
      </c>
      <c r="J1088" s="118">
        <v>8.6999999999999993</v>
      </c>
      <c r="K1088" s="119" t="s">
        <v>26</v>
      </c>
      <c r="L1088" s="118">
        <v>0.7</v>
      </c>
      <c r="M1088" s="119" t="s">
        <v>26</v>
      </c>
      <c r="N1088" s="119" t="s">
        <v>26</v>
      </c>
      <c r="O1088" s="118">
        <v>3.5</v>
      </c>
      <c r="P1088" s="118">
        <v>0.7</v>
      </c>
      <c r="Q1088" s="119" t="s">
        <v>26</v>
      </c>
      <c r="R1088" s="119" t="s">
        <v>26</v>
      </c>
      <c r="S1088" s="127">
        <v>2.7</v>
      </c>
      <c r="T1088" s="121" t="s">
        <v>26</v>
      </c>
      <c r="U1088" s="133">
        <v>2280</v>
      </c>
      <c r="V1088" s="126" t="s">
        <v>26</v>
      </c>
      <c r="AC1088" s="33"/>
      <c r="AD1088" s="33"/>
      <c r="AE1088" s="33"/>
    </row>
    <row r="1089" spans="1:31">
      <c r="A1089" s="18" t="s">
        <v>1092</v>
      </c>
      <c r="B1089" s="8" t="s">
        <v>1093</v>
      </c>
      <c r="C1089" s="8" t="s">
        <v>22</v>
      </c>
      <c r="D1089" s="8" t="s">
        <v>1015</v>
      </c>
      <c r="E1089" s="25" t="s">
        <v>27</v>
      </c>
      <c r="F1089" s="16" t="s">
        <v>1094</v>
      </c>
      <c r="G1089" s="118">
        <v>129</v>
      </c>
      <c r="H1089" s="118">
        <v>23.6</v>
      </c>
      <c r="I1089" s="118">
        <v>16.399999999999999</v>
      </c>
      <c r="J1089" s="118">
        <v>0.3</v>
      </c>
      <c r="K1089" s="119" t="s">
        <v>26</v>
      </c>
      <c r="L1089" s="119" t="s">
        <v>26</v>
      </c>
      <c r="M1089" s="118">
        <v>0.7</v>
      </c>
      <c r="N1089" s="119" t="s">
        <v>26</v>
      </c>
      <c r="O1089" s="118">
        <v>0.9</v>
      </c>
      <c r="P1089" s="119" t="s">
        <v>26</v>
      </c>
      <c r="Q1089" s="119" t="s">
        <v>26</v>
      </c>
      <c r="R1089" s="118">
        <v>0.8</v>
      </c>
      <c r="S1089" s="127">
        <v>0.3</v>
      </c>
      <c r="T1089" s="121" t="s">
        <v>26</v>
      </c>
      <c r="U1089" s="89">
        <v>938</v>
      </c>
      <c r="V1089" s="89">
        <v>550</v>
      </c>
      <c r="AC1089" s="33"/>
      <c r="AD1089" s="33"/>
      <c r="AE1089" s="33"/>
    </row>
    <row r="1090" spans="1:31">
      <c r="A1090" s="18" t="s">
        <v>1092</v>
      </c>
      <c r="B1090" s="8" t="s">
        <v>1093</v>
      </c>
      <c r="C1090" s="8" t="s">
        <v>22</v>
      </c>
      <c r="D1090" s="8" t="s">
        <v>1015</v>
      </c>
      <c r="E1090" s="25" t="s">
        <v>29</v>
      </c>
      <c r="F1090" s="16" t="s">
        <v>73</v>
      </c>
      <c r="G1090" s="118">
        <v>56</v>
      </c>
      <c r="H1090" s="118">
        <v>4.5</v>
      </c>
      <c r="I1090" s="118">
        <v>15.5</v>
      </c>
      <c r="J1090" s="118">
        <v>6.2</v>
      </c>
      <c r="K1090" s="119" t="s">
        <v>26</v>
      </c>
      <c r="L1090" s="118">
        <v>0.5</v>
      </c>
      <c r="M1090" s="119" t="s">
        <v>26</v>
      </c>
      <c r="N1090" s="119" t="s">
        <v>26</v>
      </c>
      <c r="O1090" s="118">
        <v>4.7</v>
      </c>
      <c r="P1090" s="118">
        <v>1.5</v>
      </c>
      <c r="Q1090" s="118">
        <v>1.2</v>
      </c>
      <c r="R1090" s="118">
        <v>0.3</v>
      </c>
      <c r="S1090" s="127">
        <v>0.7</v>
      </c>
      <c r="T1090" s="121" t="s">
        <v>26</v>
      </c>
      <c r="U1090" s="89">
        <v>2170</v>
      </c>
      <c r="V1090" s="89">
        <v>321</v>
      </c>
      <c r="AC1090" s="33"/>
      <c r="AD1090" s="33"/>
      <c r="AE1090" s="33"/>
    </row>
    <row r="1091" spans="1:31">
      <c r="A1091" s="18" t="s">
        <v>1092</v>
      </c>
      <c r="B1091" s="8" t="s">
        <v>1093</v>
      </c>
      <c r="C1091" s="8" t="s">
        <v>22</v>
      </c>
      <c r="D1091" s="8" t="s">
        <v>1015</v>
      </c>
      <c r="E1091" s="25" t="s">
        <v>31</v>
      </c>
      <c r="F1091" s="16" t="s">
        <v>1095</v>
      </c>
      <c r="G1091" s="118">
        <v>21</v>
      </c>
      <c r="H1091" s="119" t="s">
        <v>26</v>
      </c>
      <c r="I1091" s="118">
        <v>9.1</v>
      </c>
      <c r="J1091" s="118">
        <v>12.9</v>
      </c>
      <c r="K1091" s="119" t="s">
        <v>26</v>
      </c>
      <c r="L1091" s="118">
        <v>1.5</v>
      </c>
      <c r="M1091" s="118">
        <v>0.8</v>
      </c>
      <c r="N1091" s="119" t="s">
        <v>26</v>
      </c>
      <c r="O1091" s="118">
        <v>7.2</v>
      </c>
      <c r="P1091" s="118">
        <v>3.7</v>
      </c>
      <c r="Q1091" s="119" t="s">
        <v>26</v>
      </c>
      <c r="R1091" s="118">
        <v>1.7</v>
      </c>
      <c r="S1091" s="127">
        <v>2.4</v>
      </c>
      <c r="T1091" s="121" t="s">
        <v>26</v>
      </c>
      <c r="U1091" s="89">
        <v>2304</v>
      </c>
      <c r="V1091" s="89">
        <v>126</v>
      </c>
      <c r="AC1091" s="33"/>
      <c r="AD1091" s="33"/>
      <c r="AE1091" s="33"/>
    </row>
    <row r="1092" spans="1:31">
      <c r="A1092" s="18" t="s">
        <v>1092</v>
      </c>
      <c r="B1092" s="8" t="s">
        <v>1096</v>
      </c>
      <c r="C1092" s="8" t="s">
        <v>22</v>
      </c>
      <c r="D1092" s="8" t="s">
        <v>1015</v>
      </c>
      <c r="E1092" s="25" t="s">
        <v>27</v>
      </c>
      <c r="F1092" s="16" t="s">
        <v>1097</v>
      </c>
      <c r="G1092" s="118">
        <v>119</v>
      </c>
      <c r="H1092" s="118">
        <v>25.6</v>
      </c>
      <c r="I1092" s="118">
        <v>13.6</v>
      </c>
      <c r="J1092" s="118">
        <v>0.4</v>
      </c>
      <c r="K1092" s="119" t="s">
        <v>26</v>
      </c>
      <c r="L1092" s="119" t="s">
        <v>26</v>
      </c>
      <c r="M1092" s="118">
        <v>1.7</v>
      </c>
      <c r="N1092" s="119" t="s">
        <v>26</v>
      </c>
      <c r="O1092" s="118">
        <v>3.4</v>
      </c>
      <c r="P1092" s="118">
        <v>0.8</v>
      </c>
      <c r="Q1092" s="118">
        <v>1.7</v>
      </c>
      <c r="R1092" s="118">
        <v>1.3</v>
      </c>
      <c r="S1092" s="127">
        <v>0.2</v>
      </c>
      <c r="T1092" s="121" t="s">
        <v>26</v>
      </c>
      <c r="U1092" s="89">
        <v>435</v>
      </c>
      <c r="V1092" s="126" t="s">
        <v>26</v>
      </c>
      <c r="AC1092" s="33"/>
      <c r="AD1092" s="33"/>
      <c r="AE1092" s="33"/>
    </row>
    <row r="1093" spans="1:31">
      <c r="A1093" s="18" t="s">
        <v>1092</v>
      </c>
      <c r="B1093" s="8" t="s">
        <v>1096</v>
      </c>
      <c r="C1093" s="8" t="s">
        <v>22</v>
      </c>
      <c r="D1093" s="8" t="s">
        <v>1015</v>
      </c>
      <c r="E1093" s="25" t="s">
        <v>29</v>
      </c>
      <c r="F1093" s="16" t="s">
        <v>1098</v>
      </c>
      <c r="G1093" s="118">
        <v>46</v>
      </c>
      <c r="H1093" s="118">
        <v>20.8</v>
      </c>
      <c r="I1093" s="118">
        <v>6.8</v>
      </c>
      <c r="J1093" s="118">
        <v>8.9</v>
      </c>
      <c r="K1093" s="119" t="s">
        <v>26</v>
      </c>
      <c r="L1093" s="119" t="s">
        <v>26</v>
      </c>
      <c r="M1093" s="119" t="s">
        <v>26</v>
      </c>
      <c r="N1093" s="119" t="s">
        <v>26</v>
      </c>
      <c r="O1093" s="118">
        <v>6.9</v>
      </c>
      <c r="P1093" s="118">
        <v>3.7</v>
      </c>
      <c r="Q1093" s="119" t="s">
        <v>26</v>
      </c>
      <c r="R1093" s="118">
        <v>0.6</v>
      </c>
      <c r="S1093" s="127">
        <v>1.2</v>
      </c>
      <c r="T1093" s="121" t="s">
        <v>26</v>
      </c>
      <c r="U1093" s="133">
        <v>1987</v>
      </c>
      <c r="V1093" s="126" t="s">
        <v>26</v>
      </c>
      <c r="AC1093" s="33"/>
      <c r="AD1093" s="33"/>
      <c r="AE1093" s="33"/>
    </row>
    <row r="1094" spans="1:31">
      <c r="A1094" s="18" t="s">
        <v>1092</v>
      </c>
      <c r="B1094" s="8" t="s">
        <v>1096</v>
      </c>
      <c r="C1094" s="8" t="s">
        <v>22</v>
      </c>
      <c r="D1094" s="8" t="s">
        <v>1015</v>
      </c>
      <c r="E1094" s="25" t="s">
        <v>31</v>
      </c>
      <c r="F1094" s="16" t="s">
        <v>1099</v>
      </c>
      <c r="G1094" s="118">
        <v>18</v>
      </c>
      <c r="H1094" s="118">
        <v>11.9</v>
      </c>
      <c r="I1094" s="118">
        <v>5.6</v>
      </c>
      <c r="J1094" s="118">
        <v>16.899999999999999</v>
      </c>
      <c r="K1094" s="119" t="s">
        <v>26</v>
      </c>
      <c r="L1094" s="118">
        <v>1.1000000000000001</v>
      </c>
      <c r="M1094" s="119" t="s">
        <v>26</v>
      </c>
      <c r="N1094" s="119" t="s">
        <v>26</v>
      </c>
      <c r="O1094" s="118">
        <v>6.7</v>
      </c>
      <c r="P1094" s="118">
        <v>2.9</v>
      </c>
      <c r="Q1094" s="119" t="s">
        <v>26</v>
      </c>
      <c r="R1094" s="119" t="s">
        <v>26</v>
      </c>
      <c r="S1094" s="127">
        <v>1.5</v>
      </c>
      <c r="T1094" s="121" t="s">
        <v>26</v>
      </c>
      <c r="U1094" s="133">
        <v>668</v>
      </c>
      <c r="V1094" s="126" t="s">
        <v>26</v>
      </c>
      <c r="AC1094" s="33"/>
      <c r="AD1094" s="33"/>
      <c r="AE1094" s="33"/>
    </row>
    <row r="1095" spans="1:31">
      <c r="A1095" s="18" t="s">
        <v>1092</v>
      </c>
      <c r="B1095" s="8" t="s">
        <v>68</v>
      </c>
      <c r="C1095" s="8" t="s">
        <v>22</v>
      </c>
      <c r="D1095" s="8" t="s">
        <v>1015</v>
      </c>
      <c r="E1095" s="25" t="s">
        <v>27</v>
      </c>
      <c r="F1095" s="16" t="s">
        <v>1100</v>
      </c>
      <c r="G1095" s="118">
        <v>127</v>
      </c>
      <c r="H1095" s="118">
        <v>21.6</v>
      </c>
      <c r="I1095" s="118">
        <v>11.5</v>
      </c>
      <c r="J1095" s="118">
        <v>0.2</v>
      </c>
      <c r="K1095" s="119" t="s">
        <v>26</v>
      </c>
      <c r="L1095" s="118">
        <v>0.5</v>
      </c>
      <c r="M1095" s="118">
        <v>1</v>
      </c>
      <c r="N1095" s="119" t="s">
        <v>26</v>
      </c>
      <c r="O1095" s="118">
        <v>4.5999999999999996</v>
      </c>
      <c r="P1095" s="119" t="s">
        <v>26</v>
      </c>
      <c r="Q1095" s="118">
        <v>0.9</v>
      </c>
      <c r="R1095" s="118">
        <v>0.5</v>
      </c>
      <c r="S1095" s="120" t="s">
        <v>26</v>
      </c>
      <c r="T1095" s="121" t="s">
        <v>26</v>
      </c>
      <c r="U1095" s="89">
        <v>951</v>
      </c>
      <c r="V1095" s="126" t="s">
        <v>26</v>
      </c>
      <c r="AC1095" s="33"/>
      <c r="AD1095" s="33"/>
      <c r="AE1095" s="33"/>
    </row>
    <row r="1096" spans="1:31">
      <c r="A1096" s="18" t="s">
        <v>1092</v>
      </c>
      <c r="B1096" s="8" t="s">
        <v>68</v>
      </c>
      <c r="C1096" s="8" t="s">
        <v>22</v>
      </c>
      <c r="D1096" s="8" t="s">
        <v>1015</v>
      </c>
      <c r="E1096" s="25" t="s">
        <v>29</v>
      </c>
      <c r="F1096" s="16" t="s">
        <v>193</v>
      </c>
      <c r="G1096" s="118">
        <v>53</v>
      </c>
      <c r="H1096" s="118">
        <v>8.9</v>
      </c>
      <c r="I1096" s="118">
        <v>19.89</v>
      </c>
      <c r="J1096" s="118">
        <v>3.8</v>
      </c>
      <c r="K1096" s="119" t="s">
        <v>26</v>
      </c>
      <c r="L1096" s="118">
        <v>0.2</v>
      </c>
      <c r="M1096" s="119" t="s">
        <v>26</v>
      </c>
      <c r="N1096" s="119" t="s">
        <v>26</v>
      </c>
      <c r="O1096" s="118">
        <v>7.2</v>
      </c>
      <c r="P1096" s="118">
        <v>2.4</v>
      </c>
      <c r="Q1096" s="119" t="s">
        <v>26</v>
      </c>
      <c r="R1096" s="118">
        <v>0.3</v>
      </c>
      <c r="S1096" s="127">
        <v>0.8</v>
      </c>
      <c r="T1096" s="121" t="s">
        <v>26</v>
      </c>
      <c r="U1096" s="133">
        <v>1874</v>
      </c>
      <c r="V1096" s="126" t="s">
        <v>26</v>
      </c>
      <c r="AC1096" s="33"/>
      <c r="AD1096" s="33"/>
      <c r="AE1096" s="33"/>
    </row>
    <row r="1097" spans="1:31">
      <c r="A1097" s="18" t="s">
        <v>1092</v>
      </c>
      <c r="B1097" s="8" t="s">
        <v>68</v>
      </c>
      <c r="C1097" s="8" t="s">
        <v>22</v>
      </c>
      <c r="D1097" s="8" t="s">
        <v>1015</v>
      </c>
      <c r="E1097" s="25" t="s">
        <v>31</v>
      </c>
      <c r="F1097" s="16" t="s">
        <v>1101</v>
      </c>
      <c r="G1097" s="118">
        <v>17</v>
      </c>
      <c r="H1097" s="118">
        <v>13.3</v>
      </c>
      <c r="I1097" s="118">
        <v>2.6</v>
      </c>
      <c r="J1097" s="118">
        <v>9</v>
      </c>
      <c r="K1097" s="119" t="s">
        <v>26</v>
      </c>
      <c r="L1097" s="118">
        <v>1.2</v>
      </c>
      <c r="M1097" s="119" t="s">
        <v>26</v>
      </c>
      <c r="N1097" s="119" t="s">
        <v>26</v>
      </c>
      <c r="O1097" s="118">
        <v>6.2</v>
      </c>
      <c r="P1097" s="118">
        <v>3.6</v>
      </c>
      <c r="Q1097" s="118">
        <v>1.4</v>
      </c>
      <c r="R1097" s="118">
        <v>1.3</v>
      </c>
      <c r="S1097" s="127">
        <v>1.6</v>
      </c>
      <c r="T1097" s="121" t="s">
        <v>26</v>
      </c>
      <c r="U1097" s="133">
        <v>1228</v>
      </c>
      <c r="V1097" s="126" t="s">
        <v>26</v>
      </c>
      <c r="AC1097" s="33"/>
      <c r="AD1097" s="33"/>
      <c r="AE1097" s="33"/>
    </row>
    <row r="1098" spans="1:31">
      <c r="A1098" s="18" t="s">
        <v>1102</v>
      </c>
      <c r="B1098" s="8" t="s">
        <v>981</v>
      </c>
      <c r="C1098" s="8" t="s">
        <v>22</v>
      </c>
      <c r="D1098" s="8" t="s">
        <v>955</v>
      </c>
      <c r="E1098" s="24" t="s">
        <v>24</v>
      </c>
      <c r="F1098" s="16" t="s">
        <v>1103</v>
      </c>
      <c r="G1098" s="118">
        <v>260</v>
      </c>
      <c r="H1098" s="118">
        <v>8.5</v>
      </c>
      <c r="I1098" s="119" t="s">
        <v>26</v>
      </c>
      <c r="J1098" s="119" t="s">
        <v>26</v>
      </c>
      <c r="K1098" s="119" t="s">
        <v>26</v>
      </c>
      <c r="L1098" s="119" t="s">
        <v>26</v>
      </c>
      <c r="M1098" s="119" t="s">
        <v>26</v>
      </c>
      <c r="N1098" s="119" t="s">
        <v>26</v>
      </c>
      <c r="O1098" s="118">
        <v>0.9</v>
      </c>
      <c r="P1098" s="118">
        <v>0.7</v>
      </c>
      <c r="Q1098" s="118">
        <v>4.8</v>
      </c>
      <c r="R1098" s="118">
        <v>2.4</v>
      </c>
      <c r="S1098" s="127">
        <v>1.2</v>
      </c>
      <c r="T1098" s="121" t="s">
        <v>26</v>
      </c>
      <c r="U1098" s="123" t="s">
        <v>26</v>
      </c>
      <c r="V1098" s="126" t="s">
        <v>26</v>
      </c>
      <c r="AC1098" s="33"/>
      <c r="AD1098" s="33"/>
      <c r="AE1098" s="33"/>
    </row>
    <row r="1099" spans="1:31">
      <c r="A1099" s="18" t="s">
        <v>1102</v>
      </c>
      <c r="B1099" s="8" t="s">
        <v>981</v>
      </c>
      <c r="C1099" s="8" t="s">
        <v>22</v>
      </c>
      <c r="D1099" s="8" t="s">
        <v>955</v>
      </c>
      <c r="E1099" s="25" t="s">
        <v>27</v>
      </c>
      <c r="F1099" s="16" t="s">
        <v>1104</v>
      </c>
      <c r="G1099" s="118">
        <v>120</v>
      </c>
      <c r="H1099" s="118">
        <v>19.5</v>
      </c>
      <c r="I1099" s="118">
        <v>4.2</v>
      </c>
      <c r="J1099" s="118">
        <v>2.8</v>
      </c>
      <c r="K1099" s="118">
        <v>0.5</v>
      </c>
      <c r="L1099" s="119" t="s">
        <v>26</v>
      </c>
      <c r="M1099" s="119" t="s">
        <v>26</v>
      </c>
      <c r="N1099" s="119" t="s">
        <v>26</v>
      </c>
      <c r="O1099" s="118">
        <v>1.4</v>
      </c>
      <c r="P1099" s="118">
        <v>1.4</v>
      </c>
      <c r="Q1099" s="119" t="s">
        <v>26</v>
      </c>
      <c r="R1099" s="118">
        <v>0.5</v>
      </c>
      <c r="S1099" s="127">
        <v>1.8</v>
      </c>
      <c r="T1099" s="121" t="s">
        <v>26</v>
      </c>
      <c r="U1099" s="130">
        <v>172</v>
      </c>
      <c r="V1099" s="126" t="s">
        <v>26</v>
      </c>
      <c r="AC1099" s="33"/>
      <c r="AD1099" s="33"/>
      <c r="AE1099" s="33"/>
    </row>
    <row r="1100" spans="1:31">
      <c r="A1100" s="18" t="s">
        <v>1102</v>
      </c>
      <c r="B1100" s="8" t="s">
        <v>981</v>
      </c>
      <c r="C1100" s="8" t="s">
        <v>22</v>
      </c>
      <c r="D1100" s="8" t="s">
        <v>955</v>
      </c>
      <c r="E1100" s="25" t="s">
        <v>958</v>
      </c>
      <c r="F1100" s="16" t="s">
        <v>1105</v>
      </c>
      <c r="G1100" s="118">
        <v>81</v>
      </c>
      <c r="H1100" s="119" t="s">
        <v>26</v>
      </c>
      <c r="I1100" s="118">
        <v>14.5</v>
      </c>
      <c r="J1100" s="118">
        <v>3.1</v>
      </c>
      <c r="K1100" s="118">
        <v>0.4</v>
      </c>
      <c r="L1100" s="119" t="s">
        <v>26</v>
      </c>
      <c r="M1100" s="119" t="s">
        <v>26</v>
      </c>
      <c r="N1100" s="119" t="s">
        <v>26</v>
      </c>
      <c r="O1100" s="118">
        <v>1.6</v>
      </c>
      <c r="P1100" s="118">
        <v>1.5</v>
      </c>
      <c r="Q1100" s="119" t="s">
        <v>26</v>
      </c>
      <c r="R1100" s="118">
        <v>0.6</v>
      </c>
      <c r="S1100" s="127">
        <v>2.1</v>
      </c>
      <c r="T1100" s="121" t="s">
        <v>26</v>
      </c>
      <c r="U1100" s="130">
        <v>48</v>
      </c>
      <c r="V1100" s="126" t="s">
        <v>26</v>
      </c>
      <c r="AC1100" s="33"/>
      <c r="AD1100" s="33"/>
      <c r="AE1100" s="33"/>
    </row>
    <row r="1101" spans="1:31">
      <c r="A1101" s="18" t="s">
        <v>1102</v>
      </c>
      <c r="B1101" s="8" t="s">
        <v>981</v>
      </c>
      <c r="C1101" s="8" t="s">
        <v>22</v>
      </c>
      <c r="D1101" s="8" t="s">
        <v>955</v>
      </c>
      <c r="E1101" s="25" t="s">
        <v>29</v>
      </c>
      <c r="F1101" s="16" t="s">
        <v>1106</v>
      </c>
      <c r="G1101" s="118">
        <v>47</v>
      </c>
      <c r="H1101" s="118">
        <v>7.5</v>
      </c>
      <c r="I1101" s="118">
        <v>6.4</v>
      </c>
      <c r="J1101" s="118">
        <v>7.8</v>
      </c>
      <c r="K1101" s="118">
        <v>0.6</v>
      </c>
      <c r="L1101" s="119" t="s">
        <v>26</v>
      </c>
      <c r="M1101" s="119" t="s">
        <v>26</v>
      </c>
      <c r="N1101" s="119" t="s">
        <v>26</v>
      </c>
      <c r="O1101" s="118">
        <v>1.9</v>
      </c>
      <c r="P1101" s="118">
        <v>1.3</v>
      </c>
      <c r="Q1101" s="119" t="s">
        <v>26</v>
      </c>
      <c r="R1101" s="119" t="s">
        <v>26</v>
      </c>
      <c r="S1101" s="127">
        <v>1.7</v>
      </c>
      <c r="T1101" s="121" t="s">
        <v>26</v>
      </c>
      <c r="U1101" s="130">
        <v>86</v>
      </c>
      <c r="V1101" s="126" t="s">
        <v>26</v>
      </c>
      <c r="AC1101" s="33"/>
      <c r="AD1101" s="33"/>
      <c r="AE1101" s="33"/>
    </row>
    <row r="1102" spans="1:31">
      <c r="A1102" s="18" t="s">
        <v>1102</v>
      </c>
      <c r="B1102" s="8" t="s">
        <v>981</v>
      </c>
      <c r="C1102" s="8" t="s">
        <v>22</v>
      </c>
      <c r="D1102" s="8" t="s">
        <v>955</v>
      </c>
      <c r="E1102" s="25" t="s">
        <v>31</v>
      </c>
      <c r="F1102" s="16" t="s">
        <v>1107</v>
      </c>
      <c r="G1102" s="118">
        <v>23</v>
      </c>
      <c r="H1102" s="119" t="s">
        <v>26</v>
      </c>
      <c r="I1102" s="118">
        <v>18.2</v>
      </c>
      <c r="J1102" s="118">
        <v>10.5</v>
      </c>
      <c r="K1102" s="119" t="s">
        <v>26</v>
      </c>
      <c r="L1102" s="119" t="s">
        <v>26</v>
      </c>
      <c r="M1102" s="119" t="s">
        <v>26</v>
      </c>
      <c r="N1102" s="119" t="s">
        <v>26</v>
      </c>
      <c r="O1102" s="118">
        <v>1</v>
      </c>
      <c r="P1102" s="118">
        <v>0.8</v>
      </c>
      <c r="Q1102" s="119" t="s">
        <v>26</v>
      </c>
      <c r="R1102" s="119" t="s">
        <v>26</v>
      </c>
      <c r="S1102" s="127">
        <v>1.9</v>
      </c>
      <c r="T1102" s="121" t="s">
        <v>26</v>
      </c>
      <c r="U1102" s="130">
        <v>68</v>
      </c>
      <c r="V1102" s="126" t="s">
        <v>26</v>
      </c>
      <c r="AC1102" s="33"/>
      <c r="AD1102" s="33"/>
      <c r="AE1102" s="33"/>
    </row>
    <row r="1103" spans="1:31">
      <c r="A1103" s="18" t="s">
        <v>1102</v>
      </c>
      <c r="B1103" s="8" t="s">
        <v>981</v>
      </c>
      <c r="C1103" s="8" t="s">
        <v>22</v>
      </c>
      <c r="D1103" s="8" t="s">
        <v>955</v>
      </c>
      <c r="E1103" s="24" t="s">
        <v>24</v>
      </c>
      <c r="F1103" s="16" t="s">
        <v>1108</v>
      </c>
      <c r="G1103" s="118">
        <v>258</v>
      </c>
      <c r="H1103" s="118">
        <v>8.9</v>
      </c>
      <c r="I1103" s="119" t="s">
        <v>26</v>
      </c>
      <c r="J1103" s="119" t="s">
        <v>26</v>
      </c>
      <c r="K1103" s="119" t="s">
        <v>26</v>
      </c>
      <c r="L1103" s="119" t="s">
        <v>26</v>
      </c>
      <c r="M1103" s="119" t="s">
        <v>26</v>
      </c>
      <c r="N1103" s="119" t="s">
        <v>26</v>
      </c>
      <c r="O1103" s="118">
        <v>0.8</v>
      </c>
      <c r="P1103" s="119" t="s">
        <v>26</v>
      </c>
      <c r="Q1103" s="118">
        <v>3.5</v>
      </c>
      <c r="R1103" s="118">
        <v>1.5</v>
      </c>
      <c r="S1103" s="127">
        <v>1.1000000000000001</v>
      </c>
      <c r="T1103" s="121" t="s">
        <v>26</v>
      </c>
      <c r="U1103" s="123" t="s">
        <v>26</v>
      </c>
      <c r="V1103" s="126" t="s">
        <v>26</v>
      </c>
      <c r="AC1103" s="33"/>
      <c r="AD1103" s="33"/>
      <c r="AE1103" s="33"/>
    </row>
    <row r="1104" spans="1:31">
      <c r="A1104" s="18" t="s">
        <v>1102</v>
      </c>
      <c r="B1104" s="8" t="s">
        <v>981</v>
      </c>
      <c r="C1104" s="8" t="s">
        <v>22</v>
      </c>
      <c r="D1104" s="8" t="s">
        <v>955</v>
      </c>
      <c r="E1104" s="25" t="s">
        <v>27</v>
      </c>
      <c r="F1104" s="16" t="s">
        <v>985</v>
      </c>
      <c r="G1104" s="118">
        <v>119</v>
      </c>
      <c r="H1104" s="118">
        <v>19</v>
      </c>
      <c r="I1104" s="118">
        <v>3.6</v>
      </c>
      <c r="J1104" s="118">
        <v>1.2</v>
      </c>
      <c r="K1104" s="118">
        <v>0.5</v>
      </c>
      <c r="L1104" s="118">
        <v>0.6</v>
      </c>
      <c r="M1104" s="119" t="s">
        <v>26</v>
      </c>
      <c r="N1104" s="119" t="s">
        <v>26</v>
      </c>
      <c r="O1104" s="118">
        <v>1.1000000000000001</v>
      </c>
      <c r="P1104" s="118">
        <v>0.7</v>
      </c>
      <c r="Q1104" s="119" t="s">
        <v>26</v>
      </c>
      <c r="R1104" s="118">
        <v>1.4</v>
      </c>
      <c r="S1104" s="127">
        <v>1.5</v>
      </c>
      <c r="T1104" s="121" t="s">
        <v>26</v>
      </c>
      <c r="U1104" s="133">
        <v>50</v>
      </c>
      <c r="V1104" s="126" t="s">
        <v>26</v>
      </c>
      <c r="AC1104" s="33"/>
      <c r="AD1104" s="33"/>
      <c r="AE1104" s="33"/>
    </row>
    <row r="1105" spans="1:31">
      <c r="A1105" s="18" t="s">
        <v>1102</v>
      </c>
      <c r="B1105" s="8" t="s">
        <v>981</v>
      </c>
      <c r="C1105" s="8" t="s">
        <v>22</v>
      </c>
      <c r="D1105" s="8" t="s">
        <v>955</v>
      </c>
      <c r="E1105" s="25" t="s">
        <v>958</v>
      </c>
      <c r="F1105" s="16" t="s">
        <v>122</v>
      </c>
      <c r="G1105" s="118">
        <v>83</v>
      </c>
      <c r="H1105" s="118">
        <v>1.5</v>
      </c>
      <c r="I1105" s="118">
        <v>12.4</v>
      </c>
      <c r="J1105" s="118">
        <v>1.6</v>
      </c>
      <c r="K1105" s="118">
        <v>0.7</v>
      </c>
      <c r="L1105" s="118">
        <v>0.4</v>
      </c>
      <c r="M1105" s="119" t="s">
        <v>26</v>
      </c>
      <c r="N1105" s="119" t="s">
        <v>26</v>
      </c>
      <c r="O1105" s="118">
        <v>1.3</v>
      </c>
      <c r="P1105" s="118">
        <v>1.1000000000000001</v>
      </c>
      <c r="Q1105" s="119" t="s">
        <v>26</v>
      </c>
      <c r="R1105" s="118">
        <v>0.5</v>
      </c>
      <c r="S1105" s="127">
        <v>1.6</v>
      </c>
      <c r="T1105" s="121" t="s">
        <v>26</v>
      </c>
      <c r="U1105" s="133">
        <v>41</v>
      </c>
      <c r="V1105" s="126" t="s">
        <v>26</v>
      </c>
      <c r="AC1105" s="33"/>
      <c r="AD1105" s="33"/>
      <c r="AE1105" s="33"/>
    </row>
    <row r="1106" spans="1:31">
      <c r="A1106" s="18" t="s">
        <v>1102</v>
      </c>
      <c r="B1106" s="8" t="s">
        <v>981</v>
      </c>
      <c r="C1106" s="8" t="s">
        <v>22</v>
      </c>
      <c r="D1106" s="8" t="s">
        <v>955</v>
      </c>
      <c r="E1106" s="25" t="s">
        <v>29</v>
      </c>
      <c r="F1106" s="16" t="s">
        <v>1109</v>
      </c>
      <c r="G1106" s="118">
        <v>45</v>
      </c>
      <c r="H1106" s="118">
        <v>5.6</v>
      </c>
      <c r="I1106" s="118">
        <v>4.2</v>
      </c>
      <c r="J1106" s="118">
        <v>2.9</v>
      </c>
      <c r="K1106" s="118">
        <v>0.8</v>
      </c>
      <c r="L1106" s="119" t="s">
        <v>26</v>
      </c>
      <c r="M1106" s="119" t="s">
        <v>26</v>
      </c>
      <c r="N1106" s="119" t="s">
        <v>26</v>
      </c>
      <c r="O1106" s="118">
        <v>1</v>
      </c>
      <c r="P1106" s="118">
        <v>1.4</v>
      </c>
      <c r="Q1106" s="119" t="s">
        <v>26</v>
      </c>
      <c r="R1106" s="119" t="s">
        <v>26</v>
      </c>
      <c r="S1106" s="127">
        <v>1.5</v>
      </c>
      <c r="T1106" s="121" t="s">
        <v>26</v>
      </c>
      <c r="U1106" s="130">
        <v>100</v>
      </c>
      <c r="V1106" s="126" t="s">
        <v>26</v>
      </c>
      <c r="AC1106" s="33"/>
      <c r="AD1106" s="33"/>
      <c r="AE1106" s="33"/>
    </row>
    <row r="1107" spans="1:31">
      <c r="A1107" s="18" t="s">
        <v>1102</v>
      </c>
      <c r="B1107" s="8" t="s">
        <v>981</v>
      </c>
      <c r="C1107" s="8" t="s">
        <v>22</v>
      </c>
      <c r="D1107" s="8" t="s">
        <v>955</v>
      </c>
      <c r="E1107" s="25" t="s">
        <v>31</v>
      </c>
      <c r="F1107" s="16" t="s">
        <v>1110</v>
      </c>
      <c r="G1107" s="118">
        <v>24</v>
      </c>
      <c r="H1107" s="119" t="s">
        <v>26</v>
      </c>
      <c r="I1107" s="118">
        <v>18.600000000000001</v>
      </c>
      <c r="J1107" s="118">
        <v>7.2</v>
      </c>
      <c r="K1107" s="118">
        <v>0.5</v>
      </c>
      <c r="L1107" s="119" t="s">
        <v>26</v>
      </c>
      <c r="M1107" s="119" t="s">
        <v>26</v>
      </c>
      <c r="N1107" s="119" t="s">
        <v>26</v>
      </c>
      <c r="O1107" s="118">
        <v>2.6</v>
      </c>
      <c r="P1107" s="118">
        <v>1.7</v>
      </c>
      <c r="Q1107" s="119" t="s">
        <v>26</v>
      </c>
      <c r="R1107" s="119" t="s">
        <v>26</v>
      </c>
      <c r="S1107" s="127">
        <v>2.2999999999999998</v>
      </c>
      <c r="T1107" s="121" t="s">
        <v>26</v>
      </c>
      <c r="U1107" s="130">
        <v>93</v>
      </c>
      <c r="V1107" s="126" t="s">
        <v>26</v>
      </c>
      <c r="AC1107" s="33"/>
      <c r="AD1107" s="33"/>
      <c r="AE1107" s="33"/>
    </row>
    <row r="1108" spans="1:31">
      <c r="A1108" s="18" t="s">
        <v>1102</v>
      </c>
      <c r="B1108" s="8" t="s">
        <v>21</v>
      </c>
      <c r="C1108" s="8" t="s">
        <v>22</v>
      </c>
      <c r="D1108" s="8" t="s">
        <v>1015</v>
      </c>
      <c r="E1108" s="25" t="s">
        <v>27</v>
      </c>
      <c r="F1108" s="16" t="s">
        <v>1111</v>
      </c>
      <c r="G1108" s="118">
        <v>119</v>
      </c>
      <c r="H1108" s="118">
        <v>36.5</v>
      </c>
      <c r="I1108" s="118">
        <v>20.5</v>
      </c>
      <c r="J1108" s="118">
        <v>0.9</v>
      </c>
      <c r="K1108" s="118">
        <v>0.3</v>
      </c>
      <c r="L1108" s="119" t="s">
        <v>26</v>
      </c>
      <c r="M1108" s="118">
        <v>0.8</v>
      </c>
      <c r="N1108" s="119" t="s">
        <v>26</v>
      </c>
      <c r="O1108" s="118">
        <v>1.2</v>
      </c>
      <c r="P1108" s="118">
        <v>0.9</v>
      </c>
      <c r="Q1108" s="119" t="s">
        <v>26</v>
      </c>
      <c r="R1108" s="118">
        <v>1.6</v>
      </c>
      <c r="S1108" s="127">
        <v>0.9</v>
      </c>
      <c r="T1108" s="121" t="s">
        <v>26</v>
      </c>
      <c r="U1108" s="123" t="s">
        <v>26</v>
      </c>
      <c r="V1108" s="89">
        <v>328</v>
      </c>
      <c r="AC1108" s="33"/>
      <c r="AD1108" s="33"/>
      <c r="AE1108" s="33"/>
    </row>
    <row r="1109" spans="1:31">
      <c r="A1109" s="18" t="s">
        <v>1102</v>
      </c>
      <c r="B1109" s="8" t="s">
        <v>21</v>
      </c>
      <c r="C1109" s="8" t="s">
        <v>22</v>
      </c>
      <c r="D1109" s="8" t="s">
        <v>1015</v>
      </c>
      <c r="E1109" s="25" t="s">
        <v>29</v>
      </c>
      <c r="F1109" s="16" t="s">
        <v>1112</v>
      </c>
      <c r="G1109" s="118">
        <v>52</v>
      </c>
      <c r="H1109" s="118">
        <v>1.8</v>
      </c>
      <c r="I1109" s="118">
        <v>16.5</v>
      </c>
      <c r="J1109" s="118">
        <v>2.5</v>
      </c>
      <c r="K1109" s="119" t="s">
        <v>26</v>
      </c>
      <c r="L1109" s="119" t="s">
        <v>26</v>
      </c>
      <c r="M1109" s="119" t="s">
        <v>26</v>
      </c>
      <c r="N1109" s="119" t="s">
        <v>26</v>
      </c>
      <c r="O1109" s="118">
        <v>1</v>
      </c>
      <c r="P1109" s="118">
        <v>1.2</v>
      </c>
      <c r="Q1109" s="119" t="s">
        <v>26</v>
      </c>
      <c r="R1109" s="118">
        <v>1.3</v>
      </c>
      <c r="S1109" s="127">
        <v>1.1000000000000001</v>
      </c>
      <c r="T1109" s="121" t="s">
        <v>26</v>
      </c>
      <c r="U1109" s="133">
        <v>2284</v>
      </c>
      <c r="V1109" s="89">
        <v>358</v>
      </c>
      <c r="AC1109" s="33"/>
      <c r="AD1109" s="33"/>
      <c r="AE1109" s="33"/>
    </row>
    <row r="1110" spans="1:31">
      <c r="A1110" s="18" t="s">
        <v>1102</v>
      </c>
      <c r="B1110" s="8" t="s">
        <v>21</v>
      </c>
      <c r="C1110" s="8" t="s">
        <v>22</v>
      </c>
      <c r="D1110" s="8" t="s">
        <v>1015</v>
      </c>
      <c r="E1110" s="25" t="s">
        <v>31</v>
      </c>
      <c r="F1110" s="16" t="s">
        <v>1113</v>
      </c>
      <c r="G1110" s="118">
        <v>23</v>
      </c>
      <c r="H1110" s="119" t="s">
        <v>26</v>
      </c>
      <c r="I1110" s="118">
        <v>16.5</v>
      </c>
      <c r="J1110" s="118">
        <v>20.9</v>
      </c>
      <c r="K1110" s="119" t="s">
        <v>26</v>
      </c>
      <c r="L1110" s="119" t="s">
        <v>26</v>
      </c>
      <c r="M1110" s="119" t="s">
        <v>26</v>
      </c>
      <c r="N1110" s="119" t="s">
        <v>26</v>
      </c>
      <c r="O1110" s="118">
        <v>0.8</v>
      </c>
      <c r="P1110" s="118">
        <v>1.4</v>
      </c>
      <c r="Q1110" s="119" t="s">
        <v>26</v>
      </c>
      <c r="R1110" s="119" t="s">
        <v>26</v>
      </c>
      <c r="S1110" s="127">
        <v>1.4</v>
      </c>
      <c r="T1110" s="121" t="s">
        <v>26</v>
      </c>
      <c r="U1110" s="133">
        <v>458</v>
      </c>
      <c r="V1110" s="89">
        <v>102</v>
      </c>
      <c r="AC1110" s="33"/>
      <c r="AD1110" s="33"/>
      <c r="AE1110" s="33"/>
    </row>
    <row r="1111" spans="1:31">
      <c r="A1111" s="18" t="s">
        <v>1102</v>
      </c>
      <c r="B1111" s="8" t="s">
        <v>358</v>
      </c>
      <c r="C1111" s="8" t="s">
        <v>22</v>
      </c>
      <c r="D1111" s="8" t="s">
        <v>1015</v>
      </c>
      <c r="E1111" s="25" t="s">
        <v>27</v>
      </c>
      <c r="F1111" s="16" t="s">
        <v>1114</v>
      </c>
      <c r="G1111" s="118">
        <v>115</v>
      </c>
      <c r="H1111" s="118">
        <v>31.5</v>
      </c>
      <c r="I1111" s="118">
        <v>18.8</v>
      </c>
      <c r="J1111" s="118">
        <v>0.7</v>
      </c>
      <c r="K1111" s="119" t="s">
        <v>26</v>
      </c>
      <c r="L1111" s="118">
        <v>0.6</v>
      </c>
      <c r="M1111" s="119" t="s">
        <v>26</v>
      </c>
      <c r="N1111" s="119" t="s">
        <v>26</v>
      </c>
      <c r="O1111" s="118">
        <v>1.8</v>
      </c>
      <c r="P1111" s="118">
        <v>1.1000000000000001</v>
      </c>
      <c r="Q1111" s="119" t="s">
        <v>26</v>
      </c>
      <c r="R1111" s="118">
        <v>1.4</v>
      </c>
      <c r="S1111" s="127">
        <v>1.2</v>
      </c>
      <c r="T1111" s="121" t="s">
        <v>26</v>
      </c>
      <c r="U1111" s="89">
        <v>838</v>
      </c>
      <c r="V1111" s="126" t="s">
        <v>26</v>
      </c>
      <c r="AC1111" s="33"/>
      <c r="AD1111" s="33"/>
      <c r="AE1111" s="33"/>
    </row>
    <row r="1112" spans="1:31">
      <c r="A1112" s="18" t="s">
        <v>1102</v>
      </c>
      <c r="B1112" s="8" t="s">
        <v>358</v>
      </c>
      <c r="C1112" s="8" t="s">
        <v>22</v>
      </c>
      <c r="D1112" s="8" t="s">
        <v>1015</v>
      </c>
      <c r="E1112" s="25" t="s">
        <v>29</v>
      </c>
      <c r="F1112" s="16" t="s">
        <v>252</v>
      </c>
      <c r="G1112" s="118">
        <v>54</v>
      </c>
      <c r="H1112" s="119" t="s">
        <v>26</v>
      </c>
      <c r="I1112" s="118">
        <v>20.5</v>
      </c>
      <c r="J1112" s="118">
        <v>3.4</v>
      </c>
      <c r="K1112" s="119" t="s">
        <v>26</v>
      </c>
      <c r="L1112" s="118">
        <v>1.9</v>
      </c>
      <c r="M1112" s="119" t="s">
        <v>26</v>
      </c>
      <c r="N1112" s="119" t="s">
        <v>26</v>
      </c>
      <c r="O1112" s="118">
        <v>1.5</v>
      </c>
      <c r="P1112" s="118">
        <v>1.3</v>
      </c>
      <c r="Q1112" s="119" t="s">
        <v>26</v>
      </c>
      <c r="R1112" s="119" t="s">
        <v>26</v>
      </c>
      <c r="S1112" s="127">
        <v>1.4</v>
      </c>
      <c r="T1112" s="121" t="s">
        <v>26</v>
      </c>
      <c r="U1112" s="133">
        <v>939</v>
      </c>
      <c r="V1112" s="126" t="s">
        <v>26</v>
      </c>
      <c r="AC1112" s="33"/>
      <c r="AD1112" s="33"/>
      <c r="AE1112" s="33"/>
    </row>
    <row r="1113" spans="1:31">
      <c r="A1113" s="18" t="s">
        <v>1102</v>
      </c>
      <c r="B1113" s="8" t="s">
        <v>358</v>
      </c>
      <c r="C1113" s="8" t="s">
        <v>22</v>
      </c>
      <c r="D1113" s="8" t="s">
        <v>1015</v>
      </c>
      <c r="E1113" s="25" t="s">
        <v>31</v>
      </c>
      <c r="F1113" s="16" t="s">
        <v>219</v>
      </c>
      <c r="G1113" s="118">
        <v>25</v>
      </c>
      <c r="H1113" s="119" t="s">
        <v>26</v>
      </c>
      <c r="I1113" s="118">
        <v>25.5</v>
      </c>
      <c r="J1113" s="118">
        <v>9.1</v>
      </c>
      <c r="K1113" s="119" t="s">
        <v>26</v>
      </c>
      <c r="L1113" s="118">
        <v>0.8</v>
      </c>
      <c r="M1113" s="119" t="s">
        <v>26</v>
      </c>
      <c r="N1113" s="119" t="s">
        <v>26</v>
      </c>
      <c r="O1113" s="118">
        <v>1.1000000000000001</v>
      </c>
      <c r="P1113" s="118">
        <v>0.8</v>
      </c>
      <c r="Q1113" s="119" t="s">
        <v>26</v>
      </c>
      <c r="R1113" s="119" t="s">
        <v>26</v>
      </c>
      <c r="S1113" s="127">
        <v>3.5</v>
      </c>
      <c r="T1113" s="121" t="s">
        <v>26</v>
      </c>
      <c r="U1113" s="133">
        <v>861</v>
      </c>
      <c r="V1113" s="126" t="s">
        <v>26</v>
      </c>
      <c r="AC1113" s="33"/>
      <c r="AD1113" s="33"/>
      <c r="AE1113" s="33"/>
    </row>
    <row r="1114" spans="1:31">
      <c r="A1114" s="18" t="s">
        <v>1115</v>
      </c>
      <c r="B1114" s="8" t="s">
        <v>1116</v>
      </c>
      <c r="C1114" s="8" t="s">
        <v>22</v>
      </c>
      <c r="D1114" s="8" t="s">
        <v>1015</v>
      </c>
      <c r="E1114" s="25" t="s">
        <v>27</v>
      </c>
      <c r="F1114" s="16" t="s">
        <v>1117</v>
      </c>
      <c r="G1114" s="118">
        <v>125</v>
      </c>
      <c r="H1114" s="118">
        <v>21.8</v>
      </c>
      <c r="I1114" s="118">
        <v>6.2</v>
      </c>
      <c r="J1114" s="118">
        <v>0.7</v>
      </c>
      <c r="K1114" s="119" t="s">
        <v>26</v>
      </c>
      <c r="L1114" s="119" t="s">
        <v>26</v>
      </c>
      <c r="M1114" s="119" t="s">
        <v>26</v>
      </c>
      <c r="N1114" s="119" t="s">
        <v>26</v>
      </c>
      <c r="O1114" s="118">
        <v>3.9</v>
      </c>
      <c r="P1114" s="118">
        <v>1</v>
      </c>
      <c r="Q1114" s="118">
        <v>1.2</v>
      </c>
      <c r="R1114" s="118">
        <v>0.6</v>
      </c>
      <c r="S1114" s="120" t="s">
        <v>26</v>
      </c>
      <c r="T1114" s="121" t="s">
        <v>26</v>
      </c>
      <c r="U1114" s="89">
        <v>589</v>
      </c>
      <c r="V1114" s="89">
        <v>533</v>
      </c>
      <c r="AC1114" s="33"/>
      <c r="AD1114" s="33"/>
      <c r="AE1114" s="33"/>
    </row>
    <row r="1115" spans="1:31">
      <c r="A1115" s="18" t="s">
        <v>1115</v>
      </c>
      <c r="B1115" s="8" t="s">
        <v>1116</v>
      </c>
      <c r="C1115" s="8" t="s">
        <v>22</v>
      </c>
      <c r="D1115" s="8" t="s">
        <v>1015</v>
      </c>
      <c r="E1115" s="25" t="s">
        <v>29</v>
      </c>
      <c r="F1115" s="16" t="s">
        <v>1118</v>
      </c>
      <c r="G1115" s="118">
        <v>53</v>
      </c>
      <c r="H1115" s="119" t="s">
        <v>26</v>
      </c>
      <c r="I1115" s="118">
        <v>9.9</v>
      </c>
      <c r="J1115" s="118">
        <v>4.08</v>
      </c>
      <c r="K1115" s="119" t="s">
        <v>26</v>
      </c>
      <c r="L1115" s="118">
        <v>0.8</v>
      </c>
      <c r="M1115" s="119" t="s">
        <v>26</v>
      </c>
      <c r="N1115" s="119" t="s">
        <v>26</v>
      </c>
      <c r="O1115" s="118">
        <v>7.2</v>
      </c>
      <c r="P1115" s="118">
        <v>5.9</v>
      </c>
      <c r="Q1115" s="119" t="s">
        <v>26</v>
      </c>
      <c r="R1115" s="119" t="s">
        <v>26</v>
      </c>
      <c r="S1115" s="127">
        <v>0.9</v>
      </c>
      <c r="T1115" s="121" t="s">
        <v>26</v>
      </c>
      <c r="U1115" s="89">
        <v>1587</v>
      </c>
      <c r="V1115" s="89">
        <v>95</v>
      </c>
      <c r="AC1115" s="33"/>
      <c r="AD1115" s="33"/>
      <c r="AE1115" s="33"/>
    </row>
    <row r="1116" spans="1:31">
      <c r="A1116" s="18" t="s">
        <v>1115</v>
      </c>
      <c r="B1116" s="8" t="s">
        <v>1116</v>
      </c>
      <c r="C1116" s="8" t="s">
        <v>22</v>
      </c>
      <c r="D1116" s="8" t="s">
        <v>1015</v>
      </c>
      <c r="E1116" s="25" t="s">
        <v>31</v>
      </c>
      <c r="F1116" s="16" t="s">
        <v>1119</v>
      </c>
      <c r="G1116" s="118">
        <v>17</v>
      </c>
      <c r="H1116" s="118">
        <v>13.2</v>
      </c>
      <c r="I1116" s="118">
        <v>2.9</v>
      </c>
      <c r="J1116" s="118">
        <v>8.5</v>
      </c>
      <c r="K1116" s="119" t="s">
        <v>26</v>
      </c>
      <c r="L1116" s="118">
        <v>1</v>
      </c>
      <c r="M1116" s="119" t="s">
        <v>26</v>
      </c>
      <c r="N1116" s="119" t="s">
        <v>26</v>
      </c>
      <c r="O1116" s="118">
        <v>6.8</v>
      </c>
      <c r="P1116" s="118">
        <v>4.2</v>
      </c>
      <c r="Q1116" s="119" t="s">
        <v>26</v>
      </c>
      <c r="R1116" s="119" t="s">
        <v>26</v>
      </c>
      <c r="S1116" s="127">
        <v>1.1000000000000001</v>
      </c>
      <c r="T1116" s="121" t="s">
        <v>26</v>
      </c>
      <c r="U1116" s="89">
        <v>733</v>
      </c>
      <c r="V1116" s="89">
        <v>54</v>
      </c>
      <c r="AC1116" s="33"/>
      <c r="AD1116" s="33"/>
      <c r="AE1116" s="33"/>
    </row>
    <row r="1117" spans="1:31">
      <c r="A1117" s="18" t="s">
        <v>1115</v>
      </c>
      <c r="B1117" s="8" t="s">
        <v>623</v>
      </c>
      <c r="C1117" s="8" t="s">
        <v>22</v>
      </c>
      <c r="D1117" s="8" t="s">
        <v>1015</v>
      </c>
      <c r="E1117" s="25" t="s">
        <v>27</v>
      </c>
      <c r="F1117" s="16" t="s">
        <v>1120</v>
      </c>
      <c r="G1117" s="118">
        <v>157</v>
      </c>
      <c r="H1117" s="118">
        <v>13.4</v>
      </c>
      <c r="I1117" s="118">
        <v>18.5</v>
      </c>
      <c r="J1117" s="118">
        <v>2.5</v>
      </c>
      <c r="K1117" s="119" t="s">
        <v>26</v>
      </c>
      <c r="L1117" s="118">
        <v>0.2</v>
      </c>
      <c r="M1117" s="119" t="s">
        <v>26</v>
      </c>
      <c r="N1117" s="119" t="s">
        <v>26</v>
      </c>
      <c r="O1117" s="118">
        <v>2.9</v>
      </c>
      <c r="P1117" s="118">
        <v>0.8</v>
      </c>
      <c r="Q1117" s="119" t="s">
        <v>26</v>
      </c>
      <c r="R1117" s="118">
        <v>0.9</v>
      </c>
      <c r="S1117" s="120" t="s">
        <v>26</v>
      </c>
      <c r="T1117" s="121" t="s">
        <v>26</v>
      </c>
      <c r="U1117" s="89">
        <v>1352</v>
      </c>
      <c r="V1117" s="126" t="s">
        <v>26</v>
      </c>
      <c r="AC1117" s="33"/>
      <c r="AD1117" s="33"/>
      <c r="AE1117" s="33"/>
    </row>
    <row r="1118" spans="1:31">
      <c r="A1118" s="18" t="s">
        <v>1115</v>
      </c>
      <c r="B1118" s="8" t="s">
        <v>623</v>
      </c>
      <c r="C1118" s="8" t="s">
        <v>22</v>
      </c>
      <c r="D1118" s="8" t="s">
        <v>1015</v>
      </c>
      <c r="E1118" s="25" t="s">
        <v>29</v>
      </c>
      <c r="F1118" s="16" t="s">
        <v>1121</v>
      </c>
      <c r="G1118" s="118">
        <v>50</v>
      </c>
      <c r="H1118" s="118">
        <v>3.5</v>
      </c>
      <c r="I1118" s="118">
        <v>14.2</v>
      </c>
      <c r="J1118" s="118">
        <v>3.2</v>
      </c>
      <c r="K1118" s="119" t="s">
        <v>26</v>
      </c>
      <c r="L1118" s="118">
        <v>0.7</v>
      </c>
      <c r="M1118" s="119" t="s">
        <v>26</v>
      </c>
      <c r="N1118" s="119" t="s">
        <v>26</v>
      </c>
      <c r="O1118" s="118">
        <v>7.3</v>
      </c>
      <c r="P1118" s="118">
        <v>1.7</v>
      </c>
      <c r="Q1118" s="119" t="s">
        <v>26</v>
      </c>
      <c r="R1118" s="119" t="s">
        <v>26</v>
      </c>
      <c r="S1118" s="120" t="s">
        <v>26</v>
      </c>
      <c r="T1118" s="121" t="s">
        <v>26</v>
      </c>
      <c r="U1118" s="89">
        <v>2252</v>
      </c>
      <c r="V1118" s="126" t="s">
        <v>26</v>
      </c>
      <c r="AC1118" s="33"/>
      <c r="AD1118" s="33"/>
      <c r="AE1118" s="33"/>
    </row>
    <row r="1119" spans="1:31">
      <c r="A1119" s="18" t="s">
        <v>1115</v>
      </c>
      <c r="B1119" s="8" t="s">
        <v>623</v>
      </c>
      <c r="C1119" s="8" t="s">
        <v>22</v>
      </c>
      <c r="D1119" s="8" t="s">
        <v>1015</v>
      </c>
      <c r="E1119" s="25" t="s">
        <v>31</v>
      </c>
      <c r="F1119" s="16" t="s">
        <v>69</v>
      </c>
      <c r="G1119" s="118">
        <v>20</v>
      </c>
      <c r="H1119" s="119" t="s">
        <v>26</v>
      </c>
      <c r="I1119" s="118">
        <v>8.1</v>
      </c>
      <c r="J1119" s="118">
        <v>8.02</v>
      </c>
      <c r="K1119" s="118">
        <v>0.8</v>
      </c>
      <c r="L1119" s="118">
        <v>0.8</v>
      </c>
      <c r="M1119" s="119" t="s">
        <v>26</v>
      </c>
      <c r="N1119" s="119" t="s">
        <v>26</v>
      </c>
      <c r="O1119" s="118">
        <v>2.9</v>
      </c>
      <c r="P1119" s="118">
        <v>0.9</v>
      </c>
      <c r="Q1119" s="119" t="s">
        <v>26</v>
      </c>
      <c r="R1119" s="119" t="s">
        <v>26</v>
      </c>
      <c r="S1119" s="120" t="s">
        <v>26</v>
      </c>
      <c r="T1119" s="121" t="s">
        <v>26</v>
      </c>
      <c r="U1119" s="89">
        <v>1019</v>
      </c>
      <c r="V1119" s="126" t="s">
        <v>26</v>
      </c>
      <c r="AC1119" s="33"/>
      <c r="AD1119" s="33"/>
      <c r="AE1119" s="33"/>
    </row>
    <row r="1120" spans="1:31">
      <c r="A1120" s="18" t="s">
        <v>1115</v>
      </c>
      <c r="B1120" s="8" t="s">
        <v>119</v>
      </c>
      <c r="C1120" s="8" t="s">
        <v>22</v>
      </c>
      <c r="D1120" s="8" t="s">
        <v>1015</v>
      </c>
      <c r="E1120" s="25" t="s">
        <v>27</v>
      </c>
      <c r="F1120" s="16" t="s">
        <v>1122</v>
      </c>
      <c r="G1120" s="118">
        <v>131</v>
      </c>
      <c r="H1120" s="118">
        <v>14.3</v>
      </c>
      <c r="I1120" s="118">
        <v>6.8</v>
      </c>
      <c r="J1120" s="118">
        <v>0.9</v>
      </c>
      <c r="K1120" s="119" t="s">
        <v>26</v>
      </c>
      <c r="L1120" s="119" t="s">
        <v>26</v>
      </c>
      <c r="M1120" s="118">
        <v>1.1000000000000001</v>
      </c>
      <c r="N1120" s="119" t="s">
        <v>26</v>
      </c>
      <c r="O1120" s="118">
        <v>1.9</v>
      </c>
      <c r="P1120" s="118">
        <v>0.3</v>
      </c>
      <c r="Q1120" s="119" t="s">
        <v>26</v>
      </c>
      <c r="R1120" s="118">
        <v>1.3</v>
      </c>
      <c r="S1120" s="120" t="s">
        <v>26</v>
      </c>
      <c r="T1120" s="121" t="s">
        <v>26</v>
      </c>
      <c r="U1120" s="89">
        <v>760</v>
      </c>
      <c r="V1120" s="126" t="s">
        <v>26</v>
      </c>
      <c r="AC1120" s="33"/>
      <c r="AD1120" s="33"/>
      <c r="AE1120" s="33"/>
    </row>
    <row r="1121" spans="1:31">
      <c r="A1121" s="18" t="s">
        <v>1115</v>
      </c>
      <c r="B1121" s="8" t="s">
        <v>119</v>
      </c>
      <c r="C1121" s="8" t="s">
        <v>22</v>
      </c>
      <c r="D1121" s="8" t="s">
        <v>1015</v>
      </c>
      <c r="E1121" s="25" t="s">
        <v>29</v>
      </c>
      <c r="F1121" s="16" t="s">
        <v>1123</v>
      </c>
      <c r="G1121" s="118">
        <v>56</v>
      </c>
      <c r="H1121" s="118">
        <v>3.8</v>
      </c>
      <c r="I1121" s="118">
        <v>17.399999999999999</v>
      </c>
      <c r="J1121" s="118">
        <v>3.9</v>
      </c>
      <c r="K1121" s="119" t="s">
        <v>26</v>
      </c>
      <c r="L1121" s="119" t="s">
        <v>26</v>
      </c>
      <c r="M1121" s="118">
        <v>1.2</v>
      </c>
      <c r="N1121" s="119" t="s">
        <v>26</v>
      </c>
      <c r="O1121" s="118">
        <v>3.5</v>
      </c>
      <c r="P1121" s="118">
        <v>0.6</v>
      </c>
      <c r="Q1121" s="119" t="s">
        <v>26</v>
      </c>
      <c r="R1121" s="119" t="s">
        <v>26</v>
      </c>
      <c r="S1121" s="120" t="s">
        <v>26</v>
      </c>
      <c r="T1121" s="121" t="s">
        <v>26</v>
      </c>
      <c r="U1121" s="89">
        <v>622</v>
      </c>
      <c r="V1121" s="126" t="s">
        <v>26</v>
      </c>
      <c r="AC1121" s="33"/>
      <c r="AD1121" s="33"/>
      <c r="AE1121" s="33"/>
    </row>
    <row r="1122" spans="1:31">
      <c r="A1122" s="18" t="s">
        <v>1115</v>
      </c>
      <c r="B1122" s="8" t="s">
        <v>119</v>
      </c>
      <c r="C1122" s="8" t="s">
        <v>22</v>
      </c>
      <c r="D1122" s="8" t="s">
        <v>1015</v>
      </c>
      <c r="E1122" s="25" t="s">
        <v>31</v>
      </c>
      <c r="F1122" s="16" t="s">
        <v>1124</v>
      </c>
      <c r="G1122" s="118">
        <v>21</v>
      </c>
      <c r="H1122" s="119" t="s">
        <v>26</v>
      </c>
      <c r="I1122" s="118">
        <v>9.0500000000000007</v>
      </c>
      <c r="J1122" s="118">
        <v>8.6999999999999993</v>
      </c>
      <c r="K1122" s="119" t="s">
        <v>26</v>
      </c>
      <c r="L1122" s="119" t="s">
        <v>26</v>
      </c>
      <c r="M1122" s="118">
        <v>0.6</v>
      </c>
      <c r="N1122" s="119" t="s">
        <v>26</v>
      </c>
      <c r="O1122" s="118">
        <v>7.5</v>
      </c>
      <c r="P1122" s="118">
        <v>1.4</v>
      </c>
      <c r="Q1122" s="119" t="s">
        <v>26</v>
      </c>
      <c r="R1122" s="119" t="s">
        <v>26</v>
      </c>
      <c r="S1122" s="127">
        <v>0.9</v>
      </c>
      <c r="T1122" s="121" t="s">
        <v>26</v>
      </c>
      <c r="U1122" s="89">
        <v>502</v>
      </c>
      <c r="V1122" s="126" t="s">
        <v>26</v>
      </c>
      <c r="AC1122" s="33"/>
      <c r="AD1122" s="33"/>
      <c r="AE1122" s="33"/>
    </row>
    <row r="1123" spans="1:31">
      <c r="A1123" s="18" t="s">
        <v>1115</v>
      </c>
      <c r="B1123" s="8" t="s">
        <v>68</v>
      </c>
      <c r="C1123" s="8" t="s">
        <v>22</v>
      </c>
      <c r="D1123" s="8" t="s">
        <v>1015</v>
      </c>
      <c r="E1123" s="25" t="s">
        <v>27</v>
      </c>
      <c r="F1123" s="16" t="s">
        <v>1125</v>
      </c>
      <c r="G1123" s="118">
        <v>130</v>
      </c>
      <c r="H1123" s="118">
        <v>7.8</v>
      </c>
      <c r="I1123" s="118">
        <v>12.5</v>
      </c>
      <c r="J1123" s="119" t="s">
        <v>26</v>
      </c>
      <c r="K1123" s="119" t="s">
        <v>26</v>
      </c>
      <c r="L1123" s="118">
        <v>0.2</v>
      </c>
      <c r="M1123" s="119" t="s">
        <v>26</v>
      </c>
      <c r="N1123" s="119" t="s">
        <v>26</v>
      </c>
      <c r="O1123" s="118">
        <v>2.6</v>
      </c>
      <c r="P1123" s="118">
        <v>0.2</v>
      </c>
      <c r="Q1123" s="118">
        <v>1.05</v>
      </c>
      <c r="R1123" s="119" t="s">
        <v>26</v>
      </c>
      <c r="S1123" s="120" t="s">
        <v>26</v>
      </c>
      <c r="T1123" s="121" t="s">
        <v>26</v>
      </c>
      <c r="U1123" s="89">
        <v>246</v>
      </c>
      <c r="V1123" s="126" t="s">
        <v>26</v>
      </c>
      <c r="AC1123" s="33"/>
      <c r="AD1123" s="33"/>
      <c r="AE1123" s="33"/>
    </row>
    <row r="1124" spans="1:31">
      <c r="A1124" s="18" t="s">
        <v>1115</v>
      </c>
      <c r="B1124" s="8" t="s">
        <v>68</v>
      </c>
      <c r="C1124" s="8" t="s">
        <v>22</v>
      </c>
      <c r="D1124" s="8" t="s">
        <v>1015</v>
      </c>
      <c r="E1124" s="25" t="s">
        <v>29</v>
      </c>
      <c r="F1124" s="16" t="s">
        <v>1126</v>
      </c>
      <c r="G1124" s="118">
        <v>59</v>
      </c>
      <c r="H1124" s="119" t="s">
        <v>26</v>
      </c>
      <c r="I1124" s="118">
        <v>19.3</v>
      </c>
      <c r="J1124" s="118">
        <v>2.8</v>
      </c>
      <c r="K1124" s="119" t="s">
        <v>26</v>
      </c>
      <c r="L1124" s="118">
        <v>0.6</v>
      </c>
      <c r="M1124" s="119" t="s">
        <v>26</v>
      </c>
      <c r="N1124" s="119" t="s">
        <v>26</v>
      </c>
      <c r="O1124" s="118">
        <v>2.7</v>
      </c>
      <c r="P1124" s="119" t="s">
        <v>26</v>
      </c>
      <c r="Q1124" s="118">
        <v>1.7</v>
      </c>
      <c r="R1124" s="119" t="s">
        <v>26</v>
      </c>
      <c r="S1124" s="120" t="s">
        <v>26</v>
      </c>
      <c r="T1124" s="121" t="s">
        <v>26</v>
      </c>
      <c r="U1124" s="89">
        <v>1068</v>
      </c>
      <c r="V1124" s="126" t="s">
        <v>26</v>
      </c>
      <c r="AC1124" s="33"/>
      <c r="AD1124" s="33"/>
      <c r="AE1124" s="33"/>
    </row>
    <row r="1125" spans="1:31">
      <c r="A1125" s="18" t="s">
        <v>1115</v>
      </c>
      <c r="B1125" s="8" t="s">
        <v>68</v>
      </c>
      <c r="C1125" s="8" t="s">
        <v>22</v>
      </c>
      <c r="D1125" s="8" t="s">
        <v>1015</v>
      </c>
      <c r="E1125" s="25" t="s">
        <v>31</v>
      </c>
      <c r="F1125" s="16" t="s">
        <v>1124</v>
      </c>
      <c r="G1125" s="118">
        <v>20</v>
      </c>
      <c r="H1125" s="118">
        <v>10.9</v>
      </c>
      <c r="I1125" s="118">
        <v>13.1</v>
      </c>
      <c r="J1125" s="118">
        <v>5.0999999999999996</v>
      </c>
      <c r="K1125" s="119" t="s">
        <v>26</v>
      </c>
      <c r="L1125" s="119" t="s">
        <v>26</v>
      </c>
      <c r="M1125" s="119" t="s">
        <v>26</v>
      </c>
      <c r="N1125" s="119" t="s">
        <v>26</v>
      </c>
      <c r="O1125" s="118">
        <v>4.5</v>
      </c>
      <c r="P1125" s="119" t="s">
        <v>26</v>
      </c>
      <c r="Q1125" s="119" t="s">
        <v>26</v>
      </c>
      <c r="R1125" s="119" t="s">
        <v>26</v>
      </c>
      <c r="S1125" s="127">
        <v>1</v>
      </c>
      <c r="T1125" s="121" t="s">
        <v>26</v>
      </c>
      <c r="U1125" s="89">
        <v>502</v>
      </c>
      <c r="V1125" s="126" t="s">
        <v>26</v>
      </c>
      <c r="AC1125" s="33"/>
      <c r="AD1125" s="33"/>
      <c r="AE1125" s="33"/>
    </row>
    <row r="1126" spans="1:31">
      <c r="A1126" s="18" t="s">
        <v>1127</v>
      </c>
      <c r="B1126" s="8" t="s">
        <v>981</v>
      </c>
      <c r="C1126" s="8" t="s">
        <v>22</v>
      </c>
      <c r="D1126" s="8" t="s">
        <v>955</v>
      </c>
      <c r="E1126" s="25" t="s">
        <v>24</v>
      </c>
      <c r="F1126" s="16" t="s">
        <v>1128</v>
      </c>
      <c r="G1126" s="118">
        <v>270</v>
      </c>
      <c r="H1126" s="118">
        <v>5.5</v>
      </c>
      <c r="I1126" s="119" t="s">
        <v>26</v>
      </c>
      <c r="J1126" s="119" t="s">
        <v>26</v>
      </c>
      <c r="K1126" s="119" t="s">
        <v>26</v>
      </c>
      <c r="L1126" s="118">
        <v>0.3</v>
      </c>
      <c r="M1126" s="119" t="s">
        <v>26</v>
      </c>
      <c r="N1126" s="119" t="s">
        <v>26</v>
      </c>
      <c r="O1126" s="118">
        <v>1.3</v>
      </c>
      <c r="P1126" s="118">
        <v>0.8</v>
      </c>
      <c r="Q1126" s="118">
        <v>4.5</v>
      </c>
      <c r="R1126" s="118">
        <v>1.4</v>
      </c>
      <c r="S1126" s="127">
        <v>1.1000000000000001</v>
      </c>
      <c r="T1126" s="121" t="s">
        <v>26</v>
      </c>
      <c r="U1126" s="123" t="s">
        <v>26</v>
      </c>
      <c r="V1126" s="89">
        <v>50</v>
      </c>
      <c r="AC1126" s="33"/>
      <c r="AD1126" s="33"/>
      <c r="AE1126" s="33"/>
    </row>
    <row r="1127" spans="1:31">
      <c r="A1127" s="18" t="s">
        <v>1127</v>
      </c>
      <c r="B1127" s="8" t="s">
        <v>981</v>
      </c>
      <c r="C1127" s="8" t="s">
        <v>22</v>
      </c>
      <c r="D1127" s="8" t="s">
        <v>955</v>
      </c>
      <c r="E1127" s="25" t="s">
        <v>27</v>
      </c>
      <c r="F1127" s="16" t="s">
        <v>1129</v>
      </c>
      <c r="G1127" s="118">
        <v>118</v>
      </c>
      <c r="H1127" s="118">
        <v>19.5</v>
      </c>
      <c r="I1127" s="118">
        <v>3</v>
      </c>
      <c r="J1127" s="118">
        <v>0.8</v>
      </c>
      <c r="K1127" s="118">
        <v>1.2</v>
      </c>
      <c r="L1127" s="119" t="s">
        <v>26</v>
      </c>
      <c r="M1127" s="119" t="s">
        <v>26</v>
      </c>
      <c r="N1127" s="119" t="s">
        <v>26</v>
      </c>
      <c r="O1127" s="118">
        <v>2.8</v>
      </c>
      <c r="P1127" s="118">
        <v>1.5</v>
      </c>
      <c r="Q1127" s="118">
        <v>0.6</v>
      </c>
      <c r="R1127" s="118">
        <v>0.5</v>
      </c>
      <c r="S1127" s="127">
        <v>1.2</v>
      </c>
      <c r="T1127" s="121" t="s">
        <v>26</v>
      </c>
      <c r="U1127" s="130">
        <v>35</v>
      </c>
      <c r="V1127" s="89">
        <v>231</v>
      </c>
      <c r="AC1127" s="33"/>
      <c r="AD1127" s="33"/>
      <c r="AE1127" s="33"/>
    </row>
    <row r="1128" spans="1:31">
      <c r="A1128" s="18" t="s">
        <v>1127</v>
      </c>
      <c r="B1128" s="8" t="s">
        <v>981</v>
      </c>
      <c r="C1128" s="8" t="s">
        <v>22</v>
      </c>
      <c r="D1128" s="8" t="s">
        <v>955</v>
      </c>
      <c r="E1128" s="25" t="s">
        <v>29</v>
      </c>
      <c r="F1128" s="16" t="s">
        <v>1001</v>
      </c>
      <c r="G1128" s="118">
        <v>40</v>
      </c>
      <c r="H1128" s="118">
        <v>6.5</v>
      </c>
      <c r="I1128" s="118">
        <v>3.8</v>
      </c>
      <c r="J1128" s="118">
        <v>1.5</v>
      </c>
      <c r="K1128" s="118">
        <v>2</v>
      </c>
      <c r="L1128" s="119" t="s">
        <v>26</v>
      </c>
      <c r="M1128" s="119" t="s">
        <v>26</v>
      </c>
      <c r="N1128" s="119" t="s">
        <v>26</v>
      </c>
      <c r="O1128" s="118">
        <v>2.8</v>
      </c>
      <c r="P1128" s="118">
        <v>2.4</v>
      </c>
      <c r="Q1128" s="119" t="s">
        <v>26</v>
      </c>
      <c r="R1128" s="118">
        <v>1.2</v>
      </c>
      <c r="S1128" s="127">
        <v>2</v>
      </c>
      <c r="T1128" s="121" t="s">
        <v>26</v>
      </c>
      <c r="U1128" s="130">
        <v>61</v>
      </c>
      <c r="V1128" s="89">
        <v>24</v>
      </c>
      <c r="AC1128" s="33"/>
      <c r="AD1128" s="33"/>
      <c r="AE1128" s="33"/>
    </row>
    <row r="1129" spans="1:31">
      <c r="A1129" s="18" t="s">
        <v>1127</v>
      </c>
      <c r="B1129" s="8" t="s">
        <v>981</v>
      </c>
      <c r="C1129" s="8" t="s">
        <v>22</v>
      </c>
      <c r="D1129" s="8" t="s">
        <v>955</v>
      </c>
      <c r="E1129" s="25" t="s">
        <v>31</v>
      </c>
      <c r="F1129" s="16" t="s">
        <v>1007</v>
      </c>
      <c r="G1129" s="118">
        <v>22</v>
      </c>
      <c r="H1129" s="119" t="s">
        <v>26</v>
      </c>
      <c r="I1129" s="118">
        <v>4.0999999999999996</v>
      </c>
      <c r="J1129" s="118">
        <v>5.3</v>
      </c>
      <c r="K1129" s="118">
        <v>1.5</v>
      </c>
      <c r="L1129" s="118">
        <v>0.4</v>
      </c>
      <c r="M1129" s="119" t="s">
        <v>26</v>
      </c>
      <c r="N1129" s="119" t="s">
        <v>26</v>
      </c>
      <c r="O1129" s="118">
        <v>1.5</v>
      </c>
      <c r="P1129" s="118">
        <v>1.9</v>
      </c>
      <c r="Q1129" s="119" t="s">
        <v>26</v>
      </c>
      <c r="R1129" s="119" t="s">
        <v>26</v>
      </c>
      <c r="S1129" s="127">
        <v>1.8</v>
      </c>
      <c r="T1129" s="121" t="s">
        <v>26</v>
      </c>
      <c r="U1129" s="130">
        <v>64</v>
      </c>
      <c r="V1129" s="89">
        <v>10</v>
      </c>
      <c r="AC1129" s="33"/>
      <c r="AD1129" s="33"/>
      <c r="AE1129" s="33"/>
    </row>
    <row r="1130" spans="1:31">
      <c r="A1130" s="18" t="s">
        <v>1127</v>
      </c>
      <c r="B1130" s="8" t="s">
        <v>981</v>
      </c>
      <c r="C1130" s="8" t="s">
        <v>22</v>
      </c>
      <c r="D1130" s="8" t="s">
        <v>955</v>
      </c>
      <c r="E1130" s="25" t="s">
        <v>24</v>
      </c>
      <c r="F1130" s="16" t="s">
        <v>225</v>
      </c>
      <c r="G1130" s="118">
        <v>272</v>
      </c>
      <c r="H1130" s="118">
        <v>6</v>
      </c>
      <c r="I1130" s="119" t="s">
        <v>26</v>
      </c>
      <c r="J1130" s="119" t="s">
        <v>26</v>
      </c>
      <c r="K1130" s="119" t="s">
        <v>26</v>
      </c>
      <c r="L1130" s="118">
        <v>0.3</v>
      </c>
      <c r="M1130" s="119" t="s">
        <v>26</v>
      </c>
      <c r="N1130" s="119" t="s">
        <v>26</v>
      </c>
      <c r="O1130" s="118">
        <v>0.8</v>
      </c>
      <c r="P1130" s="118">
        <v>0.4</v>
      </c>
      <c r="Q1130" s="118">
        <v>3.8</v>
      </c>
      <c r="R1130" s="118">
        <v>1.1000000000000001</v>
      </c>
      <c r="S1130" s="127">
        <v>1.3</v>
      </c>
      <c r="T1130" s="121" t="s">
        <v>26</v>
      </c>
      <c r="U1130" s="123" t="s">
        <v>26</v>
      </c>
      <c r="V1130" s="126" t="s">
        <v>26</v>
      </c>
      <c r="AC1130" s="33"/>
      <c r="AD1130" s="33"/>
      <c r="AE1130" s="33"/>
    </row>
    <row r="1131" spans="1:31">
      <c r="A1131" s="18" t="s">
        <v>1127</v>
      </c>
      <c r="B1131" s="8" t="s">
        <v>981</v>
      </c>
      <c r="C1131" s="8" t="s">
        <v>22</v>
      </c>
      <c r="D1131" s="8" t="s">
        <v>955</v>
      </c>
      <c r="E1131" s="25" t="s">
        <v>27</v>
      </c>
      <c r="F1131" s="16" t="s">
        <v>1130</v>
      </c>
      <c r="G1131" s="118">
        <v>119</v>
      </c>
      <c r="H1131" s="118">
        <v>18.5</v>
      </c>
      <c r="I1131" s="118">
        <v>2.8</v>
      </c>
      <c r="J1131" s="118">
        <v>2</v>
      </c>
      <c r="K1131" s="118">
        <v>0.6</v>
      </c>
      <c r="L1131" s="119" t="s">
        <v>26</v>
      </c>
      <c r="M1131" s="119" t="s">
        <v>26</v>
      </c>
      <c r="N1131" s="119" t="s">
        <v>26</v>
      </c>
      <c r="O1131" s="118">
        <v>1.3</v>
      </c>
      <c r="P1131" s="118">
        <v>0.9</v>
      </c>
      <c r="Q1131" s="119" t="s">
        <v>26</v>
      </c>
      <c r="R1131" s="118">
        <v>1.4</v>
      </c>
      <c r="S1131" s="127">
        <v>1</v>
      </c>
      <c r="T1131" s="121" t="s">
        <v>26</v>
      </c>
      <c r="U1131" s="130">
        <v>117</v>
      </c>
      <c r="V1131" s="126" t="s">
        <v>26</v>
      </c>
      <c r="AC1131" s="33"/>
      <c r="AD1131" s="33"/>
      <c r="AE1131" s="33"/>
    </row>
    <row r="1132" spans="1:31">
      <c r="A1132" s="18" t="s">
        <v>1127</v>
      </c>
      <c r="B1132" s="8" t="s">
        <v>981</v>
      </c>
      <c r="C1132" s="8" t="s">
        <v>22</v>
      </c>
      <c r="D1132" s="8" t="s">
        <v>955</v>
      </c>
      <c r="E1132" s="25" t="s">
        <v>958</v>
      </c>
      <c r="F1132" s="8">
        <v>28</v>
      </c>
      <c r="G1132" s="118">
        <v>81</v>
      </c>
      <c r="H1132" s="118">
        <v>3.8</v>
      </c>
      <c r="I1132" s="118">
        <v>8.8000000000000007</v>
      </c>
      <c r="J1132" s="118">
        <v>1.5</v>
      </c>
      <c r="K1132" s="118">
        <v>1.5</v>
      </c>
      <c r="L1132" s="119" t="s">
        <v>26</v>
      </c>
      <c r="M1132" s="119" t="s">
        <v>26</v>
      </c>
      <c r="N1132" s="119" t="s">
        <v>26</v>
      </c>
      <c r="O1132" s="118">
        <v>1.2</v>
      </c>
      <c r="P1132" s="118">
        <v>0.8</v>
      </c>
      <c r="Q1132" s="119" t="s">
        <v>26</v>
      </c>
      <c r="R1132" s="118">
        <v>0.5</v>
      </c>
      <c r="S1132" s="127">
        <v>0.8</v>
      </c>
      <c r="T1132" s="121" t="s">
        <v>26</v>
      </c>
      <c r="U1132" s="130">
        <v>28</v>
      </c>
      <c r="V1132" s="89">
        <v>14</v>
      </c>
      <c r="AC1132" s="33"/>
      <c r="AD1132" s="33"/>
      <c r="AE1132" s="33"/>
    </row>
    <row r="1133" spans="1:31">
      <c r="A1133" s="18" t="s">
        <v>1127</v>
      </c>
      <c r="B1133" s="8" t="s">
        <v>981</v>
      </c>
      <c r="C1133" s="8" t="s">
        <v>22</v>
      </c>
      <c r="D1133" s="8" t="s">
        <v>955</v>
      </c>
      <c r="E1133" s="25" t="s">
        <v>29</v>
      </c>
      <c r="F1133" s="8">
        <v>79</v>
      </c>
      <c r="G1133" s="118">
        <v>45</v>
      </c>
      <c r="H1133" s="118">
        <v>3.1</v>
      </c>
      <c r="I1133" s="118">
        <v>6.4</v>
      </c>
      <c r="J1133" s="118">
        <v>3.4</v>
      </c>
      <c r="K1133" s="118">
        <v>1.2</v>
      </c>
      <c r="L1133" s="118">
        <v>0.6</v>
      </c>
      <c r="M1133" s="119" t="s">
        <v>26</v>
      </c>
      <c r="N1133" s="119" t="s">
        <v>26</v>
      </c>
      <c r="O1133" s="118">
        <v>1.4</v>
      </c>
      <c r="P1133" s="118">
        <v>1.2</v>
      </c>
      <c r="Q1133" s="119" t="s">
        <v>26</v>
      </c>
      <c r="R1133" s="118">
        <v>0.7</v>
      </c>
      <c r="S1133" s="127">
        <v>1.2</v>
      </c>
      <c r="T1133" s="121" t="s">
        <v>26</v>
      </c>
      <c r="U1133" s="130">
        <v>79</v>
      </c>
      <c r="V1133" s="126" t="s">
        <v>26</v>
      </c>
      <c r="AC1133" s="33"/>
      <c r="AD1133" s="33"/>
      <c r="AE1133" s="33"/>
    </row>
    <row r="1134" spans="1:31">
      <c r="A1134" s="18" t="s">
        <v>1127</v>
      </c>
      <c r="B1134" s="8" t="s">
        <v>981</v>
      </c>
      <c r="C1134" s="8" t="s">
        <v>22</v>
      </c>
      <c r="D1134" s="8" t="s">
        <v>955</v>
      </c>
      <c r="E1134" s="25" t="s">
        <v>31</v>
      </c>
      <c r="F1134" s="8">
        <v>70</v>
      </c>
      <c r="G1134" s="118">
        <v>20</v>
      </c>
      <c r="H1134" s="119" t="s">
        <v>26</v>
      </c>
      <c r="I1134" s="118">
        <v>5.6</v>
      </c>
      <c r="J1134" s="118">
        <v>9.6</v>
      </c>
      <c r="K1134" s="118">
        <v>0.8</v>
      </c>
      <c r="L1134" s="119" t="s">
        <v>26</v>
      </c>
      <c r="M1134" s="119" t="s">
        <v>26</v>
      </c>
      <c r="N1134" s="119" t="s">
        <v>26</v>
      </c>
      <c r="O1134" s="118">
        <v>1.8</v>
      </c>
      <c r="P1134" s="118">
        <v>1.5</v>
      </c>
      <c r="Q1134" s="119" t="s">
        <v>26</v>
      </c>
      <c r="R1134" s="119" t="s">
        <v>26</v>
      </c>
      <c r="S1134" s="120" t="s">
        <v>26</v>
      </c>
      <c r="T1134" s="121" t="s">
        <v>26</v>
      </c>
      <c r="U1134" s="130">
        <v>10</v>
      </c>
      <c r="V1134" s="126" t="s">
        <v>26</v>
      </c>
      <c r="AC1134" s="33"/>
      <c r="AD1134" s="33"/>
      <c r="AE1134" s="33"/>
    </row>
    <row r="1135" spans="1:31">
      <c r="A1135" s="18" t="s">
        <v>1127</v>
      </c>
      <c r="B1135" s="8" t="s">
        <v>21</v>
      </c>
      <c r="C1135" s="8" t="s">
        <v>22</v>
      </c>
      <c r="D1135" s="8" t="s">
        <v>1015</v>
      </c>
      <c r="E1135" s="25" t="s">
        <v>27</v>
      </c>
      <c r="F1135" s="16" t="s">
        <v>1131</v>
      </c>
      <c r="G1135" s="118">
        <v>115</v>
      </c>
      <c r="H1135" s="118">
        <v>36.5</v>
      </c>
      <c r="I1135" s="118">
        <v>18.100000000000001</v>
      </c>
      <c r="J1135" s="118">
        <v>0.7</v>
      </c>
      <c r="K1135" s="119" t="s">
        <v>26</v>
      </c>
      <c r="L1135" s="119" t="s">
        <v>26</v>
      </c>
      <c r="M1135" s="119" t="s">
        <v>26</v>
      </c>
      <c r="N1135" s="119" t="s">
        <v>26</v>
      </c>
      <c r="O1135" s="118">
        <v>0.8</v>
      </c>
      <c r="P1135" s="118">
        <v>0.4</v>
      </c>
      <c r="Q1135" s="118">
        <v>1.4</v>
      </c>
      <c r="R1135" s="119" t="s">
        <v>26</v>
      </c>
      <c r="S1135" s="127">
        <v>0.9</v>
      </c>
      <c r="T1135" s="128">
        <v>2</v>
      </c>
      <c r="U1135" s="123" t="s">
        <v>26</v>
      </c>
      <c r="V1135" s="126" t="s">
        <v>26</v>
      </c>
      <c r="AC1135" s="33"/>
      <c r="AD1135" s="33"/>
      <c r="AE1135" s="33"/>
    </row>
    <row r="1136" spans="1:31">
      <c r="A1136" s="18" t="s">
        <v>1127</v>
      </c>
      <c r="B1136" s="8" t="s">
        <v>21</v>
      </c>
      <c r="C1136" s="8" t="s">
        <v>22</v>
      </c>
      <c r="D1136" s="8" t="s">
        <v>1015</v>
      </c>
      <c r="E1136" s="25" t="s">
        <v>29</v>
      </c>
      <c r="F1136" s="16" t="s">
        <v>1132</v>
      </c>
      <c r="G1136" s="118">
        <v>53</v>
      </c>
      <c r="H1136" s="118">
        <v>1.5</v>
      </c>
      <c r="I1136" s="118">
        <v>18.8</v>
      </c>
      <c r="J1136" s="118">
        <v>4.5999999999999996</v>
      </c>
      <c r="K1136" s="119" t="s">
        <v>26</v>
      </c>
      <c r="L1136" s="119" t="s">
        <v>26</v>
      </c>
      <c r="M1136" s="119" t="s">
        <v>26</v>
      </c>
      <c r="N1136" s="119" t="s">
        <v>26</v>
      </c>
      <c r="O1136" s="125" t="s">
        <v>26</v>
      </c>
      <c r="P1136" s="118">
        <v>0.5</v>
      </c>
      <c r="Q1136" s="119" t="s">
        <v>26</v>
      </c>
      <c r="R1136" s="119" t="s">
        <v>26</v>
      </c>
      <c r="S1136" s="127">
        <v>0.5</v>
      </c>
      <c r="T1136" s="121" t="s">
        <v>26</v>
      </c>
      <c r="U1136" s="133">
        <v>1502</v>
      </c>
      <c r="V1136" s="126" t="s">
        <v>26</v>
      </c>
      <c r="AC1136" s="33"/>
      <c r="AD1136" s="33"/>
      <c r="AE1136" s="33"/>
    </row>
    <row r="1137" spans="1:31">
      <c r="A1137" s="18" t="s">
        <v>1127</v>
      </c>
      <c r="B1137" s="8" t="s">
        <v>21</v>
      </c>
      <c r="C1137" s="8" t="s">
        <v>22</v>
      </c>
      <c r="D1137" s="8" t="s">
        <v>1015</v>
      </c>
      <c r="E1137" s="25" t="s">
        <v>31</v>
      </c>
      <c r="F1137" s="16" t="s">
        <v>1133</v>
      </c>
      <c r="G1137" s="118">
        <v>23</v>
      </c>
      <c r="H1137" s="119" t="s">
        <v>26</v>
      </c>
      <c r="I1137" s="118">
        <v>10.5</v>
      </c>
      <c r="J1137" s="118">
        <v>11.5</v>
      </c>
      <c r="K1137" s="118">
        <v>0.5</v>
      </c>
      <c r="L1137" s="119" t="s">
        <v>26</v>
      </c>
      <c r="M1137" s="119" t="s">
        <v>26</v>
      </c>
      <c r="N1137" s="119" t="s">
        <v>26</v>
      </c>
      <c r="O1137" s="125" t="s">
        <v>26</v>
      </c>
      <c r="P1137" s="119" t="s">
        <v>26</v>
      </c>
      <c r="Q1137" s="119" t="s">
        <v>26</v>
      </c>
      <c r="R1137" s="119" t="s">
        <v>26</v>
      </c>
      <c r="S1137" s="127">
        <v>1.1000000000000001</v>
      </c>
      <c r="T1137" s="121" t="s">
        <v>26</v>
      </c>
      <c r="U1137" s="133">
        <v>367</v>
      </c>
      <c r="V1137" s="126" t="s">
        <v>26</v>
      </c>
      <c r="AC1137" s="33"/>
      <c r="AD1137" s="33"/>
      <c r="AE1137" s="33"/>
    </row>
    <row r="1138" spans="1:31">
      <c r="A1138" s="18" t="s">
        <v>1134</v>
      </c>
      <c r="B1138" s="8" t="s">
        <v>68</v>
      </c>
      <c r="C1138" s="8" t="s">
        <v>22</v>
      </c>
      <c r="D1138" s="8" t="s">
        <v>1015</v>
      </c>
      <c r="E1138" s="23" t="s">
        <v>27</v>
      </c>
      <c r="F1138" s="21" t="s">
        <v>1135</v>
      </c>
      <c r="G1138" s="139">
        <v>114</v>
      </c>
      <c r="H1138" s="118">
        <v>40.799999999999997</v>
      </c>
      <c r="I1138" s="118">
        <v>17</v>
      </c>
      <c r="J1138" s="118">
        <v>0.9</v>
      </c>
      <c r="K1138" s="119" t="s">
        <v>26</v>
      </c>
      <c r="L1138" s="118">
        <v>0.4</v>
      </c>
      <c r="M1138" s="119" t="s">
        <v>26</v>
      </c>
      <c r="N1138" s="119" t="s">
        <v>26</v>
      </c>
      <c r="O1138" s="118">
        <v>2.6</v>
      </c>
      <c r="P1138" s="119" t="s">
        <v>26</v>
      </c>
      <c r="Q1138" s="118">
        <v>5.6</v>
      </c>
      <c r="R1138" s="118">
        <v>1.4</v>
      </c>
      <c r="S1138" s="127">
        <v>1.4</v>
      </c>
      <c r="T1138" s="121" t="s">
        <v>26</v>
      </c>
      <c r="U1138" s="123" t="s">
        <v>26</v>
      </c>
      <c r="V1138" s="89">
        <v>403</v>
      </c>
      <c r="AC1138" s="33"/>
      <c r="AD1138" s="33"/>
      <c r="AE1138" s="33"/>
    </row>
    <row r="1139" spans="1:31">
      <c r="A1139" s="18" t="s">
        <v>1134</v>
      </c>
      <c r="B1139" s="8" t="s">
        <v>68</v>
      </c>
      <c r="C1139" s="8" t="s">
        <v>22</v>
      </c>
      <c r="D1139" s="8" t="s">
        <v>1015</v>
      </c>
      <c r="E1139" s="23" t="s">
        <v>29</v>
      </c>
      <c r="F1139" s="21" t="s">
        <v>1136</v>
      </c>
      <c r="G1139" s="139">
        <v>50</v>
      </c>
      <c r="H1139" s="118">
        <v>5.6</v>
      </c>
      <c r="I1139" s="118">
        <v>13.2</v>
      </c>
      <c r="J1139" s="118">
        <v>5.24</v>
      </c>
      <c r="K1139" s="118">
        <v>0.5</v>
      </c>
      <c r="L1139" s="118">
        <v>0.5</v>
      </c>
      <c r="M1139" s="119" t="s">
        <v>26</v>
      </c>
      <c r="N1139" s="119" t="s">
        <v>26</v>
      </c>
      <c r="O1139" s="118">
        <v>4.5999999999999996</v>
      </c>
      <c r="P1139" s="119" t="s">
        <v>26</v>
      </c>
      <c r="Q1139" s="118">
        <v>4.2</v>
      </c>
      <c r="R1139" s="118">
        <v>0.8</v>
      </c>
      <c r="S1139" s="127">
        <v>1.8</v>
      </c>
      <c r="T1139" s="121" t="s">
        <v>26</v>
      </c>
      <c r="U1139" s="123" t="s">
        <v>26</v>
      </c>
      <c r="V1139" s="89">
        <v>160</v>
      </c>
      <c r="AC1139" s="33"/>
      <c r="AD1139" s="33"/>
      <c r="AE1139" s="33"/>
    </row>
    <row r="1140" spans="1:31">
      <c r="A1140" s="18" t="s">
        <v>1134</v>
      </c>
      <c r="B1140" s="8" t="s">
        <v>68</v>
      </c>
      <c r="C1140" s="8" t="s">
        <v>22</v>
      </c>
      <c r="D1140" s="8" t="s">
        <v>1015</v>
      </c>
      <c r="E1140" s="23" t="s">
        <v>31</v>
      </c>
      <c r="F1140" s="21" t="s">
        <v>1137</v>
      </c>
      <c r="G1140" s="139">
        <v>21</v>
      </c>
      <c r="H1140" s="119" t="s">
        <v>26</v>
      </c>
      <c r="I1140" s="118">
        <v>14.1</v>
      </c>
      <c r="J1140" s="118">
        <v>16.7</v>
      </c>
      <c r="K1140" s="118">
        <v>0.6</v>
      </c>
      <c r="L1140" s="119" t="s">
        <v>26</v>
      </c>
      <c r="M1140" s="119" t="s">
        <v>26</v>
      </c>
      <c r="N1140" s="119" t="s">
        <v>26</v>
      </c>
      <c r="O1140" s="118">
        <v>3.6</v>
      </c>
      <c r="P1140" s="119" t="s">
        <v>26</v>
      </c>
      <c r="Q1140" s="119" t="s">
        <v>26</v>
      </c>
      <c r="R1140" s="119" t="s">
        <v>26</v>
      </c>
      <c r="S1140" s="127">
        <v>2.2000000000000002</v>
      </c>
      <c r="T1140" s="121" t="s">
        <v>26</v>
      </c>
      <c r="U1140" s="123" t="s">
        <v>26</v>
      </c>
      <c r="V1140" s="89">
        <v>25</v>
      </c>
      <c r="AC1140" s="33"/>
      <c r="AD1140" s="33"/>
      <c r="AE1140" s="33"/>
    </row>
    <row r="1141" spans="1:31">
      <c r="A1141" s="18" t="s">
        <v>1134</v>
      </c>
      <c r="B1141" s="8" t="s">
        <v>623</v>
      </c>
      <c r="C1141" s="8" t="s">
        <v>22</v>
      </c>
      <c r="D1141" s="8" t="s">
        <v>1015</v>
      </c>
      <c r="E1141" s="23" t="s">
        <v>27</v>
      </c>
      <c r="F1141" s="21" t="s">
        <v>1138</v>
      </c>
      <c r="G1141" s="139">
        <v>119</v>
      </c>
      <c r="H1141" s="118">
        <v>30.5</v>
      </c>
      <c r="I1141" s="118">
        <v>18.899999999999999</v>
      </c>
      <c r="J1141" s="118">
        <v>0.8</v>
      </c>
      <c r="K1141" s="119" t="s">
        <v>26</v>
      </c>
      <c r="L1141" s="118">
        <v>0.4</v>
      </c>
      <c r="M1141" s="119" t="s">
        <v>26</v>
      </c>
      <c r="N1141" s="119" t="s">
        <v>26</v>
      </c>
      <c r="O1141" s="118">
        <v>3.2</v>
      </c>
      <c r="P1141" s="119" t="s">
        <v>26</v>
      </c>
      <c r="Q1141" s="118">
        <v>4.2</v>
      </c>
      <c r="R1141" s="118">
        <v>1.5</v>
      </c>
      <c r="S1141" s="127">
        <v>1.8</v>
      </c>
      <c r="T1141" s="121" t="s">
        <v>26</v>
      </c>
      <c r="U1141" s="123" t="s">
        <v>26</v>
      </c>
      <c r="V1141" s="126" t="s">
        <v>26</v>
      </c>
      <c r="AC1141" s="33"/>
      <c r="AD1141" s="33"/>
      <c r="AE1141" s="33"/>
    </row>
    <row r="1142" spans="1:31">
      <c r="A1142" s="18" t="s">
        <v>1134</v>
      </c>
      <c r="B1142" s="8" t="s">
        <v>623</v>
      </c>
      <c r="C1142" s="8" t="s">
        <v>22</v>
      </c>
      <c r="D1142" s="8" t="s">
        <v>1015</v>
      </c>
      <c r="E1142" s="23" t="s">
        <v>29</v>
      </c>
      <c r="F1142" s="21" t="s">
        <v>200</v>
      </c>
      <c r="G1142" s="139">
        <v>51</v>
      </c>
      <c r="H1142" s="118">
        <v>4.9000000000000004</v>
      </c>
      <c r="I1142" s="118">
        <v>16.7</v>
      </c>
      <c r="J1142" s="118">
        <v>5.7</v>
      </c>
      <c r="K1142" s="118">
        <v>0.6</v>
      </c>
      <c r="L1142" s="118">
        <v>0.5</v>
      </c>
      <c r="M1142" s="119" t="s">
        <v>26</v>
      </c>
      <c r="N1142" s="119" t="s">
        <v>26</v>
      </c>
      <c r="O1142" s="118">
        <v>3</v>
      </c>
      <c r="P1142" s="119" t="s">
        <v>26</v>
      </c>
      <c r="Q1142" s="119" t="s">
        <v>26</v>
      </c>
      <c r="R1142" s="118">
        <v>0.9</v>
      </c>
      <c r="S1142" s="127">
        <v>2.5</v>
      </c>
      <c r="T1142" s="121" t="s">
        <v>26</v>
      </c>
      <c r="U1142" s="123" t="s">
        <v>26</v>
      </c>
      <c r="V1142" s="126" t="s">
        <v>26</v>
      </c>
      <c r="AC1142" s="33"/>
      <c r="AD1142" s="33"/>
      <c r="AE1142" s="33"/>
    </row>
    <row r="1143" spans="1:31">
      <c r="A1143" s="18" t="s">
        <v>1134</v>
      </c>
      <c r="B1143" s="8" t="s">
        <v>623</v>
      </c>
      <c r="C1143" s="8" t="s">
        <v>22</v>
      </c>
      <c r="D1143" s="8" t="s">
        <v>1015</v>
      </c>
      <c r="E1143" s="23" t="s">
        <v>31</v>
      </c>
      <c r="F1143" s="21" t="s">
        <v>1139</v>
      </c>
      <c r="G1143" s="139">
        <v>20</v>
      </c>
      <c r="H1143" s="119" t="s">
        <v>26</v>
      </c>
      <c r="I1143" s="118">
        <v>8.5</v>
      </c>
      <c r="J1143" s="118">
        <v>29.1</v>
      </c>
      <c r="K1143" s="118">
        <v>0.8</v>
      </c>
      <c r="L1143" s="119" t="s">
        <v>26</v>
      </c>
      <c r="M1143" s="119" t="s">
        <v>26</v>
      </c>
      <c r="N1143" s="119" t="s">
        <v>26</v>
      </c>
      <c r="O1143" s="118">
        <v>2.4</v>
      </c>
      <c r="P1143" s="119" t="s">
        <v>26</v>
      </c>
      <c r="Q1143" s="119" t="s">
        <v>26</v>
      </c>
      <c r="R1143" s="118">
        <v>0.5</v>
      </c>
      <c r="S1143" s="127">
        <v>2.9</v>
      </c>
      <c r="T1143" s="121" t="s">
        <v>26</v>
      </c>
      <c r="U1143" s="123" t="s">
        <v>26</v>
      </c>
      <c r="V1143" s="126" t="s">
        <v>26</v>
      </c>
      <c r="AC1143" s="33"/>
      <c r="AD1143" s="33"/>
      <c r="AE1143" s="33"/>
    </row>
    <row r="1144" spans="1:31">
      <c r="A1144" s="18" t="s">
        <v>1134</v>
      </c>
      <c r="B1144" s="8" t="s">
        <v>21</v>
      </c>
      <c r="C1144" s="8" t="s">
        <v>22</v>
      </c>
      <c r="D1144" s="8" t="s">
        <v>1015</v>
      </c>
      <c r="E1144" s="23" t="s">
        <v>27</v>
      </c>
      <c r="F1144" s="21" t="s">
        <v>1140</v>
      </c>
      <c r="G1144" s="139">
        <v>127</v>
      </c>
      <c r="H1144" s="118">
        <v>28.5</v>
      </c>
      <c r="I1144" s="118">
        <v>25.9</v>
      </c>
      <c r="J1144" s="118">
        <v>0.8</v>
      </c>
      <c r="K1144" s="119" t="s">
        <v>26</v>
      </c>
      <c r="L1144" s="118">
        <v>0.5</v>
      </c>
      <c r="M1144" s="118">
        <v>0.8</v>
      </c>
      <c r="N1144" s="119" t="s">
        <v>26</v>
      </c>
      <c r="O1144" s="118">
        <v>2.2000000000000002</v>
      </c>
      <c r="P1144" s="119" t="s">
        <v>26</v>
      </c>
      <c r="Q1144" s="118">
        <v>3.5</v>
      </c>
      <c r="R1144" s="118">
        <v>1.1000000000000001</v>
      </c>
      <c r="S1144" s="127">
        <v>2</v>
      </c>
      <c r="T1144" s="121" t="s">
        <v>26</v>
      </c>
      <c r="U1144" s="123" t="s">
        <v>26</v>
      </c>
      <c r="V1144" s="126" t="s">
        <v>26</v>
      </c>
      <c r="AC1144" s="33"/>
      <c r="AD1144" s="33"/>
      <c r="AE1144" s="33"/>
    </row>
    <row r="1145" spans="1:31">
      <c r="A1145" s="18" t="s">
        <v>1134</v>
      </c>
      <c r="B1145" s="8" t="s">
        <v>21</v>
      </c>
      <c r="C1145" s="8" t="s">
        <v>22</v>
      </c>
      <c r="D1145" s="8" t="s">
        <v>1015</v>
      </c>
      <c r="E1145" s="23" t="s">
        <v>29</v>
      </c>
      <c r="F1145" s="21" t="s">
        <v>1141</v>
      </c>
      <c r="G1145" s="139">
        <v>52</v>
      </c>
      <c r="H1145" s="118">
        <v>3.8</v>
      </c>
      <c r="I1145" s="118">
        <v>17.5</v>
      </c>
      <c r="J1145" s="118">
        <v>4.5</v>
      </c>
      <c r="K1145" s="119" t="s">
        <v>26</v>
      </c>
      <c r="L1145" s="119" t="s">
        <v>26</v>
      </c>
      <c r="M1145" s="118">
        <v>0.8</v>
      </c>
      <c r="N1145" s="119" t="s">
        <v>26</v>
      </c>
      <c r="O1145" s="118">
        <v>2</v>
      </c>
      <c r="P1145" s="119" t="s">
        <v>26</v>
      </c>
      <c r="Q1145" s="119" t="s">
        <v>26</v>
      </c>
      <c r="R1145" s="118">
        <v>1.2</v>
      </c>
      <c r="S1145" s="127">
        <v>1.5</v>
      </c>
      <c r="T1145" s="121" t="s">
        <v>26</v>
      </c>
      <c r="U1145" s="123" t="s">
        <v>26</v>
      </c>
      <c r="V1145" s="126" t="s">
        <v>26</v>
      </c>
      <c r="AC1145" s="33"/>
      <c r="AD1145" s="33"/>
      <c r="AE1145" s="33"/>
    </row>
    <row r="1146" spans="1:31">
      <c r="A1146" s="18" t="s">
        <v>1134</v>
      </c>
      <c r="B1146" s="8" t="s">
        <v>21</v>
      </c>
      <c r="C1146" s="8" t="s">
        <v>22</v>
      </c>
      <c r="D1146" s="8" t="s">
        <v>1015</v>
      </c>
      <c r="E1146" s="23" t="s">
        <v>31</v>
      </c>
      <c r="F1146" s="21" t="s">
        <v>1142</v>
      </c>
      <c r="G1146" s="139">
        <v>25</v>
      </c>
      <c r="H1146" s="119" t="s">
        <v>26</v>
      </c>
      <c r="I1146" s="118">
        <v>23.1</v>
      </c>
      <c r="J1146" s="118">
        <v>21.4</v>
      </c>
      <c r="K1146" s="118">
        <v>0.5</v>
      </c>
      <c r="L1146" s="119" t="s">
        <v>26</v>
      </c>
      <c r="M1146" s="119" t="s">
        <v>26</v>
      </c>
      <c r="N1146" s="119" t="s">
        <v>26</v>
      </c>
      <c r="O1146" s="118">
        <v>1.4</v>
      </c>
      <c r="P1146" s="119" t="s">
        <v>26</v>
      </c>
      <c r="Q1146" s="119" t="s">
        <v>26</v>
      </c>
      <c r="R1146" s="119" t="s">
        <v>26</v>
      </c>
      <c r="S1146" s="127">
        <v>1.9</v>
      </c>
      <c r="T1146" s="121" t="s">
        <v>26</v>
      </c>
      <c r="U1146" s="123" t="s">
        <v>26</v>
      </c>
      <c r="V1146" s="126" t="s">
        <v>26</v>
      </c>
      <c r="AC1146" s="33"/>
      <c r="AD1146" s="33"/>
      <c r="AE1146" s="33"/>
    </row>
    <row r="1147" spans="1:31">
      <c r="A1147" s="18" t="s">
        <v>1134</v>
      </c>
      <c r="B1147" s="8" t="s">
        <v>119</v>
      </c>
      <c r="C1147" s="8" t="s">
        <v>22</v>
      </c>
      <c r="D1147" s="8" t="s">
        <v>1015</v>
      </c>
      <c r="E1147" s="23" t="s">
        <v>27</v>
      </c>
      <c r="F1147" s="21" t="s">
        <v>1143</v>
      </c>
      <c r="G1147" s="139">
        <v>125</v>
      </c>
      <c r="H1147" s="118">
        <v>37.200000000000003</v>
      </c>
      <c r="I1147" s="118">
        <v>19.100000000000001</v>
      </c>
      <c r="J1147" s="118">
        <v>0.7</v>
      </c>
      <c r="K1147" s="119" t="s">
        <v>26</v>
      </c>
      <c r="L1147" s="119" t="s">
        <v>26</v>
      </c>
      <c r="M1147" s="118">
        <v>0.6</v>
      </c>
      <c r="N1147" s="119" t="s">
        <v>26</v>
      </c>
      <c r="O1147" s="118">
        <v>1.8</v>
      </c>
      <c r="P1147" s="119" t="s">
        <v>26</v>
      </c>
      <c r="Q1147" s="118">
        <v>2.5</v>
      </c>
      <c r="R1147" s="118">
        <v>1.4</v>
      </c>
      <c r="S1147" s="127">
        <v>0.9</v>
      </c>
      <c r="T1147" s="121" t="s">
        <v>26</v>
      </c>
      <c r="U1147" s="123" t="s">
        <v>26</v>
      </c>
      <c r="V1147" s="126" t="s">
        <v>26</v>
      </c>
      <c r="AC1147" s="33"/>
      <c r="AD1147" s="33"/>
      <c r="AE1147" s="33"/>
    </row>
    <row r="1148" spans="1:31">
      <c r="A1148" s="18" t="s">
        <v>1134</v>
      </c>
      <c r="B1148" s="8" t="s">
        <v>119</v>
      </c>
      <c r="C1148" s="8" t="s">
        <v>22</v>
      </c>
      <c r="D1148" s="8" t="s">
        <v>1015</v>
      </c>
      <c r="E1148" s="23" t="s">
        <v>29</v>
      </c>
      <c r="F1148" s="21" t="s">
        <v>1144</v>
      </c>
      <c r="G1148" s="139">
        <v>53</v>
      </c>
      <c r="H1148" s="118">
        <v>2.4</v>
      </c>
      <c r="I1148" s="118">
        <v>18.5</v>
      </c>
      <c r="J1148" s="118">
        <v>3.7</v>
      </c>
      <c r="K1148" s="119" t="s">
        <v>26</v>
      </c>
      <c r="L1148" s="119" t="s">
        <v>26</v>
      </c>
      <c r="M1148" s="118">
        <v>2.8</v>
      </c>
      <c r="N1148" s="119" t="s">
        <v>26</v>
      </c>
      <c r="O1148" s="118">
        <v>2</v>
      </c>
      <c r="P1148" s="119" t="s">
        <v>26</v>
      </c>
      <c r="Q1148" s="118">
        <v>1.6</v>
      </c>
      <c r="R1148" s="118">
        <v>0.9</v>
      </c>
      <c r="S1148" s="127">
        <v>1.1000000000000001</v>
      </c>
      <c r="T1148" s="121" t="s">
        <v>26</v>
      </c>
      <c r="U1148" s="123" t="s">
        <v>26</v>
      </c>
      <c r="V1148" s="126" t="s">
        <v>26</v>
      </c>
      <c r="AC1148" s="33"/>
      <c r="AD1148" s="33"/>
      <c r="AE1148" s="33"/>
    </row>
    <row r="1149" spans="1:31">
      <c r="A1149" s="18" t="s">
        <v>1134</v>
      </c>
      <c r="B1149" s="8" t="s">
        <v>119</v>
      </c>
      <c r="C1149" s="8" t="s">
        <v>22</v>
      </c>
      <c r="D1149" s="8" t="s">
        <v>1015</v>
      </c>
      <c r="E1149" s="23" t="s">
        <v>31</v>
      </c>
      <c r="F1149" s="21" t="s">
        <v>1145</v>
      </c>
      <c r="G1149" s="139">
        <v>25</v>
      </c>
      <c r="H1149" s="119" t="s">
        <v>26</v>
      </c>
      <c r="I1149" s="118">
        <v>24.5</v>
      </c>
      <c r="J1149" s="118">
        <v>7.1</v>
      </c>
      <c r="K1149" s="119" t="s">
        <v>26</v>
      </c>
      <c r="L1149" s="119" t="s">
        <v>26</v>
      </c>
      <c r="M1149" s="118">
        <v>0.5</v>
      </c>
      <c r="N1149" s="119" t="s">
        <v>26</v>
      </c>
      <c r="O1149" s="118">
        <v>1.5</v>
      </c>
      <c r="P1149" s="119" t="s">
        <v>26</v>
      </c>
      <c r="Q1149" s="119" t="s">
        <v>26</v>
      </c>
      <c r="R1149" s="119" t="s">
        <v>26</v>
      </c>
      <c r="S1149" s="127">
        <v>1.4</v>
      </c>
      <c r="T1149" s="121" t="s">
        <v>26</v>
      </c>
      <c r="U1149" s="123" t="s">
        <v>26</v>
      </c>
      <c r="V1149" s="126" t="s">
        <v>26</v>
      </c>
      <c r="AC1149" s="33"/>
      <c r="AD1149" s="33"/>
      <c r="AE1149" s="33"/>
    </row>
    <row r="1150" spans="1:31">
      <c r="A1150" s="18" t="s">
        <v>1146</v>
      </c>
      <c r="B1150" s="8" t="s">
        <v>981</v>
      </c>
      <c r="C1150" s="8" t="s">
        <v>22</v>
      </c>
      <c r="D1150" s="8" t="s">
        <v>955</v>
      </c>
      <c r="E1150" s="23" t="s">
        <v>24</v>
      </c>
      <c r="F1150" s="21" t="s">
        <v>395</v>
      </c>
      <c r="G1150" s="139">
        <v>324</v>
      </c>
      <c r="H1150" s="118">
        <v>8.9</v>
      </c>
      <c r="I1150" s="119" t="s">
        <v>26</v>
      </c>
      <c r="J1150" s="119" t="s">
        <v>26</v>
      </c>
      <c r="K1150" s="118">
        <v>0.7</v>
      </c>
      <c r="L1150" s="119" t="s">
        <v>26</v>
      </c>
      <c r="M1150" s="119" t="s">
        <v>26</v>
      </c>
      <c r="N1150" s="119" t="s">
        <v>26</v>
      </c>
      <c r="O1150" s="118">
        <v>4.5999999999999996</v>
      </c>
      <c r="P1150" s="119" t="s">
        <v>26</v>
      </c>
      <c r="Q1150" s="119" t="s">
        <v>26</v>
      </c>
      <c r="R1150" s="118">
        <v>2.9</v>
      </c>
      <c r="S1150" s="120" t="s">
        <v>26</v>
      </c>
      <c r="T1150" s="121" t="s">
        <v>26</v>
      </c>
      <c r="U1150" s="123" t="s">
        <v>26</v>
      </c>
      <c r="V1150" s="89">
        <v>57</v>
      </c>
      <c r="AC1150" s="33"/>
      <c r="AD1150" s="33"/>
      <c r="AE1150" s="33"/>
    </row>
    <row r="1151" spans="1:31">
      <c r="A1151" s="18" t="s">
        <v>1146</v>
      </c>
      <c r="B1151" s="8" t="s">
        <v>981</v>
      </c>
      <c r="C1151" s="8" t="s">
        <v>22</v>
      </c>
      <c r="D1151" s="8" t="s">
        <v>955</v>
      </c>
      <c r="E1151" s="23" t="s">
        <v>27</v>
      </c>
      <c r="F1151" s="21" t="s">
        <v>986</v>
      </c>
      <c r="G1151" s="139">
        <v>124</v>
      </c>
      <c r="H1151" s="118">
        <v>14.5</v>
      </c>
      <c r="I1151" s="118">
        <v>7.6</v>
      </c>
      <c r="J1151" s="119" t="s">
        <v>26</v>
      </c>
      <c r="K1151" s="119" t="s">
        <v>26</v>
      </c>
      <c r="L1151" s="119" t="s">
        <v>26</v>
      </c>
      <c r="M1151" s="119" t="s">
        <v>26</v>
      </c>
      <c r="N1151" s="119" t="s">
        <v>26</v>
      </c>
      <c r="O1151" s="118">
        <v>4.9000000000000004</v>
      </c>
      <c r="P1151" s="119" t="s">
        <v>26</v>
      </c>
      <c r="Q1151" s="119" t="s">
        <v>26</v>
      </c>
      <c r="R1151" s="119" t="s">
        <v>26</v>
      </c>
      <c r="S1151" s="120" t="s">
        <v>26</v>
      </c>
      <c r="T1151" s="121" t="s">
        <v>26</v>
      </c>
      <c r="U1151" s="123" t="s">
        <v>26</v>
      </c>
      <c r="V1151" s="89">
        <v>333</v>
      </c>
      <c r="AC1151" s="33"/>
      <c r="AD1151" s="33"/>
      <c r="AE1151" s="33"/>
    </row>
    <row r="1152" spans="1:31">
      <c r="A1152" s="18" t="s">
        <v>1146</v>
      </c>
      <c r="B1152" s="8" t="s">
        <v>981</v>
      </c>
      <c r="C1152" s="8" t="s">
        <v>22</v>
      </c>
      <c r="D1152" s="8" t="s">
        <v>955</v>
      </c>
      <c r="E1152" s="23" t="s">
        <v>958</v>
      </c>
      <c r="F1152" s="21" t="s">
        <v>1147</v>
      </c>
      <c r="G1152" s="139">
        <v>85</v>
      </c>
      <c r="H1152" s="118">
        <v>9.1999999999999993</v>
      </c>
      <c r="I1152" s="118">
        <v>16.399999999999999</v>
      </c>
      <c r="J1152" s="118">
        <v>2.1</v>
      </c>
      <c r="K1152" s="119" t="s">
        <v>26</v>
      </c>
      <c r="L1152" s="119" t="s">
        <v>26</v>
      </c>
      <c r="M1152" s="119" t="s">
        <v>26</v>
      </c>
      <c r="N1152" s="119" t="s">
        <v>26</v>
      </c>
      <c r="O1152" s="118">
        <v>6.8</v>
      </c>
      <c r="P1152" s="119" t="s">
        <v>26</v>
      </c>
      <c r="Q1152" s="119" t="s">
        <v>26</v>
      </c>
      <c r="R1152" s="119" t="s">
        <v>26</v>
      </c>
      <c r="S1152" s="120" t="s">
        <v>26</v>
      </c>
      <c r="T1152" s="121" t="s">
        <v>26</v>
      </c>
      <c r="U1152" s="123" t="s">
        <v>26</v>
      </c>
      <c r="V1152" s="89">
        <v>16</v>
      </c>
      <c r="AC1152" s="33"/>
      <c r="AD1152" s="33"/>
      <c r="AE1152" s="33"/>
    </row>
    <row r="1153" spans="1:31">
      <c r="A1153" s="18" t="s">
        <v>1146</v>
      </c>
      <c r="B1153" s="8" t="s">
        <v>981</v>
      </c>
      <c r="C1153" s="8" t="s">
        <v>22</v>
      </c>
      <c r="D1153" s="8" t="s">
        <v>955</v>
      </c>
      <c r="E1153" s="23" t="s">
        <v>29</v>
      </c>
      <c r="F1153" s="21" t="s">
        <v>1148</v>
      </c>
      <c r="G1153" s="139">
        <v>52</v>
      </c>
      <c r="H1153" s="119" t="s">
        <v>26</v>
      </c>
      <c r="I1153" s="118">
        <v>19.399999999999999</v>
      </c>
      <c r="J1153" s="119" t="s">
        <v>26</v>
      </c>
      <c r="K1153" s="119" t="s">
        <v>26</v>
      </c>
      <c r="L1153" s="119" t="s">
        <v>26</v>
      </c>
      <c r="M1153" s="119" t="s">
        <v>26</v>
      </c>
      <c r="N1153" s="119" t="s">
        <v>26</v>
      </c>
      <c r="O1153" s="118">
        <v>12.5</v>
      </c>
      <c r="P1153" s="119" t="s">
        <v>26</v>
      </c>
      <c r="Q1153" s="119" t="s">
        <v>26</v>
      </c>
      <c r="R1153" s="119" t="s">
        <v>26</v>
      </c>
      <c r="S1153" s="120" t="s">
        <v>26</v>
      </c>
      <c r="T1153" s="121" t="s">
        <v>26</v>
      </c>
      <c r="U1153" s="123" t="s">
        <v>26</v>
      </c>
      <c r="V1153" s="89">
        <v>44</v>
      </c>
      <c r="AC1153" s="33"/>
      <c r="AD1153" s="33"/>
      <c r="AE1153" s="33"/>
    </row>
    <row r="1154" spans="1:31">
      <c r="A1154" s="18" t="s">
        <v>1146</v>
      </c>
      <c r="B1154" s="8" t="s">
        <v>981</v>
      </c>
      <c r="C1154" s="8" t="s">
        <v>22</v>
      </c>
      <c r="D1154" s="8" t="s">
        <v>955</v>
      </c>
      <c r="E1154" s="23" t="s">
        <v>31</v>
      </c>
      <c r="F1154" s="21" t="s">
        <v>1149</v>
      </c>
      <c r="G1154" s="139">
        <v>25</v>
      </c>
      <c r="H1154" s="119" t="s">
        <v>26</v>
      </c>
      <c r="I1154" s="118">
        <v>21</v>
      </c>
      <c r="J1154" s="119" t="s">
        <v>26</v>
      </c>
      <c r="K1154" s="119" t="s">
        <v>26</v>
      </c>
      <c r="L1154" s="119" t="s">
        <v>26</v>
      </c>
      <c r="M1154" s="119" t="s">
        <v>26</v>
      </c>
      <c r="N1154" s="119" t="s">
        <v>26</v>
      </c>
      <c r="O1154" s="118">
        <v>6.7</v>
      </c>
      <c r="P1154" s="119" t="s">
        <v>26</v>
      </c>
      <c r="Q1154" s="119" t="s">
        <v>26</v>
      </c>
      <c r="R1154" s="119" t="s">
        <v>26</v>
      </c>
      <c r="S1154" s="120" t="s">
        <v>26</v>
      </c>
      <c r="T1154" s="121" t="s">
        <v>26</v>
      </c>
      <c r="U1154" s="123" t="s">
        <v>26</v>
      </c>
      <c r="V1154" s="89">
        <v>25</v>
      </c>
      <c r="AC1154" s="33"/>
      <c r="AD1154" s="33"/>
      <c r="AE1154" s="33"/>
    </row>
    <row r="1155" spans="1:31">
      <c r="A1155" s="18" t="s">
        <v>1146</v>
      </c>
      <c r="B1155" s="8" t="s">
        <v>981</v>
      </c>
      <c r="C1155" s="8" t="s">
        <v>22</v>
      </c>
      <c r="D1155" s="8" t="s">
        <v>955</v>
      </c>
      <c r="E1155" s="23" t="s">
        <v>24</v>
      </c>
      <c r="F1155" s="21" t="s">
        <v>1150</v>
      </c>
      <c r="G1155" s="140" t="s">
        <v>1151</v>
      </c>
      <c r="H1155" s="118">
        <v>3.4</v>
      </c>
      <c r="I1155" s="119" t="s">
        <v>26</v>
      </c>
      <c r="J1155" s="119" t="s">
        <v>26</v>
      </c>
      <c r="K1155" s="119" t="s">
        <v>26</v>
      </c>
      <c r="L1155" s="119" t="s">
        <v>26</v>
      </c>
      <c r="M1155" s="119" t="s">
        <v>26</v>
      </c>
      <c r="N1155" s="119" t="s">
        <v>26</v>
      </c>
      <c r="O1155" s="118">
        <v>2.4</v>
      </c>
      <c r="P1155" s="119" t="s">
        <v>26</v>
      </c>
      <c r="Q1155" s="119" t="s">
        <v>26</v>
      </c>
      <c r="R1155" s="119" t="s">
        <v>26</v>
      </c>
      <c r="S1155" s="120" t="s">
        <v>26</v>
      </c>
      <c r="T1155" s="121" t="s">
        <v>26</v>
      </c>
      <c r="U1155" s="123" t="s">
        <v>26</v>
      </c>
      <c r="V1155" s="126" t="s">
        <v>26</v>
      </c>
      <c r="AC1155" s="33"/>
      <c r="AD1155" s="33"/>
      <c r="AE1155" s="33"/>
    </row>
    <row r="1156" spans="1:31">
      <c r="A1156" s="18" t="s">
        <v>1146</v>
      </c>
      <c r="B1156" s="8" t="s">
        <v>981</v>
      </c>
      <c r="C1156" s="8" t="s">
        <v>22</v>
      </c>
      <c r="D1156" s="8" t="s">
        <v>955</v>
      </c>
      <c r="E1156" s="23" t="s">
        <v>27</v>
      </c>
      <c r="F1156" s="21" t="s">
        <v>1152</v>
      </c>
      <c r="G1156" s="140" t="s">
        <v>910</v>
      </c>
      <c r="H1156" s="118">
        <v>15.2</v>
      </c>
      <c r="I1156" s="118">
        <v>13.2</v>
      </c>
      <c r="J1156" s="118">
        <v>0.5</v>
      </c>
      <c r="K1156" s="119" t="s">
        <v>26</v>
      </c>
      <c r="L1156" s="119" t="s">
        <v>26</v>
      </c>
      <c r="M1156" s="119" t="s">
        <v>26</v>
      </c>
      <c r="N1156" s="119" t="s">
        <v>26</v>
      </c>
      <c r="O1156" s="118">
        <v>3.2</v>
      </c>
      <c r="P1156" s="119" t="s">
        <v>26</v>
      </c>
      <c r="Q1156" s="119" t="s">
        <v>26</v>
      </c>
      <c r="R1156" s="119" t="s">
        <v>26</v>
      </c>
      <c r="S1156" s="127">
        <v>3.5</v>
      </c>
      <c r="T1156" s="121" t="s">
        <v>26</v>
      </c>
      <c r="U1156" s="123" t="s">
        <v>26</v>
      </c>
      <c r="V1156" s="126" t="s">
        <v>26</v>
      </c>
      <c r="AC1156" s="33"/>
      <c r="AD1156" s="33"/>
      <c r="AE1156" s="33"/>
    </row>
    <row r="1157" spans="1:31">
      <c r="A1157" s="18" t="s">
        <v>1146</v>
      </c>
      <c r="B1157" s="8" t="s">
        <v>981</v>
      </c>
      <c r="C1157" s="8" t="s">
        <v>22</v>
      </c>
      <c r="D1157" s="8" t="s">
        <v>955</v>
      </c>
      <c r="E1157" s="23" t="s">
        <v>958</v>
      </c>
      <c r="F1157" s="21" t="s">
        <v>1038</v>
      </c>
      <c r="G1157" s="140" t="s">
        <v>1057</v>
      </c>
      <c r="H1157" s="118">
        <v>13.4</v>
      </c>
      <c r="I1157" s="118">
        <v>13.7</v>
      </c>
      <c r="J1157" s="119" t="s">
        <v>26</v>
      </c>
      <c r="K1157" s="119" t="s">
        <v>26</v>
      </c>
      <c r="L1157" s="119" t="s">
        <v>26</v>
      </c>
      <c r="M1157" s="119" t="s">
        <v>26</v>
      </c>
      <c r="N1157" s="119" t="s">
        <v>26</v>
      </c>
      <c r="O1157" s="118">
        <v>7.7</v>
      </c>
      <c r="P1157" s="119" t="s">
        <v>26</v>
      </c>
      <c r="Q1157" s="119" t="s">
        <v>26</v>
      </c>
      <c r="R1157" s="118">
        <v>1.5</v>
      </c>
      <c r="S1157" s="120" t="s">
        <v>26</v>
      </c>
      <c r="T1157" s="121" t="s">
        <v>26</v>
      </c>
      <c r="U1157" s="123" t="s">
        <v>26</v>
      </c>
      <c r="V1157" s="126" t="s">
        <v>26</v>
      </c>
      <c r="AC1157" s="33"/>
      <c r="AD1157" s="33"/>
      <c r="AE1157" s="33"/>
    </row>
    <row r="1158" spans="1:31">
      <c r="A1158" s="18" t="s">
        <v>1146</v>
      </c>
      <c r="B1158" s="8" t="s">
        <v>981</v>
      </c>
      <c r="C1158" s="8" t="s">
        <v>22</v>
      </c>
      <c r="D1158" s="8" t="s">
        <v>955</v>
      </c>
      <c r="E1158" s="23" t="s">
        <v>29</v>
      </c>
      <c r="F1158" s="21" t="s">
        <v>1153</v>
      </c>
      <c r="G1158" s="139">
        <v>47</v>
      </c>
      <c r="H1158" s="118">
        <v>3.6</v>
      </c>
      <c r="I1158" s="118">
        <v>19.399999999999999</v>
      </c>
      <c r="J1158" s="119" t="s">
        <v>26</v>
      </c>
      <c r="K1158" s="119" t="s">
        <v>26</v>
      </c>
      <c r="L1158" s="119" t="s">
        <v>26</v>
      </c>
      <c r="M1158" s="119" t="s">
        <v>26</v>
      </c>
      <c r="N1158" s="119" t="s">
        <v>26</v>
      </c>
      <c r="O1158" s="118">
        <v>5.7</v>
      </c>
      <c r="P1158" s="119" t="s">
        <v>26</v>
      </c>
      <c r="Q1158" s="119" t="s">
        <v>26</v>
      </c>
      <c r="R1158" s="118">
        <v>1.2</v>
      </c>
      <c r="S1158" s="120" t="s">
        <v>26</v>
      </c>
      <c r="T1158" s="121" t="s">
        <v>26</v>
      </c>
      <c r="U1158" s="123" t="s">
        <v>26</v>
      </c>
      <c r="V1158" s="126" t="s">
        <v>26</v>
      </c>
      <c r="AC1158" s="33"/>
      <c r="AD1158" s="33"/>
      <c r="AE1158" s="33"/>
    </row>
    <row r="1159" spans="1:31">
      <c r="A1159" s="18" t="s">
        <v>1146</v>
      </c>
      <c r="B1159" s="8" t="s">
        <v>981</v>
      </c>
      <c r="C1159" s="8" t="s">
        <v>22</v>
      </c>
      <c r="D1159" s="8" t="s">
        <v>955</v>
      </c>
      <c r="E1159" s="23" t="s">
        <v>31</v>
      </c>
      <c r="F1159" s="21" t="s">
        <v>985</v>
      </c>
      <c r="G1159" s="140" t="s">
        <v>993</v>
      </c>
      <c r="H1159" s="119" t="s">
        <v>26</v>
      </c>
      <c r="I1159" s="118">
        <v>22.4</v>
      </c>
      <c r="J1159" s="119" t="s">
        <v>26</v>
      </c>
      <c r="K1159" s="119" t="s">
        <v>26</v>
      </c>
      <c r="L1159" s="119" t="s">
        <v>26</v>
      </c>
      <c r="M1159" s="119" t="s">
        <v>26</v>
      </c>
      <c r="N1159" s="119" t="s">
        <v>26</v>
      </c>
      <c r="O1159" s="118">
        <v>5.7</v>
      </c>
      <c r="P1159" s="119" t="s">
        <v>26</v>
      </c>
      <c r="Q1159" s="119" t="s">
        <v>26</v>
      </c>
      <c r="R1159" s="119" t="s">
        <v>26</v>
      </c>
      <c r="S1159" s="120" t="s">
        <v>26</v>
      </c>
      <c r="T1159" s="121" t="s">
        <v>26</v>
      </c>
      <c r="U1159" s="123" t="s">
        <v>26</v>
      </c>
      <c r="V1159" s="126" t="s">
        <v>26</v>
      </c>
      <c r="AC1159" s="33"/>
      <c r="AD1159" s="33"/>
      <c r="AE1159" s="33"/>
    </row>
    <row r="1160" spans="1:31">
      <c r="A1160" s="18" t="s">
        <v>1146</v>
      </c>
      <c r="B1160" s="8" t="s">
        <v>63</v>
      </c>
      <c r="C1160" s="8" t="s">
        <v>22</v>
      </c>
      <c r="D1160" s="8" t="s">
        <v>1015</v>
      </c>
      <c r="E1160" s="23" t="s">
        <v>27</v>
      </c>
      <c r="F1160" s="21" t="s">
        <v>1154</v>
      </c>
      <c r="G1160" s="140" t="s">
        <v>1155</v>
      </c>
      <c r="H1160" s="118">
        <v>18</v>
      </c>
      <c r="I1160" s="118">
        <v>22.4</v>
      </c>
      <c r="J1160" s="118">
        <v>0.9</v>
      </c>
      <c r="K1160" s="119" t="s">
        <v>26</v>
      </c>
      <c r="L1160" s="119" t="s">
        <v>26</v>
      </c>
      <c r="M1160" s="119" t="s">
        <v>26</v>
      </c>
      <c r="N1160" s="119" t="s">
        <v>26</v>
      </c>
      <c r="O1160" s="118">
        <v>2.8</v>
      </c>
      <c r="P1160" s="119" t="s">
        <v>26</v>
      </c>
      <c r="Q1160" s="119" t="s">
        <v>26</v>
      </c>
      <c r="R1160" s="119" t="s">
        <v>26</v>
      </c>
      <c r="S1160" s="120" t="s">
        <v>26</v>
      </c>
      <c r="T1160" s="121" t="s">
        <v>26</v>
      </c>
      <c r="U1160" s="123" t="s">
        <v>26</v>
      </c>
      <c r="V1160" s="126" t="s">
        <v>26</v>
      </c>
      <c r="AC1160" s="33"/>
      <c r="AD1160" s="33"/>
      <c r="AE1160" s="33"/>
    </row>
    <row r="1161" spans="1:31">
      <c r="A1161" s="18" t="s">
        <v>1146</v>
      </c>
      <c r="B1161" s="8" t="s">
        <v>63</v>
      </c>
      <c r="C1161" s="8" t="s">
        <v>22</v>
      </c>
      <c r="D1161" s="8" t="s">
        <v>1015</v>
      </c>
      <c r="E1161" s="23" t="s">
        <v>29</v>
      </c>
      <c r="F1161" s="21" t="s">
        <v>1156</v>
      </c>
      <c r="G1161" s="140" t="s">
        <v>959</v>
      </c>
      <c r="H1161" s="118">
        <v>6.8</v>
      </c>
      <c r="I1161" s="118">
        <v>12.9</v>
      </c>
      <c r="J1161" s="118">
        <v>3</v>
      </c>
      <c r="K1161" s="119" t="s">
        <v>26</v>
      </c>
      <c r="L1161" s="119" t="s">
        <v>26</v>
      </c>
      <c r="M1161" s="119" t="s">
        <v>26</v>
      </c>
      <c r="N1161" s="119" t="s">
        <v>26</v>
      </c>
      <c r="O1161" s="118">
        <v>5.0999999999999996</v>
      </c>
      <c r="P1161" s="119" t="s">
        <v>26</v>
      </c>
      <c r="Q1161" s="119" t="s">
        <v>26</v>
      </c>
      <c r="R1161" s="118">
        <v>1.7</v>
      </c>
      <c r="S1161" s="120" t="s">
        <v>26</v>
      </c>
      <c r="T1161" s="121" t="s">
        <v>26</v>
      </c>
      <c r="U1161" s="123" t="s">
        <v>26</v>
      </c>
      <c r="V1161" s="126" t="s">
        <v>26</v>
      </c>
      <c r="AC1161" s="33"/>
      <c r="AD1161" s="33"/>
      <c r="AE1161" s="33"/>
    </row>
    <row r="1162" spans="1:31">
      <c r="A1162" s="18" t="s">
        <v>1146</v>
      </c>
      <c r="B1162" s="8" t="s">
        <v>63</v>
      </c>
      <c r="C1162" s="8" t="s">
        <v>22</v>
      </c>
      <c r="D1162" s="8" t="s">
        <v>1015</v>
      </c>
      <c r="E1162" s="23" t="s">
        <v>31</v>
      </c>
      <c r="F1162" s="21" t="s">
        <v>1157</v>
      </c>
      <c r="G1162" s="139">
        <v>17</v>
      </c>
      <c r="H1162" s="119" t="s">
        <v>26</v>
      </c>
      <c r="I1162" s="118">
        <v>12.4</v>
      </c>
      <c r="J1162" s="118">
        <v>9.8000000000000007</v>
      </c>
      <c r="K1162" s="119" t="s">
        <v>26</v>
      </c>
      <c r="L1162" s="119" t="s">
        <v>26</v>
      </c>
      <c r="M1162" s="119" t="s">
        <v>26</v>
      </c>
      <c r="N1162" s="119" t="s">
        <v>26</v>
      </c>
      <c r="O1162" s="118">
        <v>4.0999999999999996</v>
      </c>
      <c r="P1162" s="119" t="s">
        <v>26</v>
      </c>
      <c r="Q1162" s="119" t="s">
        <v>26</v>
      </c>
      <c r="R1162" s="118">
        <v>1.2</v>
      </c>
      <c r="S1162" s="120" t="s">
        <v>26</v>
      </c>
      <c r="T1162" s="121" t="s">
        <v>26</v>
      </c>
      <c r="U1162" s="123" t="s">
        <v>26</v>
      </c>
      <c r="V1162" s="126" t="s">
        <v>26</v>
      </c>
      <c r="AC1162" s="33"/>
      <c r="AD1162" s="33"/>
      <c r="AE1162" s="33"/>
    </row>
    <row r="1163" spans="1:31">
      <c r="A1163" s="18" t="s">
        <v>1146</v>
      </c>
      <c r="B1163" s="8" t="s">
        <v>68</v>
      </c>
      <c r="C1163" s="8" t="s">
        <v>22</v>
      </c>
      <c r="D1163" s="8" t="s">
        <v>730</v>
      </c>
      <c r="E1163" s="23" t="s">
        <v>27</v>
      </c>
      <c r="F1163" s="21" t="s">
        <v>1158</v>
      </c>
      <c r="G1163" s="139">
        <v>180</v>
      </c>
      <c r="H1163" s="118">
        <v>8.1999999999999993</v>
      </c>
      <c r="I1163" s="118">
        <v>43.4</v>
      </c>
      <c r="J1163" s="118">
        <v>2</v>
      </c>
      <c r="K1163" s="119" t="s">
        <v>26</v>
      </c>
      <c r="L1163" s="119" t="s">
        <v>26</v>
      </c>
      <c r="M1163" s="119" t="s">
        <v>26</v>
      </c>
      <c r="N1163" s="119" t="s">
        <v>26</v>
      </c>
      <c r="O1163" s="118">
        <v>9.8000000000000007</v>
      </c>
      <c r="P1163" s="119" t="s">
        <v>26</v>
      </c>
      <c r="Q1163" s="119" t="s">
        <v>26</v>
      </c>
      <c r="R1163" s="118">
        <v>1.4</v>
      </c>
      <c r="S1163" s="120" t="s">
        <v>26</v>
      </c>
      <c r="T1163" s="121" t="s">
        <v>26</v>
      </c>
      <c r="U1163" s="141">
        <v>194</v>
      </c>
      <c r="V1163" s="126" t="s">
        <v>26</v>
      </c>
      <c r="AC1163" s="33"/>
      <c r="AD1163" s="33"/>
      <c r="AE1163" s="33"/>
    </row>
    <row r="1164" spans="1:31">
      <c r="A1164" s="18" t="s">
        <v>1146</v>
      </c>
      <c r="B1164" s="8" t="s">
        <v>68</v>
      </c>
      <c r="C1164" s="8" t="s">
        <v>22</v>
      </c>
      <c r="D1164" s="8" t="s">
        <v>730</v>
      </c>
      <c r="E1164" s="23" t="s">
        <v>29</v>
      </c>
      <c r="F1164" s="21" t="s">
        <v>1159</v>
      </c>
      <c r="G1164" s="139">
        <v>55</v>
      </c>
      <c r="H1164" s="118">
        <v>7.8</v>
      </c>
      <c r="I1164" s="118">
        <v>18.7</v>
      </c>
      <c r="J1164" s="118">
        <v>9.8000000000000007</v>
      </c>
      <c r="K1164" s="119" t="s">
        <v>26</v>
      </c>
      <c r="L1164" s="119" t="s">
        <v>26</v>
      </c>
      <c r="M1164" s="119" t="s">
        <v>26</v>
      </c>
      <c r="N1164" s="119" t="s">
        <v>26</v>
      </c>
      <c r="O1164" s="118">
        <v>11.2</v>
      </c>
      <c r="P1164" s="119" t="s">
        <v>26</v>
      </c>
      <c r="Q1164" s="119" t="s">
        <v>26</v>
      </c>
      <c r="R1164" s="119" t="s">
        <v>26</v>
      </c>
      <c r="S1164" s="120" t="s">
        <v>26</v>
      </c>
      <c r="T1164" s="121" t="s">
        <v>26</v>
      </c>
      <c r="U1164" s="141">
        <v>137</v>
      </c>
      <c r="V1164" s="126" t="s">
        <v>26</v>
      </c>
      <c r="AC1164" s="33"/>
      <c r="AD1164" s="33"/>
      <c r="AE1164" s="33"/>
    </row>
    <row r="1165" spans="1:31">
      <c r="A1165" s="18" t="s">
        <v>1146</v>
      </c>
      <c r="B1165" s="8" t="s">
        <v>68</v>
      </c>
      <c r="C1165" s="8" t="s">
        <v>22</v>
      </c>
      <c r="D1165" s="8" t="s">
        <v>730</v>
      </c>
      <c r="E1165" s="23" t="s">
        <v>31</v>
      </c>
      <c r="F1165" s="21" t="s">
        <v>957</v>
      </c>
      <c r="G1165" s="139">
        <v>21</v>
      </c>
      <c r="H1165" s="119" t="s">
        <v>26</v>
      </c>
      <c r="I1165" s="118">
        <v>15.5</v>
      </c>
      <c r="J1165" s="118">
        <v>14.8</v>
      </c>
      <c r="K1165" s="119" t="s">
        <v>26</v>
      </c>
      <c r="L1165" s="119" t="s">
        <v>26</v>
      </c>
      <c r="M1165" s="119" t="s">
        <v>26</v>
      </c>
      <c r="N1165" s="119" t="s">
        <v>26</v>
      </c>
      <c r="O1165" s="118">
        <v>7.9</v>
      </c>
      <c r="P1165" s="119" t="s">
        <v>26</v>
      </c>
      <c r="Q1165" s="119" t="s">
        <v>26</v>
      </c>
      <c r="R1165" s="119" t="s">
        <v>26</v>
      </c>
      <c r="S1165" s="127">
        <v>2.7</v>
      </c>
      <c r="T1165" s="121" t="s">
        <v>26</v>
      </c>
      <c r="U1165" s="141">
        <v>51</v>
      </c>
      <c r="V1165" s="126" t="s">
        <v>26</v>
      </c>
      <c r="AC1165" s="33"/>
      <c r="AD1165" s="33"/>
      <c r="AE1165" s="33"/>
    </row>
    <row r="1166" spans="1:31">
      <c r="A1166" s="18" t="s">
        <v>1146</v>
      </c>
      <c r="B1166" s="8" t="s">
        <v>68</v>
      </c>
      <c r="C1166" s="8" t="s">
        <v>22</v>
      </c>
      <c r="D1166" s="8" t="s">
        <v>1015</v>
      </c>
      <c r="E1166" s="23" t="s">
        <v>27</v>
      </c>
      <c r="F1166" s="21" t="s">
        <v>104</v>
      </c>
      <c r="G1166" s="139">
        <v>128</v>
      </c>
      <c r="H1166" s="118">
        <v>15.6</v>
      </c>
      <c r="I1166" s="118">
        <v>28.4</v>
      </c>
      <c r="J1166" s="119" t="s">
        <v>26</v>
      </c>
      <c r="K1166" s="119" t="s">
        <v>26</v>
      </c>
      <c r="L1166" s="119" t="s">
        <v>26</v>
      </c>
      <c r="M1166" s="119" t="s">
        <v>26</v>
      </c>
      <c r="N1166" s="119" t="s">
        <v>26</v>
      </c>
      <c r="O1166" s="118">
        <v>5.2</v>
      </c>
      <c r="P1166" s="119" t="s">
        <v>26</v>
      </c>
      <c r="Q1166" s="119" t="s">
        <v>26</v>
      </c>
      <c r="R1166" s="118">
        <v>1.4</v>
      </c>
      <c r="S1166" s="120" t="s">
        <v>26</v>
      </c>
      <c r="T1166" s="121" t="s">
        <v>26</v>
      </c>
      <c r="U1166" s="123" t="s">
        <v>26</v>
      </c>
      <c r="V1166" s="126" t="s">
        <v>26</v>
      </c>
      <c r="AC1166" s="33"/>
      <c r="AD1166" s="33"/>
      <c r="AE1166" s="33"/>
    </row>
    <row r="1167" spans="1:31">
      <c r="A1167" s="18" t="s">
        <v>1146</v>
      </c>
      <c r="B1167" s="8" t="s">
        <v>68</v>
      </c>
      <c r="C1167" s="8" t="s">
        <v>22</v>
      </c>
      <c r="D1167" s="8" t="s">
        <v>1015</v>
      </c>
      <c r="E1167" s="23" t="s">
        <v>29</v>
      </c>
      <c r="F1167" s="21" t="s">
        <v>1160</v>
      </c>
      <c r="G1167" s="139">
        <v>55</v>
      </c>
      <c r="H1167" s="119" t="s">
        <v>26</v>
      </c>
      <c r="I1167" s="118">
        <v>23.6</v>
      </c>
      <c r="J1167" s="118">
        <v>1.7</v>
      </c>
      <c r="K1167" s="119" t="s">
        <v>26</v>
      </c>
      <c r="L1167" s="119" t="s">
        <v>26</v>
      </c>
      <c r="M1167" s="119" t="s">
        <v>26</v>
      </c>
      <c r="N1167" s="119" t="s">
        <v>26</v>
      </c>
      <c r="O1167" s="118">
        <v>4.9000000000000004</v>
      </c>
      <c r="P1167" s="119" t="s">
        <v>26</v>
      </c>
      <c r="Q1167" s="119" t="s">
        <v>26</v>
      </c>
      <c r="R1167" s="119" t="s">
        <v>26</v>
      </c>
      <c r="S1167" s="120" t="s">
        <v>26</v>
      </c>
      <c r="T1167" s="121" t="s">
        <v>26</v>
      </c>
      <c r="U1167" s="123" t="s">
        <v>26</v>
      </c>
      <c r="V1167" s="126" t="s">
        <v>26</v>
      </c>
      <c r="AC1167" s="33"/>
      <c r="AD1167" s="33"/>
      <c r="AE1167" s="33"/>
    </row>
    <row r="1168" spans="1:31">
      <c r="A1168" s="18" t="s">
        <v>1146</v>
      </c>
      <c r="B1168" s="8" t="s">
        <v>68</v>
      </c>
      <c r="C1168" s="8" t="s">
        <v>22</v>
      </c>
      <c r="D1168" s="8" t="s">
        <v>1015</v>
      </c>
      <c r="E1168" s="23" t="s">
        <v>31</v>
      </c>
      <c r="F1168" s="21" t="s">
        <v>1161</v>
      </c>
      <c r="G1168" s="139">
        <v>12</v>
      </c>
      <c r="H1168" s="118">
        <v>6.4</v>
      </c>
      <c r="I1168" s="118">
        <v>7.8</v>
      </c>
      <c r="J1168" s="118">
        <v>11.6</v>
      </c>
      <c r="K1168" s="119" t="s">
        <v>26</v>
      </c>
      <c r="L1168" s="119" t="s">
        <v>26</v>
      </c>
      <c r="M1168" s="119" t="s">
        <v>26</v>
      </c>
      <c r="N1168" s="119" t="s">
        <v>26</v>
      </c>
      <c r="O1168" s="118">
        <v>5.0999999999999996</v>
      </c>
      <c r="P1168" s="119" t="s">
        <v>26</v>
      </c>
      <c r="Q1168" s="119" t="s">
        <v>26</v>
      </c>
      <c r="R1168" s="119" t="s">
        <v>26</v>
      </c>
      <c r="S1168" s="127">
        <v>4.2</v>
      </c>
      <c r="T1168" s="121" t="s">
        <v>26</v>
      </c>
      <c r="U1168" s="123" t="s">
        <v>26</v>
      </c>
      <c r="V1168" s="126" t="s">
        <v>26</v>
      </c>
      <c r="AC1168" s="33"/>
      <c r="AD1168" s="33"/>
      <c r="AE1168" s="33"/>
    </row>
    <row r="1169" spans="1:31">
      <c r="A1169" s="18" t="s">
        <v>1146</v>
      </c>
      <c r="B1169" s="8" t="s">
        <v>676</v>
      </c>
      <c r="C1169" s="8" t="s">
        <v>22</v>
      </c>
      <c r="D1169" s="8" t="s">
        <v>1162</v>
      </c>
      <c r="E1169" s="23" t="s">
        <v>27</v>
      </c>
      <c r="F1169" s="21" t="s">
        <v>1163</v>
      </c>
      <c r="G1169" s="139">
        <v>250</v>
      </c>
      <c r="H1169" s="118">
        <v>4.5999999999999996</v>
      </c>
      <c r="I1169" s="118">
        <v>85.6</v>
      </c>
      <c r="J1169" s="119" t="s">
        <v>26</v>
      </c>
      <c r="K1169" s="119" t="s">
        <v>26</v>
      </c>
      <c r="L1169" s="119" t="s">
        <v>26</v>
      </c>
      <c r="M1169" s="119" t="s">
        <v>26</v>
      </c>
      <c r="N1169" s="119" t="s">
        <v>26</v>
      </c>
      <c r="O1169" s="118">
        <v>4.2</v>
      </c>
      <c r="P1169" s="119" t="s">
        <v>26</v>
      </c>
      <c r="Q1169" s="119" t="s">
        <v>26</v>
      </c>
      <c r="R1169" s="118">
        <v>1.4</v>
      </c>
      <c r="S1169" s="120" t="s">
        <v>26</v>
      </c>
      <c r="T1169" s="121" t="s">
        <v>26</v>
      </c>
      <c r="U1169" s="123" t="s">
        <v>26</v>
      </c>
      <c r="V1169" s="126" t="s">
        <v>26</v>
      </c>
      <c r="AC1169" s="33"/>
      <c r="AD1169" s="33"/>
      <c r="AE1169" s="33"/>
    </row>
    <row r="1170" spans="1:31">
      <c r="A1170" s="18" t="s">
        <v>1146</v>
      </c>
      <c r="B1170" s="8" t="s">
        <v>676</v>
      </c>
      <c r="C1170" s="8" t="s">
        <v>22</v>
      </c>
      <c r="D1170" s="8" t="s">
        <v>1162</v>
      </c>
      <c r="E1170" s="23" t="s">
        <v>29</v>
      </c>
      <c r="F1170" s="21" t="s">
        <v>1164</v>
      </c>
      <c r="G1170" s="139">
        <v>57</v>
      </c>
      <c r="H1170" s="119" t="s">
        <v>26</v>
      </c>
      <c r="I1170" s="118">
        <v>24.6</v>
      </c>
      <c r="J1170" s="118">
        <v>2.8</v>
      </c>
      <c r="K1170" s="119" t="s">
        <v>26</v>
      </c>
      <c r="L1170" s="119" t="s">
        <v>26</v>
      </c>
      <c r="M1170" s="119" t="s">
        <v>26</v>
      </c>
      <c r="N1170" s="119" t="s">
        <v>26</v>
      </c>
      <c r="O1170" s="118">
        <v>4.2</v>
      </c>
      <c r="P1170" s="119" t="s">
        <v>26</v>
      </c>
      <c r="Q1170" s="119" t="s">
        <v>26</v>
      </c>
      <c r="R1170" s="118">
        <v>1.2</v>
      </c>
      <c r="S1170" s="127">
        <v>3.1</v>
      </c>
      <c r="T1170" s="121" t="s">
        <v>26</v>
      </c>
      <c r="U1170" s="141">
        <v>930</v>
      </c>
      <c r="V1170" s="126" t="s">
        <v>26</v>
      </c>
      <c r="AC1170" s="33"/>
      <c r="AD1170" s="33"/>
      <c r="AE1170" s="33"/>
    </row>
    <row r="1171" spans="1:31">
      <c r="A1171" s="18" t="s">
        <v>1146</v>
      </c>
      <c r="B1171" s="8" t="s">
        <v>676</v>
      </c>
      <c r="C1171" s="8" t="s">
        <v>22</v>
      </c>
      <c r="D1171" s="8" t="s">
        <v>1162</v>
      </c>
      <c r="E1171" s="23" t="s">
        <v>31</v>
      </c>
      <c r="F1171" s="21" t="s">
        <v>1165</v>
      </c>
      <c r="G1171" s="139">
        <v>18</v>
      </c>
      <c r="H1171" s="119" t="s">
        <v>26</v>
      </c>
      <c r="I1171" s="118">
        <v>12.6</v>
      </c>
      <c r="J1171" s="118">
        <v>6</v>
      </c>
      <c r="K1171" s="119" t="s">
        <v>26</v>
      </c>
      <c r="L1171" s="119" t="s">
        <v>26</v>
      </c>
      <c r="M1171" s="119" t="s">
        <v>26</v>
      </c>
      <c r="N1171" s="119" t="s">
        <v>26</v>
      </c>
      <c r="O1171" s="118">
        <v>5.0999999999999996</v>
      </c>
      <c r="P1171" s="119" t="s">
        <v>26</v>
      </c>
      <c r="Q1171" s="119" t="s">
        <v>26</v>
      </c>
      <c r="R1171" s="118">
        <v>1.2</v>
      </c>
      <c r="S1171" s="127">
        <v>2.7</v>
      </c>
      <c r="T1171" s="121" t="s">
        <v>26</v>
      </c>
      <c r="U1171" s="141">
        <v>144</v>
      </c>
      <c r="V1171" s="126" t="s">
        <v>26</v>
      </c>
      <c r="AC1171" s="33"/>
      <c r="AD1171" s="33"/>
      <c r="AE1171" s="33"/>
    </row>
    <row r="1172" spans="1:31">
      <c r="A1172" s="18" t="s">
        <v>1146</v>
      </c>
      <c r="B1172" s="8" t="s">
        <v>676</v>
      </c>
      <c r="C1172" s="8" t="s">
        <v>22</v>
      </c>
      <c r="D1172" s="8" t="s">
        <v>1015</v>
      </c>
      <c r="E1172" s="23" t="s">
        <v>27</v>
      </c>
      <c r="F1172" s="21" t="s">
        <v>1166</v>
      </c>
      <c r="G1172" s="139">
        <v>170</v>
      </c>
      <c r="H1172" s="118">
        <v>17.5</v>
      </c>
      <c r="I1172" s="118">
        <v>51.6</v>
      </c>
      <c r="J1172" s="118">
        <v>0.4</v>
      </c>
      <c r="K1172" s="119" t="s">
        <v>26</v>
      </c>
      <c r="L1172" s="119" t="s">
        <v>26</v>
      </c>
      <c r="M1172" s="119" t="s">
        <v>26</v>
      </c>
      <c r="N1172" s="119" t="s">
        <v>26</v>
      </c>
      <c r="O1172" s="118">
        <v>4.2</v>
      </c>
      <c r="P1172" s="119" t="s">
        <v>26</v>
      </c>
      <c r="Q1172" s="119" t="s">
        <v>26</v>
      </c>
      <c r="R1172" s="118">
        <v>1.5</v>
      </c>
      <c r="S1172" s="120" t="s">
        <v>26</v>
      </c>
      <c r="T1172" s="121" t="s">
        <v>26</v>
      </c>
      <c r="U1172" s="123" t="s">
        <v>26</v>
      </c>
      <c r="V1172" s="126" t="s">
        <v>26</v>
      </c>
      <c r="AC1172" s="33"/>
      <c r="AD1172" s="33"/>
      <c r="AE1172" s="33"/>
    </row>
    <row r="1173" spans="1:31">
      <c r="A1173" s="18" t="s">
        <v>1146</v>
      </c>
      <c r="B1173" s="8" t="s">
        <v>676</v>
      </c>
      <c r="C1173" s="8" t="s">
        <v>22</v>
      </c>
      <c r="D1173" s="8" t="s">
        <v>1015</v>
      </c>
      <c r="E1173" s="23" t="s">
        <v>29</v>
      </c>
      <c r="F1173" s="21" t="s">
        <v>1167</v>
      </c>
      <c r="G1173" s="139">
        <v>58</v>
      </c>
      <c r="H1173" s="119" t="s">
        <v>26</v>
      </c>
      <c r="I1173" s="118">
        <v>40.4</v>
      </c>
      <c r="J1173" s="118">
        <v>3</v>
      </c>
      <c r="K1173" s="119" t="s">
        <v>26</v>
      </c>
      <c r="L1173" s="119" t="s">
        <v>26</v>
      </c>
      <c r="M1173" s="119" t="s">
        <v>26</v>
      </c>
      <c r="N1173" s="119" t="s">
        <v>26</v>
      </c>
      <c r="O1173" s="118">
        <v>5.9</v>
      </c>
      <c r="P1173" s="119" t="s">
        <v>26</v>
      </c>
      <c r="Q1173" s="119" t="s">
        <v>26</v>
      </c>
      <c r="R1173" s="118">
        <v>1.3</v>
      </c>
      <c r="S1173" s="120" t="s">
        <v>26</v>
      </c>
      <c r="T1173" s="121" t="s">
        <v>26</v>
      </c>
      <c r="U1173" s="123" t="s">
        <v>26</v>
      </c>
      <c r="V1173" s="126" t="s">
        <v>26</v>
      </c>
      <c r="AC1173" s="33"/>
      <c r="AD1173" s="33"/>
      <c r="AE1173" s="33"/>
    </row>
    <row r="1174" spans="1:31">
      <c r="A1174" s="18" t="s">
        <v>1146</v>
      </c>
      <c r="B1174" s="8" t="s">
        <v>676</v>
      </c>
      <c r="C1174" s="8" t="s">
        <v>22</v>
      </c>
      <c r="D1174" s="8" t="s">
        <v>1015</v>
      </c>
      <c r="E1174" s="23" t="s">
        <v>31</v>
      </c>
      <c r="F1174" s="21" t="s">
        <v>1168</v>
      </c>
      <c r="G1174" s="139">
        <v>23</v>
      </c>
      <c r="H1174" s="119" t="s">
        <v>26</v>
      </c>
      <c r="I1174" s="118">
        <v>8.6</v>
      </c>
      <c r="J1174" s="118">
        <v>9.6</v>
      </c>
      <c r="K1174" s="119" t="s">
        <v>26</v>
      </c>
      <c r="L1174" s="119" t="s">
        <v>26</v>
      </c>
      <c r="M1174" s="119" t="s">
        <v>26</v>
      </c>
      <c r="N1174" s="119" t="s">
        <v>26</v>
      </c>
      <c r="O1174" s="118">
        <v>5.8</v>
      </c>
      <c r="P1174" s="119" t="s">
        <v>26</v>
      </c>
      <c r="Q1174" s="119" t="s">
        <v>26</v>
      </c>
      <c r="R1174" s="118">
        <v>1.2</v>
      </c>
      <c r="S1174" s="120" t="s">
        <v>26</v>
      </c>
      <c r="T1174" s="121" t="s">
        <v>26</v>
      </c>
      <c r="U1174" s="123" t="s">
        <v>26</v>
      </c>
      <c r="V1174" s="126" t="s">
        <v>26</v>
      </c>
      <c r="AC1174" s="33"/>
      <c r="AD1174" s="33"/>
      <c r="AE1174" s="33"/>
    </row>
    <row r="1175" spans="1:31">
      <c r="A1175" s="18" t="s">
        <v>1146</v>
      </c>
      <c r="B1175" s="8" t="s">
        <v>676</v>
      </c>
      <c r="C1175" s="8" t="s">
        <v>22</v>
      </c>
      <c r="D1175" s="8" t="s">
        <v>1169</v>
      </c>
      <c r="E1175" s="23" t="s">
        <v>27</v>
      </c>
      <c r="F1175" s="8">
        <v>50</v>
      </c>
      <c r="G1175" s="118">
        <v>146</v>
      </c>
      <c r="H1175" s="118">
        <v>12.4</v>
      </c>
      <c r="I1175" s="118">
        <v>31.4</v>
      </c>
      <c r="J1175" s="118">
        <v>2</v>
      </c>
      <c r="K1175" s="119" t="s">
        <v>26</v>
      </c>
      <c r="L1175" s="119" t="s">
        <v>26</v>
      </c>
      <c r="M1175" s="119" t="s">
        <v>26</v>
      </c>
      <c r="N1175" s="119" t="s">
        <v>26</v>
      </c>
      <c r="O1175" s="125" t="s">
        <v>26</v>
      </c>
      <c r="P1175" s="119" t="s">
        <v>26</v>
      </c>
      <c r="Q1175" s="119" t="s">
        <v>26</v>
      </c>
      <c r="R1175" s="118">
        <v>1.3</v>
      </c>
      <c r="S1175" s="127">
        <v>5.2</v>
      </c>
      <c r="T1175" s="121" t="s">
        <v>26</v>
      </c>
      <c r="U1175" s="130">
        <v>100</v>
      </c>
      <c r="V1175" s="126" t="s">
        <v>26</v>
      </c>
      <c r="AC1175" s="33"/>
      <c r="AD1175" s="33"/>
      <c r="AE1175" s="33"/>
    </row>
    <row r="1176" spans="1:31">
      <c r="A1176" s="18" t="s">
        <v>1146</v>
      </c>
      <c r="B1176" s="8" t="s">
        <v>676</v>
      </c>
      <c r="C1176" s="8" t="s">
        <v>22</v>
      </c>
      <c r="D1176" s="8" t="s">
        <v>1169</v>
      </c>
      <c r="E1176" s="23" t="s">
        <v>29</v>
      </c>
      <c r="F1176" s="8">
        <v>136</v>
      </c>
      <c r="G1176" s="118">
        <v>41</v>
      </c>
      <c r="H1176" s="118">
        <v>9.6</v>
      </c>
      <c r="I1176" s="118">
        <v>20.7</v>
      </c>
      <c r="J1176" s="118">
        <v>2.8</v>
      </c>
      <c r="K1176" s="119" t="s">
        <v>26</v>
      </c>
      <c r="L1176" s="118">
        <v>2.5</v>
      </c>
      <c r="M1176" s="119" t="s">
        <v>26</v>
      </c>
      <c r="N1176" s="119" t="s">
        <v>26</v>
      </c>
      <c r="O1176" s="125" t="s">
        <v>26</v>
      </c>
      <c r="P1176" s="119" t="s">
        <v>26</v>
      </c>
      <c r="Q1176" s="119" t="s">
        <v>26</v>
      </c>
      <c r="R1176" s="119" t="s">
        <v>26</v>
      </c>
      <c r="S1176" s="127">
        <v>5.5</v>
      </c>
      <c r="T1176" s="121" t="s">
        <v>26</v>
      </c>
      <c r="U1176" s="118">
        <v>212</v>
      </c>
      <c r="V1176" s="126" t="s">
        <v>26</v>
      </c>
      <c r="AC1176" s="33"/>
      <c r="AD1176" s="33"/>
      <c r="AE1176" s="33"/>
    </row>
    <row r="1177" spans="1:31">
      <c r="A1177" s="18" t="s">
        <v>1146</v>
      </c>
      <c r="B1177" s="8" t="s">
        <v>676</v>
      </c>
      <c r="C1177" s="8" t="s">
        <v>22</v>
      </c>
      <c r="D1177" s="8" t="s">
        <v>1169</v>
      </c>
      <c r="E1177" s="23" t="s">
        <v>31</v>
      </c>
      <c r="F1177" s="21" t="s">
        <v>1170</v>
      </c>
      <c r="G1177" s="139">
        <v>20</v>
      </c>
      <c r="H1177" s="119" t="s">
        <v>26</v>
      </c>
      <c r="I1177" s="119" t="s">
        <v>26</v>
      </c>
      <c r="J1177" s="118">
        <v>3.1</v>
      </c>
      <c r="K1177" s="119" t="s">
        <v>26</v>
      </c>
      <c r="L1177" s="119" t="s">
        <v>26</v>
      </c>
      <c r="M1177" s="119" t="s">
        <v>26</v>
      </c>
      <c r="N1177" s="119" t="s">
        <v>26</v>
      </c>
      <c r="O1177" s="125" t="s">
        <v>26</v>
      </c>
      <c r="P1177" s="119" t="s">
        <v>26</v>
      </c>
      <c r="Q1177" s="119" t="s">
        <v>26</v>
      </c>
      <c r="R1177" s="119" t="s">
        <v>26</v>
      </c>
      <c r="S1177" s="127">
        <v>3.9</v>
      </c>
      <c r="T1177" s="121" t="s">
        <v>26</v>
      </c>
      <c r="U1177" s="141">
        <v>4</v>
      </c>
      <c r="V1177" s="126" t="s">
        <v>26</v>
      </c>
      <c r="AC1177" s="33"/>
      <c r="AD1177" s="33"/>
      <c r="AE1177" s="33"/>
    </row>
    <row r="1178" spans="1:31">
      <c r="A1178" s="18" t="s">
        <v>1146</v>
      </c>
      <c r="B1178" s="8" t="s">
        <v>676</v>
      </c>
      <c r="C1178" s="8" t="s">
        <v>22</v>
      </c>
      <c r="D1178" s="3" t="s">
        <v>23</v>
      </c>
      <c r="E1178" s="23" t="s">
        <v>27</v>
      </c>
      <c r="F1178" s="21" t="s">
        <v>37</v>
      </c>
      <c r="G1178" s="139">
        <v>126</v>
      </c>
      <c r="H1178" s="118">
        <v>19.399999999999999</v>
      </c>
      <c r="I1178" s="118">
        <v>25.4</v>
      </c>
      <c r="J1178" s="119" t="s">
        <v>26</v>
      </c>
      <c r="K1178" s="119" t="s">
        <v>26</v>
      </c>
      <c r="L1178" s="119" t="s">
        <v>26</v>
      </c>
      <c r="M1178" s="119" t="s">
        <v>26</v>
      </c>
      <c r="N1178" s="119" t="s">
        <v>26</v>
      </c>
      <c r="O1178" s="118">
        <v>5.2</v>
      </c>
      <c r="P1178" s="119" t="s">
        <v>26</v>
      </c>
      <c r="Q1178" s="119" t="s">
        <v>26</v>
      </c>
      <c r="R1178" s="118">
        <v>1.6</v>
      </c>
      <c r="S1178" s="120" t="s">
        <v>26</v>
      </c>
      <c r="T1178" s="121" t="s">
        <v>26</v>
      </c>
      <c r="U1178" s="89">
        <v>721</v>
      </c>
      <c r="V1178" s="126" t="s">
        <v>26</v>
      </c>
      <c r="AC1178" s="33"/>
      <c r="AD1178" s="33"/>
      <c r="AE1178" s="33"/>
    </row>
    <row r="1179" spans="1:31">
      <c r="A1179" s="18" t="s">
        <v>1146</v>
      </c>
      <c r="B1179" s="8" t="s">
        <v>676</v>
      </c>
      <c r="C1179" s="8" t="s">
        <v>22</v>
      </c>
      <c r="D1179" s="3" t="s">
        <v>23</v>
      </c>
      <c r="E1179" s="23" t="s">
        <v>29</v>
      </c>
      <c r="F1179" s="21" t="s">
        <v>1171</v>
      </c>
      <c r="G1179" s="139">
        <v>53</v>
      </c>
      <c r="H1179" s="118">
        <v>6.7</v>
      </c>
      <c r="I1179" s="118">
        <v>21.6</v>
      </c>
      <c r="J1179" s="118">
        <v>3.1</v>
      </c>
      <c r="K1179" s="119" t="s">
        <v>26</v>
      </c>
      <c r="L1179" s="119" t="s">
        <v>26</v>
      </c>
      <c r="M1179" s="119" t="s">
        <v>26</v>
      </c>
      <c r="N1179" s="119" t="s">
        <v>26</v>
      </c>
      <c r="O1179" s="118">
        <v>4.9000000000000004</v>
      </c>
      <c r="P1179" s="119" t="s">
        <v>26</v>
      </c>
      <c r="Q1179" s="119" t="s">
        <v>26</v>
      </c>
      <c r="R1179" s="118">
        <v>1.8</v>
      </c>
      <c r="S1179" s="120" t="s">
        <v>26</v>
      </c>
      <c r="T1179" s="121" t="s">
        <v>26</v>
      </c>
      <c r="U1179" s="89">
        <v>1756</v>
      </c>
      <c r="V1179" s="126" t="s">
        <v>26</v>
      </c>
      <c r="AC1179" s="33"/>
      <c r="AD1179" s="33"/>
      <c r="AE1179" s="33"/>
    </row>
    <row r="1180" spans="1:31">
      <c r="A1180" s="18" t="s">
        <v>1146</v>
      </c>
      <c r="B1180" s="8" t="s">
        <v>676</v>
      </c>
      <c r="C1180" s="8" t="s">
        <v>22</v>
      </c>
      <c r="D1180" s="3" t="s">
        <v>23</v>
      </c>
      <c r="E1180" s="23" t="s">
        <v>31</v>
      </c>
      <c r="F1180" s="21" t="s">
        <v>1172</v>
      </c>
      <c r="G1180" s="139">
        <v>27</v>
      </c>
      <c r="H1180" s="119" t="s">
        <v>26</v>
      </c>
      <c r="I1180" s="118">
        <v>18.899999999999999</v>
      </c>
      <c r="J1180" s="118">
        <v>4</v>
      </c>
      <c r="K1180" s="119" t="s">
        <v>26</v>
      </c>
      <c r="L1180" s="119" t="s">
        <v>26</v>
      </c>
      <c r="M1180" s="119" t="s">
        <v>26</v>
      </c>
      <c r="N1180" s="119" t="s">
        <v>26</v>
      </c>
      <c r="O1180" s="118">
        <v>4.8</v>
      </c>
      <c r="P1180" s="119" t="s">
        <v>26</v>
      </c>
      <c r="Q1180" s="119" t="s">
        <v>26</v>
      </c>
      <c r="R1180" s="118">
        <v>1.4</v>
      </c>
      <c r="S1180" s="127">
        <v>4.2</v>
      </c>
      <c r="T1180" s="121" t="s">
        <v>26</v>
      </c>
      <c r="U1180" s="89">
        <v>400</v>
      </c>
      <c r="V1180" s="126" t="s">
        <v>26</v>
      </c>
      <c r="AC1180" s="33"/>
      <c r="AD1180" s="33"/>
      <c r="AE1180" s="33"/>
    </row>
    <row r="1181" spans="1:31">
      <c r="A1181" s="18" t="s">
        <v>1173</v>
      </c>
      <c r="B1181" s="8" t="s">
        <v>119</v>
      </c>
      <c r="C1181" s="8" t="s">
        <v>22</v>
      </c>
      <c r="D1181" s="8" t="s">
        <v>1015</v>
      </c>
      <c r="E1181" s="23" t="s">
        <v>27</v>
      </c>
      <c r="F1181" s="21" t="s">
        <v>1174</v>
      </c>
      <c r="G1181" s="139">
        <v>134</v>
      </c>
      <c r="H1181" s="118">
        <v>17.3</v>
      </c>
      <c r="I1181" s="118">
        <v>11.8</v>
      </c>
      <c r="J1181" s="119" t="s">
        <v>26</v>
      </c>
      <c r="K1181" s="119" t="s">
        <v>26</v>
      </c>
      <c r="L1181" s="119" t="s">
        <v>26</v>
      </c>
      <c r="M1181" s="119" t="s">
        <v>26</v>
      </c>
      <c r="N1181" s="119" t="s">
        <v>26</v>
      </c>
      <c r="O1181" s="118">
        <v>4.8</v>
      </c>
      <c r="P1181" s="119" t="s">
        <v>26</v>
      </c>
      <c r="Q1181" s="119" t="s">
        <v>26</v>
      </c>
      <c r="R1181" s="119" t="s">
        <v>26</v>
      </c>
      <c r="S1181" s="120" t="s">
        <v>26</v>
      </c>
      <c r="T1181" s="121" t="s">
        <v>26</v>
      </c>
      <c r="U1181" s="123" t="s">
        <v>26</v>
      </c>
      <c r="V1181" s="89">
        <v>503</v>
      </c>
      <c r="AC1181" s="33"/>
      <c r="AD1181" s="33"/>
      <c r="AE1181" s="33"/>
    </row>
    <row r="1182" spans="1:31">
      <c r="A1182" s="18" t="s">
        <v>1173</v>
      </c>
      <c r="B1182" s="8" t="s">
        <v>119</v>
      </c>
      <c r="C1182" s="8" t="s">
        <v>22</v>
      </c>
      <c r="D1182" s="8" t="s">
        <v>1015</v>
      </c>
      <c r="E1182" s="23" t="s">
        <v>958</v>
      </c>
      <c r="F1182" s="21" t="s">
        <v>1175</v>
      </c>
      <c r="G1182" s="139">
        <v>80</v>
      </c>
      <c r="H1182" s="118">
        <v>14.6</v>
      </c>
      <c r="I1182" s="118">
        <v>12.2</v>
      </c>
      <c r="J1182" s="119" t="s">
        <v>26</v>
      </c>
      <c r="K1182" s="119" t="s">
        <v>26</v>
      </c>
      <c r="L1182" s="119" t="s">
        <v>26</v>
      </c>
      <c r="M1182" s="119" t="s">
        <v>26</v>
      </c>
      <c r="N1182" s="119" t="s">
        <v>26</v>
      </c>
      <c r="O1182" s="118">
        <v>5.0999999999999996</v>
      </c>
      <c r="P1182" s="119" t="s">
        <v>26</v>
      </c>
      <c r="Q1182" s="119" t="s">
        <v>26</v>
      </c>
      <c r="R1182" s="119" t="s">
        <v>26</v>
      </c>
      <c r="S1182" s="120" t="s">
        <v>26</v>
      </c>
      <c r="T1182" s="121" t="s">
        <v>26</v>
      </c>
      <c r="U1182" s="123" t="s">
        <v>26</v>
      </c>
      <c r="V1182" s="89">
        <v>46</v>
      </c>
      <c r="AC1182" s="33"/>
      <c r="AD1182" s="33"/>
      <c r="AE1182" s="33"/>
    </row>
    <row r="1183" spans="1:31">
      <c r="A1183" s="18" t="s">
        <v>1173</v>
      </c>
      <c r="B1183" s="8" t="s">
        <v>119</v>
      </c>
      <c r="C1183" s="8" t="s">
        <v>22</v>
      </c>
      <c r="D1183" s="8" t="s">
        <v>1015</v>
      </c>
      <c r="E1183" s="23" t="s">
        <v>29</v>
      </c>
      <c r="F1183" s="21" t="s">
        <v>1176</v>
      </c>
      <c r="G1183" s="139">
        <v>51</v>
      </c>
      <c r="H1183" s="118">
        <v>6.5</v>
      </c>
      <c r="I1183" s="118">
        <v>11.2</v>
      </c>
      <c r="J1183" s="118">
        <v>3.1</v>
      </c>
      <c r="K1183" s="119" t="s">
        <v>26</v>
      </c>
      <c r="L1183" s="119" t="s">
        <v>26</v>
      </c>
      <c r="M1183" s="119" t="s">
        <v>26</v>
      </c>
      <c r="N1183" s="119" t="s">
        <v>26</v>
      </c>
      <c r="O1183" s="118">
        <v>6</v>
      </c>
      <c r="P1183" s="119" t="s">
        <v>26</v>
      </c>
      <c r="Q1183" s="119" t="s">
        <v>26</v>
      </c>
      <c r="R1183" s="119" t="s">
        <v>26</v>
      </c>
      <c r="S1183" s="120" t="s">
        <v>26</v>
      </c>
      <c r="T1183" s="121" t="s">
        <v>26</v>
      </c>
      <c r="U1183" s="89">
        <v>1780</v>
      </c>
      <c r="V1183" s="89">
        <v>141</v>
      </c>
      <c r="AC1183" s="33"/>
      <c r="AD1183" s="33"/>
      <c r="AE1183" s="33"/>
    </row>
    <row r="1184" spans="1:31">
      <c r="A1184" s="18" t="s">
        <v>1173</v>
      </c>
      <c r="B1184" s="8" t="s">
        <v>119</v>
      </c>
      <c r="C1184" s="8" t="s">
        <v>22</v>
      </c>
      <c r="D1184" s="8" t="s">
        <v>1015</v>
      </c>
      <c r="E1184" s="23" t="s">
        <v>31</v>
      </c>
      <c r="F1184" s="21" t="s">
        <v>802</v>
      </c>
      <c r="G1184" s="139">
        <v>18</v>
      </c>
      <c r="H1184" s="119" t="s">
        <v>26</v>
      </c>
      <c r="I1184" s="118">
        <v>6.7</v>
      </c>
      <c r="J1184" s="118">
        <v>8.8000000000000007</v>
      </c>
      <c r="K1184" s="119" t="s">
        <v>26</v>
      </c>
      <c r="L1184" s="119" t="s">
        <v>26</v>
      </c>
      <c r="M1184" s="119" t="s">
        <v>26</v>
      </c>
      <c r="N1184" s="119" t="s">
        <v>26</v>
      </c>
      <c r="O1184" s="118">
        <v>4.2</v>
      </c>
      <c r="P1184" s="119" t="s">
        <v>26</v>
      </c>
      <c r="Q1184" s="119" t="s">
        <v>26</v>
      </c>
      <c r="R1184" s="119" t="s">
        <v>26</v>
      </c>
      <c r="S1184" s="120" t="s">
        <v>26</v>
      </c>
      <c r="T1184" s="121" t="s">
        <v>26</v>
      </c>
      <c r="U1184" s="89">
        <v>808</v>
      </c>
      <c r="V1184" s="89">
        <v>110</v>
      </c>
      <c r="AC1184" s="33"/>
      <c r="AD1184" s="33"/>
      <c r="AE1184" s="33"/>
    </row>
    <row r="1185" spans="1:31">
      <c r="A1185" s="18" t="s">
        <v>1173</v>
      </c>
      <c r="B1185" s="8" t="s">
        <v>623</v>
      </c>
      <c r="C1185" s="8" t="s">
        <v>22</v>
      </c>
      <c r="D1185" s="8" t="s">
        <v>1015</v>
      </c>
      <c r="E1185" s="23" t="s">
        <v>27</v>
      </c>
      <c r="F1185" s="21" t="s">
        <v>218</v>
      </c>
      <c r="G1185" s="139">
        <v>141</v>
      </c>
      <c r="H1185" s="118">
        <v>17.100000000000001</v>
      </c>
      <c r="I1185" s="118">
        <v>17.2</v>
      </c>
      <c r="J1185" s="119" t="s">
        <v>26</v>
      </c>
      <c r="K1185" s="119" t="s">
        <v>26</v>
      </c>
      <c r="L1185" s="119" t="s">
        <v>26</v>
      </c>
      <c r="M1185" s="119" t="s">
        <v>26</v>
      </c>
      <c r="N1185" s="119" t="s">
        <v>26</v>
      </c>
      <c r="O1185" s="118">
        <v>6.3</v>
      </c>
      <c r="P1185" s="119" t="s">
        <v>26</v>
      </c>
      <c r="Q1185" s="119" t="s">
        <v>26</v>
      </c>
      <c r="R1185" s="119" t="s">
        <v>26</v>
      </c>
      <c r="S1185" s="120" t="s">
        <v>26</v>
      </c>
      <c r="T1185" s="121" t="s">
        <v>26</v>
      </c>
      <c r="U1185" s="123" t="s">
        <v>26</v>
      </c>
      <c r="V1185" s="126" t="s">
        <v>26</v>
      </c>
      <c r="AC1185" s="33"/>
      <c r="AD1185" s="33"/>
      <c r="AE1185" s="33"/>
    </row>
    <row r="1186" spans="1:31">
      <c r="A1186" s="18" t="s">
        <v>1173</v>
      </c>
      <c r="B1186" s="8" t="s">
        <v>623</v>
      </c>
      <c r="C1186" s="8" t="s">
        <v>22</v>
      </c>
      <c r="D1186" s="8" t="s">
        <v>1015</v>
      </c>
      <c r="E1186" s="23" t="s">
        <v>29</v>
      </c>
      <c r="F1186" s="21" t="s">
        <v>1177</v>
      </c>
      <c r="G1186" s="139">
        <v>52</v>
      </c>
      <c r="H1186" s="118">
        <v>8.6</v>
      </c>
      <c r="I1186" s="118">
        <v>11.2</v>
      </c>
      <c r="J1186" s="118">
        <v>10.8</v>
      </c>
      <c r="K1186" s="119" t="s">
        <v>26</v>
      </c>
      <c r="L1186" s="119" t="s">
        <v>26</v>
      </c>
      <c r="M1186" s="119" t="s">
        <v>26</v>
      </c>
      <c r="N1186" s="119" t="s">
        <v>26</v>
      </c>
      <c r="O1186" s="118">
        <v>11.3</v>
      </c>
      <c r="P1186" s="119" t="s">
        <v>26</v>
      </c>
      <c r="Q1186" s="119" t="s">
        <v>26</v>
      </c>
      <c r="R1186" s="119" t="s">
        <v>26</v>
      </c>
      <c r="S1186" s="120" t="s">
        <v>26</v>
      </c>
      <c r="T1186" s="121" t="s">
        <v>26</v>
      </c>
      <c r="U1186" s="141">
        <v>2108</v>
      </c>
      <c r="V1186" s="126" t="s">
        <v>26</v>
      </c>
      <c r="AC1186" s="33"/>
      <c r="AD1186" s="33"/>
      <c r="AE1186" s="33"/>
    </row>
    <row r="1187" spans="1:31">
      <c r="A1187" s="18" t="s">
        <v>1173</v>
      </c>
      <c r="B1187" s="8" t="s">
        <v>623</v>
      </c>
      <c r="C1187" s="8" t="s">
        <v>22</v>
      </c>
      <c r="D1187" s="8" t="s">
        <v>1015</v>
      </c>
      <c r="E1187" s="23" t="s">
        <v>31</v>
      </c>
      <c r="F1187" s="21" t="s">
        <v>1178</v>
      </c>
      <c r="G1187" s="139">
        <v>17</v>
      </c>
      <c r="H1187" s="118">
        <v>13.6</v>
      </c>
      <c r="I1187" s="118">
        <v>11.1</v>
      </c>
      <c r="J1187" s="118">
        <v>5.7</v>
      </c>
      <c r="K1187" s="119" t="s">
        <v>26</v>
      </c>
      <c r="L1187" s="119" t="s">
        <v>26</v>
      </c>
      <c r="M1187" s="119" t="s">
        <v>26</v>
      </c>
      <c r="N1187" s="119" t="s">
        <v>26</v>
      </c>
      <c r="O1187" s="118">
        <v>4.8</v>
      </c>
      <c r="P1187" s="119" t="s">
        <v>26</v>
      </c>
      <c r="Q1187" s="119" t="s">
        <v>26</v>
      </c>
      <c r="R1187" s="119" t="s">
        <v>26</v>
      </c>
      <c r="S1187" s="120" t="s">
        <v>26</v>
      </c>
      <c r="T1187" s="121" t="s">
        <v>26</v>
      </c>
      <c r="U1187" s="141">
        <v>906</v>
      </c>
      <c r="V1187" s="126" t="s">
        <v>26</v>
      </c>
      <c r="AC1187" s="33"/>
      <c r="AD1187" s="33"/>
      <c r="AE1187" s="33"/>
    </row>
    <row r="1188" spans="1:31">
      <c r="A1188" s="18" t="s">
        <v>1173</v>
      </c>
      <c r="B1188" s="8" t="s">
        <v>68</v>
      </c>
      <c r="C1188" s="8" t="s">
        <v>22</v>
      </c>
      <c r="D1188" s="8" t="s">
        <v>1015</v>
      </c>
      <c r="E1188" s="23" t="s">
        <v>27</v>
      </c>
      <c r="F1188" s="21" t="s">
        <v>1179</v>
      </c>
      <c r="G1188" s="139">
        <v>139</v>
      </c>
      <c r="H1188" s="118">
        <v>22.8</v>
      </c>
      <c r="I1188" s="118">
        <v>16.5</v>
      </c>
      <c r="J1188" s="119" t="s">
        <v>26</v>
      </c>
      <c r="K1188" s="119" t="s">
        <v>26</v>
      </c>
      <c r="L1188" s="119" t="s">
        <v>26</v>
      </c>
      <c r="M1188" s="119" t="s">
        <v>26</v>
      </c>
      <c r="N1188" s="119" t="s">
        <v>26</v>
      </c>
      <c r="O1188" s="125" t="s">
        <v>26</v>
      </c>
      <c r="P1188" s="119" t="s">
        <v>26</v>
      </c>
      <c r="Q1188" s="119" t="s">
        <v>26</v>
      </c>
      <c r="R1188" s="119" t="s">
        <v>26</v>
      </c>
      <c r="S1188" s="127">
        <v>4.9000000000000004</v>
      </c>
      <c r="T1188" s="121" t="s">
        <v>26</v>
      </c>
      <c r="U1188" s="123" t="s">
        <v>26</v>
      </c>
      <c r="V1188" s="126" t="s">
        <v>26</v>
      </c>
      <c r="AC1188" s="33"/>
      <c r="AD1188" s="33"/>
      <c r="AE1188" s="33"/>
    </row>
    <row r="1189" spans="1:31">
      <c r="A1189" s="18" t="s">
        <v>1173</v>
      </c>
      <c r="B1189" s="8" t="s">
        <v>68</v>
      </c>
      <c r="C1189" s="8" t="s">
        <v>22</v>
      </c>
      <c r="D1189" s="8" t="s">
        <v>1015</v>
      </c>
      <c r="E1189" s="23" t="s">
        <v>29</v>
      </c>
      <c r="F1189" s="21" t="s">
        <v>792</v>
      </c>
      <c r="G1189" s="139">
        <v>50</v>
      </c>
      <c r="H1189" s="118">
        <v>6.5</v>
      </c>
      <c r="I1189" s="118">
        <v>16.3</v>
      </c>
      <c r="J1189" s="118">
        <v>3.5</v>
      </c>
      <c r="K1189" s="119" t="s">
        <v>26</v>
      </c>
      <c r="L1189" s="119" t="s">
        <v>26</v>
      </c>
      <c r="M1189" s="119" t="s">
        <v>26</v>
      </c>
      <c r="N1189" s="119" t="s">
        <v>26</v>
      </c>
      <c r="O1189" s="125" t="s">
        <v>26</v>
      </c>
      <c r="P1189" s="119" t="s">
        <v>26</v>
      </c>
      <c r="Q1189" s="119" t="s">
        <v>26</v>
      </c>
      <c r="R1189" s="119" t="s">
        <v>26</v>
      </c>
      <c r="S1189" s="127">
        <v>13.4</v>
      </c>
      <c r="T1189" s="121" t="s">
        <v>26</v>
      </c>
      <c r="U1189" s="141">
        <v>1391</v>
      </c>
      <c r="V1189" s="126" t="s">
        <v>26</v>
      </c>
      <c r="AC1189" s="33"/>
      <c r="AD1189" s="33"/>
      <c r="AE1189" s="33"/>
    </row>
    <row r="1190" spans="1:31">
      <c r="A1190" s="18" t="s">
        <v>1173</v>
      </c>
      <c r="B1190" s="8" t="s">
        <v>68</v>
      </c>
      <c r="C1190" s="8" t="s">
        <v>22</v>
      </c>
      <c r="D1190" s="8" t="s">
        <v>1015</v>
      </c>
      <c r="E1190" s="23" t="s">
        <v>31</v>
      </c>
      <c r="F1190" s="21" t="s">
        <v>1180</v>
      </c>
      <c r="G1190" s="139">
        <v>19</v>
      </c>
      <c r="H1190" s="119" t="s">
        <v>26</v>
      </c>
      <c r="I1190" s="118">
        <v>10.8</v>
      </c>
      <c r="J1190" s="118">
        <v>13.9</v>
      </c>
      <c r="K1190" s="119" t="s">
        <v>26</v>
      </c>
      <c r="L1190" s="119" t="s">
        <v>26</v>
      </c>
      <c r="M1190" s="119" t="s">
        <v>26</v>
      </c>
      <c r="N1190" s="119" t="s">
        <v>26</v>
      </c>
      <c r="O1190" s="125" t="s">
        <v>26</v>
      </c>
      <c r="P1190" s="119" t="s">
        <v>26</v>
      </c>
      <c r="Q1190" s="119" t="s">
        <v>26</v>
      </c>
      <c r="R1190" s="119" t="s">
        <v>26</v>
      </c>
      <c r="S1190" s="127">
        <v>7.4</v>
      </c>
      <c r="T1190" s="121" t="s">
        <v>26</v>
      </c>
      <c r="U1190" s="141">
        <v>582</v>
      </c>
      <c r="V1190" s="126" t="s">
        <v>26</v>
      </c>
      <c r="AC1190" s="33"/>
      <c r="AD1190" s="33"/>
      <c r="AE1190" s="33"/>
    </row>
    <row r="1191" spans="1:31">
      <c r="A1191" s="6" t="s">
        <v>1181</v>
      </c>
      <c r="B1191" s="1" t="s">
        <v>981</v>
      </c>
      <c r="C1191" s="1" t="s">
        <v>22</v>
      </c>
      <c r="D1191" s="8" t="s">
        <v>955</v>
      </c>
      <c r="E1191" s="28" t="s">
        <v>24</v>
      </c>
      <c r="F1191" s="4" t="s">
        <v>1034</v>
      </c>
      <c r="G1191" s="142">
        <v>288</v>
      </c>
      <c r="H1191" s="128">
        <v>7.5</v>
      </c>
      <c r="I1191" s="119" t="s">
        <v>26</v>
      </c>
      <c r="J1191" s="119" t="s">
        <v>26</v>
      </c>
      <c r="K1191" s="128">
        <v>0.7</v>
      </c>
      <c r="L1191" s="119" t="s">
        <v>26</v>
      </c>
      <c r="M1191" s="128">
        <v>8.5</v>
      </c>
      <c r="N1191" s="128">
        <v>10.6</v>
      </c>
      <c r="O1191" s="128">
        <v>4.5</v>
      </c>
      <c r="P1191" s="119" t="s">
        <v>26</v>
      </c>
      <c r="Q1191" s="128">
        <v>2.1</v>
      </c>
      <c r="R1191" s="119" t="s">
        <v>26</v>
      </c>
      <c r="S1191" s="120" t="s">
        <v>26</v>
      </c>
      <c r="T1191" s="121" t="s">
        <v>26</v>
      </c>
      <c r="U1191" s="143">
        <v>428</v>
      </c>
      <c r="V1191" s="89">
        <v>34</v>
      </c>
      <c r="AC1191" s="33"/>
      <c r="AD1191" s="33"/>
      <c r="AE1191" s="33"/>
    </row>
    <row r="1192" spans="1:31">
      <c r="A1192" s="6" t="s">
        <v>1181</v>
      </c>
      <c r="B1192" s="1" t="s">
        <v>981</v>
      </c>
      <c r="C1192" s="1" t="s">
        <v>22</v>
      </c>
      <c r="D1192" s="8" t="s">
        <v>955</v>
      </c>
      <c r="E1192" s="28" t="s">
        <v>27</v>
      </c>
      <c r="F1192" s="4" t="s">
        <v>1182</v>
      </c>
      <c r="G1192" s="142">
        <v>112</v>
      </c>
      <c r="H1192" s="128">
        <v>6</v>
      </c>
      <c r="I1192" s="128">
        <v>5.9</v>
      </c>
      <c r="J1192" s="128">
        <v>2.4</v>
      </c>
      <c r="K1192" s="119" t="s">
        <v>26</v>
      </c>
      <c r="L1192" s="119" t="s">
        <v>26</v>
      </c>
      <c r="M1192" s="128">
        <v>6.8</v>
      </c>
      <c r="N1192" s="128">
        <v>13.5</v>
      </c>
      <c r="O1192" s="128">
        <v>3.8</v>
      </c>
      <c r="P1192" s="119" t="s">
        <v>26</v>
      </c>
      <c r="Q1192" s="119" t="s">
        <v>26</v>
      </c>
      <c r="R1192" s="119" t="s">
        <v>26</v>
      </c>
      <c r="S1192" s="120" t="s">
        <v>26</v>
      </c>
      <c r="T1192" s="121" t="s">
        <v>26</v>
      </c>
      <c r="U1192" s="143">
        <v>106</v>
      </c>
      <c r="V1192" s="89">
        <v>109</v>
      </c>
      <c r="AC1192" s="33"/>
      <c r="AD1192" s="33"/>
      <c r="AE1192" s="33"/>
    </row>
    <row r="1193" spans="1:31">
      <c r="A1193" s="6" t="s">
        <v>1181</v>
      </c>
      <c r="B1193" s="1" t="s">
        <v>981</v>
      </c>
      <c r="C1193" s="1" t="s">
        <v>22</v>
      </c>
      <c r="D1193" s="8" t="s">
        <v>955</v>
      </c>
      <c r="E1193" s="28" t="s">
        <v>958</v>
      </c>
      <c r="F1193" s="4" t="s">
        <v>1183</v>
      </c>
      <c r="G1193" s="142">
        <v>92</v>
      </c>
      <c r="H1193" s="128">
        <v>2.5</v>
      </c>
      <c r="I1193" s="128">
        <v>8.9</v>
      </c>
      <c r="J1193" s="128">
        <v>2.7</v>
      </c>
      <c r="K1193" s="119" t="s">
        <v>26</v>
      </c>
      <c r="L1193" s="119" t="s">
        <v>26</v>
      </c>
      <c r="M1193" s="128">
        <v>9.4</v>
      </c>
      <c r="N1193" s="128">
        <v>16.100000000000001</v>
      </c>
      <c r="O1193" s="128">
        <v>7.2</v>
      </c>
      <c r="P1193" s="119" t="s">
        <v>26</v>
      </c>
      <c r="Q1193" s="119" t="s">
        <v>26</v>
      </c>
      <c r="R1193" s="119" t="s">
        <v>26</v>
      </c>
      <c r="S1193" s="120" t="s">
        <v>26</v>
      </c>
      <c r="T1193" s="121" t="s">
        <v>26</v>
      </c>
      <c r="U1193" s="143">
        <v>34</v>
      </c>
      <c r="V1193" s="89">
        <v>21</v>
      </c>
      <c r="AC1193" s="33"/>
      <c r="AD1193" s="33"/>
      <c r="AE1193" s="33"/>
    </row>
    <row r="1194" spans="1:31">
      <c r="A1194" s="6" t="s">
        <v>1181</v>
      </c>
      <c r="B1194" s="1" t="s">
        <v>981</v>
      </c>
      <c r="C1194" s="1" t="s">
        <v>22</v>
      </c>
      <c r="D1194" s="8" t="s">
        <v>955</v>
      </c>
      <c r="E1194" s="28" t="s">
        <v>29</v>
      </c>
      <c r="F1194" s="4" t="s">
        <v>1184</v>
      </c>
      <c r="G1194" s="142">
        <v>49</v>
      </c>
      <c r="H1194" s="128">
        <v>6.9</v>
      </c>
      <c r="I1194" s="128">
        <v>11.4</v>
      </c>
      <c r="J1194" s="128">
        <v>3.6</v>
      </c>
      <c r="K1194" s="119" t="s">
        <v>26</v>
      </c>
      <c r="L1194" s="119" t="s">
        <v>26</v>
      </c>
      <c r="M1194" s="128">
        <v>7.5</v>
      </c>
      <c r="N1194" s="128">
        <v>14</v>
      </c>
      <c r="O1194" s="128">
        <v>6.5</v>
      </c>
      <c r="P1194" s="119" t="s">
        <v>26</v>
      </c>
      <c r="Q1194" s="119" t="s">
        <v>26</v>
      </c>
      <c r="R1194" s="119" t="s">
        <v>26</v>
      </c>
      <c r="S1194" s="120" t="s">
        <v>26</v>
      </c>
      <c r="T1194" s="121" t="s">
        <v>26</v>
      </c>
      <c r="U1194" s="143">
        <v>158</v>
      </c>
      <c r="V1194" s="89">
        <v>47</v>
      </c>
      <c r="AC1194" s="33"/>
      <c r="AD1194" s="33"/>
      <c r="AE1194" s="33"/>
    </row>
    <row r="1195" spans="1:31">
      <c r="A1195" s="6" t="s">
        <v>1181</v>
      </c>
      <c r="B1195" s="1" t="s">
        <v>981</v>
      </c>
      <c r="C1195" s="1" t="s">
        <v>22</v>
      </c>
      <c r="D1195" s="8" t="s">
        <v>955</v>
      </c>
      <c r="E1195" s="28" t="s">
        <v>31</v>
      </c>
      <c r="F1195" s="4" t="s">
        <v>1043</v>
      </c>
      <c r="G1195" s="142">
        <v>18</v>
      </c>
      <c r="H1195" s="119" t="s">
        <v>26</v>
      </c>
      <c r="I1195" s="128">
        <v>7.9</v>
      </c>
      <c r="J1195" s="128">
        <v>17.04</v>
      </c>
      <c r="K1195" s="119" t="s">
        <v>26</v>
      </c>
      <c r="L1195" s="119" t="s">
        <v>26</v>
      </c>
      <c r="M1195" s="128">
        <v>6.6</v>
      </c>
      <c r="N1195" s="128">
        <v>12.2</v>
      </c>
      <c r="O1195" s="128">
        <v>8.4</v>
      </c>
      <c r="P1195" s="119" t="s">
        <v>26</v>
      </c>
      <c r="Q1195" s="119" t="s">
        <v>26</v>
      </c>
      <c r="R1195" s="119" t="s">
        <v>26</v>
      </c>
      <c r="S1195" s="120" t="s">
        <v>26</v>
      </c>
      <c r="T1195" s="121" t="s">
        <v>26</v>
      </c>
      <c r="U1195" s="143">
        <v>88</v>
      </c>
      <c r="V1195" s="89">
        <v>31</v>
      </c>
      <c r="AC1195" s="33"/>
      <c r="AD1195" s="33"/>
      <c r="AE1195" s="33"/>
    </row>
    <row r="1196" spans="1:31">
      <c r="A1196" s="6" t="s">
        <v>1181</v>
      </c>
      <c r="B1196" s="1" t="s">
        <v>119</v>
      </c>
      <c r="C1196" s="1" t="s">
        <v>22</v>
      </c>
      <c r="D1196" s="8" t="s">
        <v>1015</v>
      </c>
      <c r="E1196" s="28" t="s">
        <v>27</v>
      </c>
      <c r="F1196" s="4" t="s">
        <v>1185</v>
      </c>
      <c r="G1196" s="142">
        <v>116</v>
      </c>
      <c r="H1196" s="128">
        <v>29.2</v>
      </c>
      <c r="I1196" s="128">
        <v>15.4</v>
      </c>
      <c r="J1196" s="128">
        <v>0.7</v>
      </c>
      <c r="K1196" s="119" t="s">
        <v>26</v>
      </c>
      <c r="L1196" s="119" t="s">
        <v>26</v>
      </c>
      <c r="M1196" s="128">
        <v>3</v>
      </c>
      <c r="N1196" s="128">
        <v>2.5</v>
      </c>
      <c r="O1196" s="128">
        <v>1.8</v>
      </c>
      <c r="P1196" s="119" t="s">
        <v>26</v>
      </c>
      <c r="Q1196" s="128">
        <v>4.2</v>
      </c>
      <c r="R1196" s="119" t="s">
        <v>26</v>
      </c>
      <c r="S1196" s="120" t="s">
        <v>26</v>
      </c>
      <c r="T1196" s="121" t="s">
        <v>26</v>
      </c>
      <c r="U1196" s="123" t="s">
        <v>26</v>
      </c>
      <c r="V1196" s="126" t="s">
        <v>26</v>
      </c>
      <c r="AC1196" s="33"/>
      <c r="AD1196" s="33"/>
      <c r="AE1196" s="33"/>
    </row>
    <row r="1197" spans="1:31">
      <c r="A1197" s="6" t="s">
        <v>1181</v>
      </c>
      <c r="B1197" s="1" t="s">
        <v>119</v>
      </c>
      <c r="C1197" s="1" t="s">
        <v>22</v>
      </c>
      <c r="D1197" s="8" t="s">
        <v>1015</v>
      </c>
      <c r="E1197" s="28" t="s">
        <v>958</v>
      </c>
      <c r="F1197" s="4" t="s">
        <v>1186</v>
      </c>
      <c r="G1197" s="142">
        <v>88</v>
      </c>
      <c r="H1197" s="128">
        <v>14.8</v>
      </c>
      <c r="I1197" s="128">
        <v>22.4</v>
      </c>
      <c r="J1197" s="128">
        <v>0.9</v>
      </c>
      <c r="K1197" s="119" t="s">
        <v>26</v>
      </c>
      <c r="L1197" s="119" t="s">
        <v>26</v>
      </c>
      <c r="M1197" s="128">
        <v>2.2000000000000002</v>
      </c>
      <c r="N1197" s="128">
        <v>3.8</v>
      </c>
      <c r="O1197" s="128">
        <v>2.4</v>
      </c>
      <c r="P1197" s="119" t="s">
        <v>26</v>
      </c>
      <c r="Q1197" s="128">
        <v>3.9</v>
      </c>
      <c r="R1197" s="119" t="s">
        <v>26</v>
      </c>
      <c r="S1197" s="120" t="s">
        <v>26</v>
      </c>
      <c r="T1197" s="121" t="s">
        <v>26</v>
      </c>
      <c r="U1197" s="123" t="s">
        <v>26</v>
      </c>
      <c r="V1197" s="126" t="s">
        <v>26</v>
      </c>
      <c r="AC1197" s="33"/>
      <c r="AD1197" s="33"/>
      <c r="AE1197" s="33"/>
    </row>
    <row r="1198" spans="1:31">
      <c r="A1198" s="6" t="s">
        <v>1181</v>
      </c>
      <c r="B1198" s="1" t="s">
        <v>119</v>
      </c>
      <c r="C1198" s="1" t="s">
        <v>22</v>
      </c>
      <c r="D1198" s="8" t="s">
        <v>1015</v>
      </c>
      <c r="E1198" s="28" t="s">
        <v>29</v>
      </c>
      <c r="F1198" s="1">
        <v>1001</v>
      </c>
      <c r="G1198" s="128">
        <v>52</v>
      </c>
      <c r="H1198" s="128">
        <v>8.5</v>
      </c>
      <c r="I1198" s="128">
        <v>17.7</v>
      </c>
      <c r="J1198" s="128">
        <v>2.4</v>
      </c>
      <c r="K1198" s="119" t="s">
        <v>26</v>
      </c>
      <c r="L1198" s="119" t="s">
        <v>26</v>
      </c>
      <c r="M1198" s="128">
        <v>5.2</v>
      </c>
      <c r="N1198" s="128">
        <v>13.4</v>
      </c>
      <c r="O1198" s="128">
        <v>6.5</v>
      </c>
      <c r="P1198" s="119" t="s">
        <v>26</v>
      </c>
      <c r="Q1198" s="128">
        <v>2.9</v>
      </c>
      <c r="R1198" s="128">
        <v>3.8</v>
      </c>
      <c r="S1198" s="120" t="s">
        <v>26</v>
      </c>
      <c r="T1198" s="121" t="s">
        <v>26</v>
      </c>
      <c r="U1198" s="128">
        <v>1001</v>
      </c>
      <c r="V1198" s="126" t="s">
        <v>26</v>
      </c>
      <c r="AC1198" s="33"/>
      <c r="AD1198" s="33"/>
      <c r="AE1198" s="33"/>
    </row>
    <row r="1199" spans="1:31">
      <c r="A1199" s="6" t="s">
        <v>1181</v>
      </c>
      <c r="B1199" s="1" t="s">
        <v>119</v>
      </c>
      <c r="C1199" s="1" t="s">
        <v>22</v>
      </c>
      <c r="D1199" s="8" t="s">
        <v>1015</v>
      </c>
      <c r="E1199" s="28" t="s">
        <v>31</v>
      </c>
      <c r="F1199" s="1">
        <v>584</v>
      </c>
      <c r="G1199" s="128">
        <v>18</v>
      </c>
      <c r="H1199" s="128">
        <v>12</v>
      </c>
      <c r="I1199" s="128">
        <v>9.4</v>
      </c>
      <c r="J1199" s="128">
        <v>9.3000000000000007</v>
      </c>
      <c r="K1199" s="119" t="s">
        <v>26</v>
      </c>
      <c r="L1199" s="119" t="s">
        <v>26</v>
      </c>
      <c r="M1199" s="119" t="s">
        <v>26</v>
      </c>
      <c r="N1199" s="128">
        <v>8.1999999999999993</v>
      </c>
      <c r="O1199" s="125" t="s">
        <v>26</v>
      </c>
      <c r="P1199" s="119" t="s">
        <v>26</v>
      </c>
      <c r="Q1199" s="119" t="s">
        <v>26</v>
      </c>
      <c r="R1199" s="119" t="s">
        <v>26</v>
      </c>
      <c r="S1199" s="120" t="s">
        <v>26</v>
      </c>
      <c r="T1199" s="121" t="s">
        <v>26</v>
      </c>
      <c r="U1199" s="128">
        <v>584</v>
      </c>
      <c r="V1199" s="126" t="s">
        <v>26</v>
      </c>
      <c r="AC1199" s="33"/>
      <c r="AD1199" s="33"/>
      <c r="AE1199" s="33"/>
    </row>
    <row r="1200" spans="1:31">
      <c r="A1200" s="6" t="s">
        <v>1187</v>
      </c>
      <c r="B1200" s="1" t="s">
        <v>39</v>
      </c>
      <c r="C1200" s="1" t="s">
        <v>22</v>
      </c>
      <c r="D1200" s="8" t="s">
        <v>1015</v>
      </c>
      <c r="E1200" s="28" t="s">
        <v>27</v>
      </c>
      <c r="F1200" s="1">
        <v>4685</v>
      </c>
      <c r="G1200" s="128">
        <v>135</v>
      </c>
      <c r="H1200" s="128">
        <v>19.78</v>
      </c>
      <c r="I1200" s="128">
        <v>31.6</v>
      </c>
      <c r="J1200" s="128">
        <v>0.94</v>
      </c>
      <c r="K1200" s="119" t="s">
        <v>26</v>
      </c>
      <c r="L1200" s="119" t="s">
        <v>26</v>
      </c>
      <c r="M1200" s="128">
        <v>1.5</v>
      </c>
      <c r="N1200" s="128">
        <v>7.2</v>
      </c>
      <c r="O1200" s="128">
        <v>3.5</v>
      </c>
      <c r="P1200" s="128">
        <v>2.4</v>
      </c>
      <c r="Q1200" s="128">
        <v>1.8</v>
      </c>
      <c r="R1200" s="119" t="s">
        <v>26</v>
      </c>
      <c r="S1200" s="120" t="s">
        <v>26</v>
      </c>
      <c r="T1200" s="121" t="s">
        <v>26</v>
      </c>
      <c r="U1200" s="123" t="s">
        <v>26</v>
      </c>
      <c r="V1200" s="89">
        <v>127</v>
      </c>
      <c r="AC1200" s="33"/>
      <c r="AD1200" s="33"/>
      <c r="AE1200" s="33"/>
    </row>
    <row r="1201" spans="1:31">
      <c r="A1201" s="6" t="s">
        <v>1187</v>
      </c>
      <c r="B1201" s="1" t="s">
        <v>39</v>
      </c>
      <c r="C1201" s="1" t="s">
        <v>22</v>
      </c>
      <c r="D1201" s="8" t="s">
        <v>1015</v>
      </c>
      <c r="E1201" s="28" t="s">
        <v>958</v>
      </c>
      <c r="F1201" s="4" t="s">
        <v>1188</v>
      </c>
      <c r="G1201" s="142">
        <v>111</v>
      </c>
      <c r="H1201" s="128">
        <v>3.4</v>
      </c>
      <c r="I1201" s="128">
        <v>50</v>
      </c>
      <c r="J1201" s="119" t="s">
        <v>26</v>
      </c>
      <c r="K1201" s="119" t="s">
        <v>26</v>
      </c>
      <c r="L1201" s="119" t="s">
        <v>26</v>
      </c>
      <c r="M1201" s="119" t="s">
        <v>26</v>
      </c>
      <c r="N1201" s="128">
        <v>1.2</v>
      </c>
      <c r="O1201" s="128">
        <v>2.4</v>
      </c>
      <c r="P1201" s="119" t="s">
        <v>26</v>
      </c>
      <c r="Q1201" s="119" t="s">
        <v>26</v>
      </c>
      <c r="R1201" s="119" t="s">
        <v>26</v>
      </c>
      <c r="S1201" s="120" t="s">
        <v>26</v>
      </c>
      <c r="T1201" s="121" t="s">
        <v>26</v>
      </c>
      <c r="U1201" s="123" t="s">
        <v>26</v>
      </c>
      <c r="V1201" s="89">
        <v>14</v>
      </c>
      <c r="AC1201" s="33"/>
      <c r="AD1201" s="33"/>
      <c r="AE1201" s="33"/>
    </row>
    <row r="1202" spans="1:31">
      <c r="A1202" s="6" t="s">
        <v>1187</v>
      </c>
      <c r="B1202" s="1" t="s">
        <v>39</v>
      </c>
      <c r="C1202" s="1" t="s">
        <v>22</v>
      </c>
      <c r="D1202" s="8" t="s">
        <v>1015</v>
      </c>
      <c r="E1202" s="28" t="s">
        <v>29</v>
      </c>
      <c r="F1202" s="4" t="s">
        <v>1189</v>
      </c>
      <c r="G1202" s="142">
        <v>55</v>
      </c>
      <c r="H1202" s="128">
        <v>7.4</v>
      </c>
      <c r="I1202" s="128">
        <v>37.700000000000003</v>
      </c>
      <c r="J1202" s="128">
        <v>7.96</v>
      </c>
      <c r="K1202" s="119" t="s">
        <v>26</v>
      </c>
      <c r="L1202" s="119" t="s">
        <v>26</v>
      </c>
      <c r="M1202" s="119" t="s">
        <v>26</v>
      </c>
      <c r="N1202" s="128">
        <v>8.8000000000000007</v>
      </c>
      <c r="O1202" s="128">
        <v>3.2</v>
      </c>
      <c r="P1202" s="119" t="s">
        <v>26</v>
      </c>
      <c r="Q1202" s="119" t="s">
        <v>26</v>
      </c>
      <c r="R1202" s="119" t="s">
        <v>26</v>
      </c>
      <c r="S1202" s="120" t="s">
        <v>26</v>
      </c>
      <c r="T1202" s="121" t="s">
        <v>26</v>
      </c>
      <c r="U1202" s="89">
        <v>1132</v>
      </c>
      <c r="V1202" s="89">
        <v>49</v>
      </c>
      <c r="AC1202" s="33"/>
      <c r="AD1202" s="33"/>
      <c r="AE1202" s="33"/>
    </row>
    <row r="1203" spans="1:31">
      <c r="A1203" s="6" t="s">
        <v>1187</v>
      </c>
      <c r="B1203" s="1" t="s">
        <v>39</v>
      </c>
      <c r="C1203" s="1" t="s">
        <v>22</v>
      </c>
      <c r="D1203" s="8" t="s">
        <v>1015</v>
      </c>
      <c r="E1203" s="28" t="s">
        <v>31</v>
      </c>
      <c r="F1203" s="4" t="s">
        <v>529</v>
      </c>
      <c r="G1203" s="142">
        <v>18</v>
      </c>
      <c r="H1203" s="119" t="s">
        <v>26</v>
      </c>
      <c r="I1203" s="128">
        <v>10.5</v>
      </c>
      <c r="J1203" s="128">
        <v>22.12</v>
      </c>
      <c r="K1203" s="119" t="s">
        <v>26</v>
      </c>
      <c r="L1203" s="119" t="s">
        <v>26</v>
      </c>
      <c r="M1203" s="119" t="s">
        <v>26</v>
      </c>
      <c r="N1203" s="128">
        <v>5.3</v>
      </c>
      <c r="O1203" s="125" t="s">
        <v>26</v>
      </c>
      <c r="P1203" s="119" t="s">
        <v>26</v>
      </c>
      <c r="Q1203" s="119" t="s">
        <v>26</v>
      </c>
      <c r="R1203" s="119" t="s">
        <v>26</v>
      </c>
      <c r="S1203" s="120" t="s">
        <v>26</v>
      </c>
      <c r="T1203" s="121" t="s">
        <v>26</v>
      </c>
      <c r="U1203" s="89">
        <v>725</v>
      </c>
      <c r="V1203" s="89">
        <v>51</v>
      </c>
      <c r="AC1203" s="33"/>
      <c r="AD1203" s="33"/>
      <c r="AE1203" s="33"/>
    </row>
    <row r="1204" spans="1:31">
      <c r="A1204" s="6" t="s">
        <v>1190</v>
      </c>
      <c r="B1204" s="1" t="s">
        <v>981</v>
      </c>
      <c r="C1204" s="1" t="s">
        <v>22</v>
      </c>
      <c r="D1204" s="8" t="s">
        <v>955</v>
      </c>
      <c r="E1204" s="28" t="s">
        <v>24</v>
      </c>
      <c r="F1204" s="4" t="s">
        <v>1142</v>
      </c>
      <c r="G1204" s="142">
        <v>268</v>
      </c>
      <c r="H1204" s="128">
        <v>9.9</v>
      </c>
      <c r="I1204" s="119" t="s">
        <v>26</v>
      </c>
      <c r="J1204" s="119" t="s">
        <v>26</v>
      </c>
      <c r="K1204" s="119" t="s">
        <v>26</v>
      </c>
      <c r="L1204" s="119" t="s">
        <v>26</v>
      </c>
      <c r="M1204" s="128">
        <v>1.5</v>
      </c>
      <c r="N1204" s="128">
        <v>1.5</v>
      </c>
      <c r="O1204" s="128">
        <v>2.9</v>
      </c>
      <c r="P1204" s="128">
        <v>1.9</v>
      </c>
      <c r="Q1204" s="128">
        <v>1.2</v>
      </c>
      <c r="R1204" s="119" t="s">
        <v>26</v>
      </c>
      <c r="S1204" s="120" t="s">
        <v>26</v>
      </c>
      <c r="T1204" s="121" t="s">
        <v>26</v>
      </c>
      <c r="U1204" s="123" t="s">
        <v>26</v>
      </c>
      <c r="V1204" s="126" t="s">
        <v>26</v>
      </c>
      <c r="AC1204" s="33"/>
      <c r="AD1204" s="33"/>
      <c r="AE1204" s="33"/>
    </row>
    <row r="1205" spans="1:31">
      <c r="A1205" s="6" t="s">
        <v>1190</v>
      </c>
      <c r="B1205" s="1" t="s">
        <v>981</v>
      </c>
      <c r="C1205" s="1" t="s">
        <v>22</v>
      </c>
      <c r="D1205" s="8" t="s">
        <v>955</v>
      </c>
      <c r="E1205" s="28" t="s">
        <v>27</v>
      </c>
      <c r="F1205" s="4" t="s">
        <v>1149</v>
      </c>
      <c r="G1205" s="142">
        <v>112</v>
      </c>
      <c r="H1205" s="128">
        <v>10.9</v>
      </c>
      <c r="I1205" s="128">
        <v>11.5</v>
      </c>
      <c r="J1205" s="128">
        <v>0.7</v>
      </c>
      <c r="K1205" s="119" t="s">
        <v>26</v>
      </c>
      <c r="L1205" s="119" t="s">
        <v>26</v>
      </c>
      <c r="M1205" s="128">
        <v>1.9</v>
      </c>
      <c r="N1205" s="128">
        <v>10.8</v>
      </c>
      <c r="O1205" s="128">
        <v>3.9</v>
      </c>
      <c r="P1205" s="119" t="s">
        <v>26</v>
      </c>
      <c r="Q1205" s="119" t="s">
        <v>26</v>
      </c>
      <c r="R1205" s="119" t="s">
        <v>26</v>
      </c>
      <c r="S1205" s="120" t="s">
        <v>26</v>
      </c>
      <c r="T1205" s="121" t="s">
        <v>26</v>
      </c>
      <c r="U1205" s="130">
        <v>60</v>
      </c>
      <c r="V1205" s="126" t="s">
        <v>26</v>
      </c>
      <c r="AC1205" s="33"/>
      <c r="AD1205" s="33"/>
      <c r="AE1205" s="33"/>
    </row>
    <row r="1206" spans="1:31">
      <c r="A1206" s="6" t="s">
        <v>1190</v>
      </c>
      <c r="B1206" s="1" t="s">
        <v>981</v>
      </c>
      <c r="C1206" s="1" t="s">
        <v>22</v>
      </c>
      <c r="D1206" s="8" t="s">
        <v>955</v>
      </c>
      <c r="E1206" s="28" t="s">
        <v>958</v>
      </c>
      <c r="F1206" s="4" t="s">
        <v>961</v>
      </c>
      <c r="G1206" s="142">
        <v>88</v>
      </c>
      <c r="H1206" s="128">
        <v>7.4</v>
      </c>
      <c r="I1206" s="128">
        <v>12.4</v>
      </c>
      <c r="J1206" s="128">
        <v>0.9</v>
      </c>
      <c r="K1206" s="119" t="s">
        <v>26</v>
      </c>
      <c r="L1206" s="119" t="s">
        <v>26</v>
      </c>
      <c r="M1206" s="128">
        <v>1.8</v>
      </c>
      <c r="N1206" s="128">
        <v>11.2</v>
      </c>
      <c r="O1206" s="128">
        <v>4.2</v>
      </c>
      <c r="P1206" s="119" t="s">
        <v>26</v>
      </c>
      <c r="Q1206" s="119" t="s">
        <v>26</v>
      </c>
      <c r="R1206" s="119" t="s">
        <v>26</v>
      </c>
      <c r="S1206" s="120" t="s">
        <v>26</v>
      </c>
      <c r="T1206" s="121" t="s">
        <v>26</v>
      </c>
      <c r="U1206" s="130">
        <v>24</v>
      </c>
      <c r="V1206" s="126" t="s">
        <v>26</v>
      </c>
      <c r="AC1206" s="33"/>
      <c r="AD1206" s="33"/>
      <c r="AE1206" s="33"/>
    </row>
    <row r="1207" spans="1:31">
      <c r="A1207" s="6" t="s">
        <v>1190</v>
      </c>
      <c r="B1207" s="1" t="s">
        <v>981</v>
      </c>
      <c r="C1207" s="1" t="s">
        <v>22</v>
      </c>
      <c r="D1207" s="8" t="s">
        <v>955</v>
      </c>
      <c r="E1207" s="28" t="s">
        <v>29</v>
      </c>
      <c r="F1207" s="4" t="s">
        <v>989</v>
      </c>
      <c r="G1207" s="142">
        <v>49</v>
      </c>
      <c r="H1207" s="128">
        <v>6.5</v>
      </c>
      <c r="I1207" s="128">
        <v>13.4</v>
      </c>
      <c r="J1207" s="128">
        <v>4</v>
      </c>
      <c r="K1207" s="119" t="s">
        <v>26</v>
      </c>
      <c r="L1207" s="119" t="s">
        <v>26</v>
      </c>
      <c r="M1207" s="119" t="s">
        <v>26</v>
      </c>
      <c r="N1207" s="128">
        <v>15.8</v>
      </c>
      <c r="O1207" s="128">
        <v>4.5</v>
      </c>
      <c r="P1207" s="119" t="s">
        <v>26</v>
      </c>
      <c r="Q1207" s="119" t="s">
        <v>26</v>
      </c>
      <c r="R1207" s="119" t="s">
        <v>26</v>
      </c>
      <c r="S1207" s="120" t="s">
        <v>26</v>
      </c>
      <c r="T1207" s="121" t="s">
        <v>26</v>
      </c>
      <c r="U1207" s="130">
        <v>57</v>
      </c>
      <c r="V1207" s="126" t="s">
        <v>26</v>
      </c>
      <c r="AC1207" s="33"/>
      <c r="AD1207" s="33"/>
      <c r="AE1207" s="33"/>
    </row>
    <row r="1208" spans="1:31">
      <c r="A1208" s="6" t="s">
        <v>1190</v>
      </c>
      <c r="B1208" s="1" t="s">
        <v>981</v>
      </c>
      <c r="C1208" s="1" t="s">
        <v>22</v>
      </c>
      <c r="D1208" s="8" t="s">
        <v>955</v>
      </c>
      <c r="E1208" s="28" t="s">
        <v>31</v>
      </c>
      <c r="F1208" s="4" t="s">
        <v>1191</v>
      </c>
      <c r="G1208" s="142">
        <v>19</v>
      </c>
      <c r="H1208" s="119" t="s">
        <v>26</v>
      </c>
      <c r="I1208" s="128">
        <v>11.5</v>
      </c>
      <c r="J1208" s="128">
        <v>9.6999999999999993</v>
      </c>
      <c r="K1208" s="119" t="s">
        <v>26</v>
      </c>
      <c r="L1208" s="119" t="s">
        <v>26</v>
      </c>
      <c r="M1208" s="119" t="s">
        <v>26</v>
      </c>
      <c r="N1208" s="128">
        <v>12.4</v>
      </c>
      <c r="O1208" s="128">
        <v>5.2</v>
      </c>
      <c r="P1208" s="119" t="s">
        <v>26</v>
      </c>
      <c r="Q1208" s="119" t="s">
        <v>26</v>
      </c>
      <c r="R1208" s="119" t="s">
        <v>26</v>
      </c>
      <c r="S1208" s="120" t="s">
        <v>26</v>
      </c>
      <c r="T1208" s="121" t="s">
        <v>26</v>
      </c>
      <c r="U1208" s="130">
        <v>30</v>
      </c>
      <c r="V1208" s="126" t="s">
        <v>26</v>
      </c>
      <c r="AC1208" s="33"/>
      <c r="AD1208" s="33"/>
      <c r="AE1208" s="33"/>
    </row>
    <row r="1209" spans="1:31">
      <c r="A1209" s="6" t="s">
        <v>1190</v>
      </c>
      <c r="B1209" s="1" t="s">
        <v>981</v>
      </c>
      <c r="C1209" s="1" t="s">
        <v>22</v>
      </c>
      <c r="D1209" s="8" t="s">
        <v>955</v>
      </c>
      <c r="E1209" s="28" t="s">
        <v>24</v>
      </c>
      <c r="F1209" s="4" t="s">
        <v>1192</v>
      </c>
      <c r="G1209" s="142">
        <v>272</v>
      </c>
      <c r="H1209" s="128">
        <v>13.9</v>
      </c>
      <c r="I1209" s="119" t="s">
        <v>26</v>
      </c>
      <c r="J1209" s="119" t="s">
        <v>26</v>
      </c>
      <c r="K1209" s="119" t="s">
        <v>26</v>
      </c>
      <c r="L1209" s="119" t="s">
        <v>26</v>
      </c>
      <c r="M1209" s="128">
        <v>2.5</v>
      </c>
      <c r="N1209" s="128">
        <v>2.6</v>
      </c>
      <c r="O1209" s="128">
        <v>4.2</v>
      </c>
      <c r="P1209" s="128">
        <v>3.8</v>
      </c>
      <c r="Q1209" s="128">
        <v>1.5</v>
      </c>
      <c r="R1209" s="119" t="s">
        <v>26</v>
      </c>
      <c r="S1209" s="120" t="s">
        <v>26</v>
      </c>
      <c r="T1209" s="121" t="s">
        <v>26</v>
      </c>
      <c r="U1209" s="123" t="s">
        <v>26</v>
      </c>
      <c r="V1209" s="89">
        <v>32</v>
      </c>
      <c r="AC1209" s="33"/>
      <c r="AD1209" s="33"/>
      <c r="AE1209" s="33"/>
    </row>
    <row r="1210" spans="1:31">
      <c r="A1210" s="6" t="s">
        <v>1190</v>
      </c>
      <c r="B1210" s="1" t="s">
        <v>981</v>
      </c>
      <c r="C1210" s="1" t="s">
        <v>22</v>
      </c>
      <c r="D1210" s="8" t="s">
        <v>955</v>
      </c>
      <c r="E1210" s="28" t="s">
        <v>27</v>
      </c>
      <c r="F1210" s="4" t="s">
        <v>1193</v>
      </c>
      <c r="G1210" s="142">
        <v>109</v>
      </c>
      <c r="H1210" s="128">
        <v>10</v>
      </c>
      <c r="I1210" s="128">
        <v>11</v>
      </c>
      <c r="J1210" s="128">
        <v>0.6</v>
      </c>
      <c r="K1210" s="119" t="s">
        <v>26</v>
      </c>
      <c r="L1210" s="119" t="s">
        <v>26</v>
      </c>
      <c r="M1210" s="128">
        <v>2</v>
      </c>
      <c r="N1210" s="128">
        <v>11.5</v>
      </c>
      <c r="O1210" s="128">
        <v>4.8</v>
      </c>
      <c r="P1210" s="119" t="s">
        <v>26</v>
      </c>
      <c r="Q1210" s="119" t="s">
        <v>26</v>
      </c>
      <c r="R1210" s="119" t="s">
        <v>26</v>
      </c>
      <c r="S1210" s="120" t="s">
        <v>26</v>
      </c>
      <c r="T1210" s="121" t="s">
        <v>26</v>
      </c>
      <c r="U1210" s="123" t="s">
        <v>26</v>
      </c>
      <c r="V1210" s="89">
        <v>122</v>
      </c>
      <c r="AC1210" s="33"/>
      <c r="AD1210" s="33"/>
      <c r="AE1210" s="33"/>
    </row>
    <row r="1211" spans="1:31">
      <c r="A1211" s="6" t="s">
        <v>1190</v>
      </c>
      <c r="B1211" s="1" t="s">
        <v>981</v>
      </c>
      <c r="C1211" s="1" t="s">
        <v>22</v>
      </c>
      <c r="D1211" s="8" t="s">
        <v>955</v>
      </c>
      <c r="E1211" s="28" t="s">
        <v>958</v>
      </c>
      <c r="F1211" s="4" t="s">
        <v>1194</v>
      </c>
      <c r="G1211" s="142">
        <v>87</v>
      </c>
      <c r="H1211" s="128">
        <v>7</v>
      </c>
      <c r="I1211" s="128">
        <v>12.2</v>
      </c>
      <c r="J1211" s="128">
        <v>0.7</v>
      </c>
      <c r="K1211" s="119" t="s">
        <v>26</v>
      </c>
      <c r="L1211" s="119" t="s">
        <v>26</v>
      </c>
      <c r="M1211" s="128">
        <v>1.8</v>
      </c>
      <c r="N1211" s="128">
        <v>14.6</v>
      </c>
      <c r="O1211" s="128">
        <v>5.2</v>
      </c>
      <c r="P1211" s="119" t="s">
        <v>26</v>
      </c>
      <c r="Q1211" s="119" t="s">
        <v>26</v>
      </c>
      <c r="R1211" s="119" t="s">
        <v>26</v>
      </c>
      <c r="S1211" s="120" t="s">
        <v>26</v>
      </c>
      <c r="T1211" s="121" t="s">
        <v>26</v>
      </c>
      <c r="U1211" s="123" t="s">
        <v>26</v>
      </c>
      <c r="V1211" s="89">
        <v>10</v>
      </c>
      <c r="AC1211" s="33"/>
      <c r="AD1211" s="33"/>
      <c r="AE1211" s="33"/>
    </row>
    <row r="1212" spans="1:31">
      <c r="A1212" s="6" t="s">
        <v>1190</v>
      </c>
      <c r="B1212" s="1" t="s">
        <v>981</v>
      </c>
      <c r="C1212" s="1" t="s">
        <v>22</v>
      </c>
      <c r="D1212" s="8" t="s">
        <v>955</v>
      </c>
      <c r="E1212" s="28" t="s">
        <v>29</v>
      </c>
      <c r="F1212" s="4" t="s">
        <v>994</v>
      </c>
      <c r="G1212" s="142">
        <v>50</v>
      </c>
      <c r="H1212" s="128">
        <v>5.2</v>
      </c>
      <c r="I1212" s="128">
        <v>21.5</v>
      </c>
      <c r="J1212" s="128">
        <v>2.5</v>
      </c>
      <c r="K1212" s="119" t="s">
        <v>26</v>
      </c>
      <c r="L1212" s="119" t="s">
        <v>26</v>
      </c>
      <c r="M1212" s="119" t="s">
        <v>26</v>
      </c>
      <c r="N1212" s="128">
        <v>17.8</v>
      </c>
      <c r="O1212" s="128">
        <v>5</v>
      </c>
      <c r="P1212" s="119" t="s">
        <v>26</v>
      </c>
      <c r="Q1212" s="119" t="s">
        <v>26</v>
      </c>
      <c r="R1212" s="119" t="s">
        <v>26</v>
      </c>
      <c r="S1212" s="120" t="s">
        <v>26</v>
      </c>
      <c r="T1212" s="121" t="s">
        <v>26</v>
      </c>
      <c r="U1212" s="123" t="s">
        <v>26</v>
      </c>
      <c r="V1212" s="89">
        <v>49</v>
      </c>
      <c r="AC1212" s="33"/>
      <c r="AD1212" s="33"/>
      <c r="AE1212" s="33"/>
    </row>
    <row r="1213" spans="1:31">
      <c r="A1213" s="6" t="s">
        <v>1190</v>
      </c>
      <c r="B1213" s="1" t="s">
        <v>981</v>
      </c>
      <c r="C1213" s="1" t="s">
        <v>22</v>
      </c>
      <c r="D1213" s="8" t="s">
        <v>955</v>
      </c>
      <c r="E1213" s="28" t="s">
        <v>31</v>
      </c>
      <c r="F1213" s="4" t="s">
        <v>1195</v>
      </c>
      <c r="G1213" s="142">
        <v>18</v>
      </c>
      <c r="H1213" s="119" t="s">
        <v>26</v>
      </c>
      <c r="I1213" s="128">
        <v>8.4</v>
      </c>
      <c r="J1213" s="128">
        <v>7.18</v>
      </c>
      <c r="K1213" s="119" t="s">
        <v>26</v>
      </c>
      <c r="L1213" s="119" t="s">
        <v>26</v>
      </c>
      <c r="M1213" s="119" t="s">
        <v>26</v>
      </c>
      <c r="N1213" s="128">
        <v>14.3</v>
      </c>
      <c r="O1213" s="128">
        <v>6.5</v>
      </c>
      <c r="P1213" s="119" t="s">
        <v>26</v>
      </c>
      <c r="Q1213" s="119" t="s">
        <v>26</v>
      </c>
      <c r="R1213" s="119" t="s">
        <v>26</v>
      </c>
      <c r="S1213" s="120" t="s">
        <v>26</v>
      </c>
      <c r="T1213" s="121" t="s">
        <v>26</v>
      </c>
      <c r="U1213" s="123" t="s">
        <v>26</v>
      </c>
      <c r="V1213" s="89">
        <v>19</v>
      </c>
      <c r="AC1213" s="33"/>
      <c r="AD1213" s="33"/>
      <c r="AE1213" s="33"/>
    </row>
    <row r="1214" spans="1:31">
      <c r="A1214" s="6" t="s">
        <v>1190</v>
      </c>
      <c r="B1214" s="1" t="s">
        <v>68</v>
      </c>
      <c r="C1214" s="1" t="s">
        <v>22</v>
      </c>
      <c r="D1214" s="8" t="s">
        <v>1015</v>
      </c>
      <c r="E1214" s="1" t="s">
        <v>27</v>
      </c>
      <c r="F1214" s="2">
        <v>4917</v>
      </c>
      <c r="G1214" s="142">
        <v>127</v>
      </c>
      <c r="H1214" s="128">
        <v>19.8</v>
      </c>
      <c r="I1214" s="128">
        <v>34.5</v>
      </c>
      <c r="J1214" s="119" t="s">
        <v>26</v>
      </c>
      <c r="K1214" s="119" t="s">
        <v>26</v>
      </c>
      <c r="L1214" s="119" t="s">
        <v>26</v>
      </c>
      <c r="M1214" s="119" t="s">
        <v>26</v>
      </c>
      <c r="N1214" s="119" t="s">
        <v>26</v>
      </c>
      <c r="O1214" s="125" t="s">
        <v>26</v>
      </c>
      <c r="P1214" s="119" t="s">
        <v>26</v>
      </c>
      <c r="Q1214" s="119" t="s">
        <v>26</v>
      </c>
      <c r="R1214" s="119" t="s">
        <v>26</v>
      </c>
      <c r="S1214" s="120" t="s">
        <v>26</v>
      </c>
      <c r="T1214" s="121" t="s">
        <v>26</v>
      </c>
      <c r="U1214" s="89">
        <v>1949</v>
      </c>
      <c r="V1214" s="126" t="s">
        <v>26</v>
      </c>
      <c r="AC1214" s="33"/>
      <c r="AD1214" s="33"/>
      <c r="AE1214" s="33"/>
    </row>
    <row r="1215" spans="1:31">
      <c r="A1215" s="6" t="s">
        <v>1190</v>
      </c>
      <c r="B1215" s="1" t="s">
        <v>68</v>
      </c>
      <c r="C1215" s="1" t="s">
        <v>22</v>
      </c>
      <c r="D1215" s="8" t="s">
        <v>1015</v>
      </c>
      <c r="E1215" s="2" t="s">
        <v>29</v>
      </c>
      <c r="F1215" s="4" t="s">
        <v>1196</v>
      </c>
      <c r="G1215" s="142">
        <v>55</v>
      </c>
      <c r="H1215" s="128">
        <v>7.8</v>
      </c>
      <c r="I1215" s="128">
        <v>23.9</v>
      </c>
      <c r="J1215" s="119" t="s">
        <v>26</v>
      </c>
      <c r="K1215" s="119" t="s">
        <v>26</v>
      </c>
      <c r="L1215" s="119" t="s">
        <v>26</v>
      </c>
      <c r="M1215" s="119" t="s">
        <v>26</v>
      </c>
      <c r="N1215" s="119" t="s">
        <v>26</v>
      </c>
      <c r="O1215" s="125" t="s">
        <v>26</v>
      </c>
      <c r="P1215" s="119" t="s">
        <v>26</v>
      </c>
      <c r="Q1215" s="119" t="s">
        <v>26</v>
      </c>
      <c r="R1215" s="119" t="s">
        <v>26</v>
      </c>
      <c r="S1215" s="120" t="s">
        <v>26</v>
      </c>
      <c r="T1215" s="121" t="s">
        <v>26</v>
      </c>
      <c r="U1215" s="89">
        <v>1234</v>
      </c>
      <c r="V1215" s="126" t="s">
        <v>26</v>
      </c>
      <c r="AC1215" s="33"/>
      <c r="AD1215" s="33"/>
      <c r="AE1215" s="33"/>
    </row>
    <row r="1216" spans="1:31">
      <c r="A1216" s="6" t="s">
        <v>1190</v>
      </c>
      <c r="B1216" s="1" t="s">
        <v>68</v>
      </c>
      <c r="C1216" s="1" t="s">
        <v>22</v>
      </c>
      <c r="D1216" s="8" t="s">
        <v>1015</v>
      </c>
      <c r="E1216" s="2" t="s">
        <v>31</v>
      </c>
      <c r="F1216" s="4" t="s">
        <v>715</v>
      </c>
      <c r="G1216" s="142">
        <v>21</v>
      </c>
      <c r="H1216" s="119" t="s">
        <v>26</v>
      </c>
      <c r="I1216" s="128">
        <v>18.399999999999999</v>
      </c>
      <c r="J1216" s="119" t="s">
        <v>26</v>
      </c>
      <c r="K1216" s="119" t="s">
        <v>26</v>
      </c>
      <c r="L1216" s="119" t="s">
        <v>26</v>
      </c>
      <c r="M1216" s="119" t="s">
        <v>26</v>
      </c>
      <c r="N1216" s="119" t="s">
        <v>26</v>
      </c>
      <c r="O1216" s="125" t="s">
        <v>26</v>
      </c>
      <c r="P1216" s="119" t="s">
        <v>26</v>
      </c>
      <c r="Q1216" s="119" t="s">
        <v>26</v>
      </c>
      <c r="R1216" s="119" t="s">
        <v>26</v>
      </c>
      <c r="S1216" s="120" t="s">
        <v>26</v>
      </c>
      <c r="T1216" s="121" t="s">
        <v>26</v>
      </c>
      <c r="U1216" s="89">
        <v>741</v>
      </c>
      <c r="V1216" s="126" t="s">
        <v>26</v>
      </c>
      <c r="AC1216" s="33"/>
      <c r="AD1216" s="33"/>
      <c r="AE1216" s="33"/>
    </row>
    <row r="1217" spans="1:31">
      <c r="A1217" s="6" t="s">
        <v>1197</v>
      </c>
      <c r="B1217" s="1" t="s">
        <v>21</v>
      </c>
      <c r="C1217" s="1" t="s">
        <v>22</v>
      </c>
      <c r="D1217" s="8" t="s">
        <v>1015</v>
      </c>
      <c r="E1217" s="2" t="s">
        <v>27</v>
      </c>
      <c r="F1217" s="4" t="s">
        <v>1198</v>
      </c>
      <c r="G1217" s="142">
        <v>138</v>
      </c>
      <c r="H1217" s="128">
        <v>21.4</v>
      </c>
      <c r="I1217" s="128">
        <v>32.6</v>
      </c>
      <c r="J1217" s="128">
        <v>0.7</v>
      </c>
      <c r="K1217" s="119" t="s">
        <v>26</v>
      </c>
      <c r="L1217" s="119" t="s">
        <v>26</v>
      </c>
      <c r="M1217" s="119" t="s">
        <v>26</v>
      </c>
      <c r="N1217" s="128">
        <v>4.9000000000000004</v>
      </c>
      <c r="O1217" s="128">
        <v>2.9</v>
      </c>
      <c r="P1217" s="128">
        <v>2.9</v>
      </c>
      <c r="Q1217" s="128">
        <v>2.4</v>
      </c>
      <c r="R1217" s="119" t="s">
        <v>26</v>
      </c>
      <c r="S1217" s="120" t="s">
        <v>26</v>
      </c>
      <c r="T1217" s="121" t="s">
        <v>26</v>
      </c>
      <c r="U1217" s="89">
        <v>889</v>
      </c>
      <c r="V1217" s="89">
        <v>188</v>
      </c>
      <c r="AC1217" s="33"/>
      <c r="AD1217" s="33"/>
      <c r="AE1217" s="33"/>
    </row>
    <row r="1218" spans="1:31">
      <c r="A1218" s="6" t="s">
        <v>1197</v>
      </c>
      <c r="B1218" s="1" t="s">
        <v>21</v>
      </c>
      <c r="C1218" s="1" t="s">
        <v>22</v>
      </c>
      <c r="D1218" s="8" t="s">
        <v>1015</v>
      </c>
      <c r="E1218" s="2" t="s">
        <v>29</v>
      </c>
      <c r="F1218" s="4" t="s">
        <v>1199</v>
      </c>
      <c r="G1218" s="142">
        <v>52</v>
      </c>
      <c r="H1218" s="128">
        <v>8.1999999999999993</v>
      </c>
      <c r="I1218" s="128">
        <v>28.5</v>
      </c>
      <c r="J1218" s="128">
        <v>4.2</v>
      </c>
      <c r="K1218" s="119" t="s">
        <v>26</v>
      </c>
      <c r="L1218" s="119" t="s">
        <v>26</v>
      </c>
      <c r="M1218" s="119" t="s">
        <v>26</v>
      </c>
      <c r="N1218" s="128">
        <v>17.8</v>
      </c>
      <c r="O1218" s="128">
        <v>6.2</v>
      </c>
      <c r="P1218" s="119" t="s">
        <v>26</v>
      </c>
      <c r="Q1218" s="119" t="s">
        <v>26</v>
      </c>
      <c r="R1218" s="119" t="s">
        <v>26</v>
      </c>
      <c r="S1218" s="120" t="s">
        <v>26</v>
      </c>
      <c r="T1218" s="121" t="s">
        <v>26</v>
      </c>
      <c r="U1218" s="89">
        <v>1563</v>
      </c>
      <c r="V1218" s="89">
        <v>84</v>
      </c>
      <c r="AC1218" s="33"/>
      <c r="AD1218" s="33"/>
      <c r="AE1218" s="33"/>
    </row>
    <row r="1219" spans="1:31">
      <c r="A1219" s="6" t="s">
        <v>1197</v>
      </c>
      <c r="B1219" s="1" t="s">
        <v>21</v>
      </c>
      <c r="C1219" s="1" t="s">
        <v>22</v>
      </c>
      <c r="D1219" s="8" t="s">
        <v>1015</v>
      </c>
      <c r="E1219" s="28" t="s">
        <v>31</v>
      </c>
      <c r="F1219" s="4" t="s">
        <v>88</v>
      </c>
      <c r="G1219" s="142">
        <v>18</v>
      </c>
      <c r="H1219" s="128">
        <v>8.84</v>
      </c>
      <c r="I1219" s="128">
        <v>18.600000000000001</v>
      </c>
      <c r="J1219" s="128">
        <v>15.5</v>
      </c>
      <c r="K1219" s="119" t="s">
        <v>26</v>
      </c>
      <c r="L1219" s="119" t="s">
        <v>26</v>
      </c>
      <c r="M1219" s="119" t="s">
        <v>26</v>
      </c>
      <c r="N1219" s="128">
        <v>15.6</v>
      </c>
      <c r="O1219" s="125" t="s">
        <v>26</v>
      </c>
      <c r="P1219" s="119" t="s">
        <v>26</v>
      </c>
      <c r="Q1219" s="119" t="s">
        <v>26</v>
      </c>
      <c r="R1219" s="119" t="s">
        <v>26</v>
      </c>
      <c r="S1219" s="120" t="s">
        <v>26</v>
      </c>
      <c r="T1219" s="121" t="s">
        <v>26</v>
      </c>
      <c r="U1219" s="89">
        <v>729</v>
      </c>
      <c r="V1219" s="89">
        <v>24</v>
      </c>
      <c r="AC1219" s="33"/>
      <c r="AD1219" s="33"/>
      <c r="AE1219" s="33"/>
    </row>
    <row r="1220" spans="1:31">
      <c r="A1220" s="6" t="s">
        <v>1200</v>
      </c>
      <c r="B1220" s="1" t="s">
        <v>119</v>
      </c>
      <c r="C1220" s="1" t="s">
        <v>22</v>
      </c>
      <c r="D1220" s="8" t="s">
        <v>1015</v>
      </c>
      <c r="E1220" s="28" t="s">
        <v>27</v>
      </c>
      <c r="F1220" s="4" t="s">
        <v>1201</v>
      </c>
      <c r="G1220" s="142">
        <v>161</v>
      </c>
      <c r="H1220" s="128">
        <v>6.5</v>
      </c>
      <c r="I1220" s="128">
        <v>27.2</v>
      </c>
      <c r="J1220" s="119" t="s">
        <v>26</v>
      </c>
      <c r="K1220" s="119" t="s">
        <v>26</v>
      </c>
      <c r="L1220" s="119" t="s">
        <v>26</v>
      </c>
      <c r="M1220" s="119" t="s">
        <v>26</v>
      </c>
      <c r="N1220" s="128">
        <v>6.6</v>
      </c>
      <c r="O1220" s="125" t="s">
        <v>26</v>
      </c>
      <c r="P1220" s="128">
        <v>11.4</v>
      </c>
      <c r="Q1220" s="128">
        <v>1.9</v>
      </c>
      <c r="R1220" s="119" t="s">
        <v>26</v>
      </c>
      <c r="S1220" s="120" t="s">
        <v>26</v>
      </c>
      <c r="T1220" s="121" t="s">
        <v>26</v>
      </c>
      <c r="U1220" s="89">
        <v>560</v>
      </c>
      <c r="V1220" s="89">
        <v>106</v>
      </c>
      <c r="AC1220" s="33"/>
      <c r="AD1220" s="33"/>
      <c r="AE1220" s="33"/>
    </row>
    <row r="1221" spans="1:31">
      <c r="A1221" s="6" t="s">
        <v>1200</v>
      </c>
      <c r="B1221" s="1" t="s">
        <v>119</v>
      </c>
      <c r="C1221" s="1" t="s">
        <v>22</v>
      </c>
      <c r="D1221" s="8" t="s">
        <v>1015</v>
      </c>
      <c r="E1221" s="28" t="s">
        <v>958</v>
      </c>
      <c r="F1221" s="4" t="s">
        <v>1202</v>
      </c>
      <c r="G1221" s="142">
        <v>90</v>
      </c>
      <c r="H1221" s="128">
        <v>8.9</v>
      </c>
      <c r="I1221" s="128">
        <v>18.3</v>
      </c>
      <c r="J1221" s="128">
        <v>0.9</v>
      </c>
      <c r="K1221" s="119" t="s">
        <v>26</v>
      </c>
      <c r="L1221" s="119" t="s">
        <v>26</v>
      </c>
      <c r="M1221" s="119" t="s">
        <v>26</v>
      </c>
      <c r="N1221" s="128">
        <v>6.8</v>
      </c>
      <c r="O1221" s="125" t="s">
        <v>26</v>
      </c>
      <c r="P1221" s="128">
        <v>6.2</v>
      </c>
      <c r="Q1221" s="119" t="s">
        <v>26</v>
      </c>
      <c r="R1221" s="119" t="s">
        <v>26</v>
      </c>
      <c r="S1221" s="120" t="s">
        <v>26</v>
      </c>
      <c r="T1221" s="121" t="s">
        <v>26</v>
      </c>
      <c r="U1221" s="123" t="s">
        <v>26</v>
      </c>
      <c r="V1221" s="89">
        <v>20</v>
      </c>
      <c r="AC1221" s="33"/>
      <c r="AD1221" s="33"/>
      <c r="AE1221" s="33"/>
    </row>
    <row r="1222" spans="1:31">
      <c r="A1222" s="6" t="s">
        <v>1200</v>
      </c>
      <c r="B1222" s="1" t="s">
        <v>119</v>
      </c>
      <c r="C1222" s="1" t="s">
        <v>22</v>
      </c>
      <c r="D1222" s="8" t="s">
        <v>1015</v>
      </c>
      <c r="E1222" s="28" t="s">
        <v>29</v>
      </c>
      <c r="F1222" s="4" t="s">
        <v>632</v>
      </c>
      <c r="G1222" s="142">
        <v>51</v>
      </c>
      <c r="H1222" s="128">
        <v>7.2</v>
      </c>
      <c r="I1222" s="128">
        <v>22.8</v>
      </c>
      <c r="J1222" s="128">
        <v>4.34</v>
      </c>
      <c r="K1222" s="119" t="s">
        <v>26</v>
      </c>
      <c r="L1222" s="119" t="s">
        <v>26</v>
      </c>
      <c r="M1222" s="119" t="s">
        <v>26</v>
      </c>
      <c r="N1222" s="128">
        <v>14.4</v>
      </c>
      <c r="O1222" s="125" t="s">
        <v>26</v>
      </c>
      <c r="P1222" s="119" t="s">
        <v>26</v>
      </c>
      <c r="Q1222" s="119" t="s">
        <v>26</v>
      </c>
      <c r="R1222" s="119" t="s">
        <v>26</v>
      </c>
      <c r="S1222" s="120" t="s">
        <v>26</v>
      </c>
      <c r="T1222" s="121" t="s">
        <v>26</v>
      </c>
      <c r="U1222" s="89">
        <v>969</v>
      </c>
      <c r="V1222" s="89">
        <v>74</v>
      </c>
      <c r="AC1222" s="33"/>
      <c r="AD1222" s="33"/>
      <c r="AE1222" s="33"/>
    </row>
    <row r="1223" spans="1:31">
      <c r="A1223" s="6" t="s">
        <v>1200</v>
      </c>
      <c r="B1223" s="1" t="s">
        <v>119</v>
      </c>
      <c r="C1223" s="1" t="s">
        <v>22</v>
      </c>
      <c r="D1223" s="8" t="s">
        <v>1015</v>
      </c>
      <c r="E1223" s="28" t="s">
        <v>31</v>
      </c>
      <c r="F1223" s="4" t="s">
        <v>1203</v>
      </c>
      <c r="G1223" s="142">
        <v>17</v>
      </c>
      <c r="H1223" s="128">
        <v>6.8</v>
      </c>
      <c r="I1223" s="128">
        <v>11.8</v>
      </c>
      <c r="J1223" s="128">
        <v>15.8</v>
      </c>
      <c r="K1223" s="119" t="s">
        <v>26</v>
      </c>
      <c r="L1223" s="119" t="s">
        <v>26</v>
      </c>
      <c r="M1223" s="119" t="s">
        <v>26</v>
      </c>
      <c r="N1223" s="128">
        <v>8.4</v>
      </c>
      <c r="O1223" s="125" t="s">
        <v>26</v>
      </c>
      <c r="P1223" s="119" t="s">
        <v>26</v>
      </c>
      <c r="Q1223" s="119" t="s">
        <v>26</v>
      </c>
      <c r="R1223" s="119" t="s">
        <v>26</v>
      </c>
      <c r="S1223" s="120" t="s">
        <v>26</v>
      </c>
      <c r="T1223" s="121" t="s">
        <v>26</v>
      </c>
      <c r="U1223" s="89">
        <v>640</v>
      </c>
      <c r="V1223" s="89">
        <v>41</v>
      </c>
      <c r="AC1223" s="33"/>
      <c r="AD1223" s="33"/>
      <c r="AE1223" s="33"/>
    </row>
    <row r="1224" spans="1:31">
      <c r="A1224" s="6" t="s">
        <v>1204</v>
      </c>
      <c r="B1224" s="1" t="s">
        <v>1205</v>
      </c>
      <c r="C1224" s="1" t="s">
        <v>22</v>
      </c>
      <c r="D1224" s="8" t="s">
        <v>955</v>
      </c>
      <c r="E1224" s="28" t="s">
        <v>24</v>
      </c>
      <c r="F1224" s="4" t="s">
        <v>1206</v>
      </c>
      <c r="G1224" s="142">
        <v>248</v>
      </c>
      <c r="H1224" s="128">
        <v>14.5</v>
      </c>
      <c r="I1224" s="119" t="s">
        <v>26</v>
      </c>
      <c r="J1224" s="119" t="s">
        <v>26</v>
      </c>
      <c r="K1224" s="128">
        <v>2</v>
      </c>
      <c r="L1224" s="119" t="s">
        <v>26</v>
      </c>
      <c r="M1224" s="128">
        <v>4.5</v>
      </c>
      <c r="N1224" s="128">
        <v>10.8</v>
      </c>
      <c r="O1224" s="128">
        <v>4.5</v>
      </c>
      <c r="P1224" s="119" t="s">
        <v>26</v>
      </c>
      <c r="Q1224" s="119" t="s">
        <v>26</v>
      </c>
      <c r="R1224" s="119" t="s">
        <v>26</v>
      </c>
      <c r="S1224" s="120" t="s">
        <v>26</v>
      </c>
      <c r="T1224" s="128">
        <v>41</v>
      </c>
      <c r="U1224" s="130">
        <v>243</v>
      </c>
      <c r="V1224" s="89">
        <v>26</v>
      </c>
      <c r="AC1224" s="33"/>
      <c r="AD1224" s="33"/>
      <c r="AE1224" s="33"/>
    </row>
    <row r="1225" spans="1:31">
      <c r="A1225" s="6" t="s">
        <v>1204</v>
      </c>
      <c r="B1225" s="1" t="s">
        <v>1205</v>
      </c>
      <c r="C1225" s="1" t="s">
        <v>22</v>
      </c>
      <c r="D1225" s="8" t="s">
        <v>955</v>
      </c>
      <c r="E1225" s="28" t="s">
        <v>27</v>
      </c>
      <c r="F1225" s="4" t="s">
        <v>1005</v>
      </c>
      <c r="G1225" s="142">
        <v>108</v>
      </c>
      <c r="H1225" s="128">
        <v>9.4</v>
      </c>
      <c r="I1225" s="128">
        <v>15.2</v>
      </c>
      <c r="J1225" s="128">
        <v>2.5</v>
      </c>
      <c r="K1225" s="128">
        <v>3</v>
      </c>
      <c r="L1225" s="119" t="s">
        <v>26</v>
      </c>
      <c r="M1225" s="128">
        <v>3.2</v>
      </c>
      <c r="N1225" s="128">
        <v>14.6</v>
      </c>
      <c r="O1225" s="128">
        <v>4.8</v>
      </c>
      <c r="P1225" s="119" t="s">
        <v>26</v>
      </c>
      <c r="Q1225" s="119" t="s">
        <v>26</v>
      </c>
      <c r="R1225" s="119" t="s">
        <v>26</v>
      </c>
      <c r="S1225" s="120" t="s">
        <v>26</v>
      </c>
      <c r="T1225" s="121" t="s">
        <v>26</v>
      </c>
      <c r="U1225" s="130">
        <v>46</v>
      </c>
      <c r="V1225" s="89">
        <v>183</v>
      </c>
      <c r="AC1225" s="33"/>
      <c r="AD1225" s="33"/>
      <c r="AE1225" s="33"/>
    </row>
    <row r="1226" spans="1:31">
      <c r="A1226" s="6" t="s">
        <v>1204</v>
      </c>
      <c r="B1226" s="1" t="s">
        <v>1205</v>
      </c>
      <c r="C1226" s="1" t="s">
        <v>22</v>
      </c>
      <c r="D1226" s="8" t="s">
        <v>955</v>
      </c>
      <c r="E1226" s="28" t="s">
        <v>958</v>
      </c>
      <c r="F1226" s="4" t="s">
        <v>993</v>
      </c>
      <c r="G1226" s="142">
        <v>85</v>
      </c>
      <c r="H1226" s="128">
        <v>21.5</v>
      </c>
      <c r="I1226" s="128">
        <v>9.1999999999999993</v>
      </c>
      <c r="J1226" s="128">
        <v>3.2</v>
      </c>
      <c r="K1226" s="128">
        <v>4</v>
      </c>
      <c r="L1226" s="119" t="s">
        <v>26</v>
      </c>
      <c r="M1226" s="128">
        <v>3.8</v>
      </c>
      <c r="N1226" s="128">
        <v>17.399999999999999</v>
      </c>
      <c r="O1226" s="128">
        <v>5.6</v>
      </c>
      <c r="P1226" s="119" t="s">
        <v>26</v>
      </c>
      <c r="Q1226" s="119" t="s">
        <v>26</v>
      </c>
      <c r="R1226" s="119" t="s">
        <v>26</v>
      </c>
      <c r="S1226" s="120" t="s">
        <v>26</v>
      </c>
      <c r="T1226" s="121" t="s">
        <v>26</v>
      </c>
      <c r="U1226" s="130">
        <v>26</v>
      </c>
      <c r="V1226" s="89">
        <v>11</v>
      </c>
      <c r="AC1226" s="33"/>
      <c r="AD1226" s="33"/>
      <c r="AE1226" s="33"/>
    </row>
    <row r="1227" spans="1:31">
      <c r="A1227" s="6" t="s">
        <v>1204</v>
      </c>
      <c r="B1227" s="1" t="s">
        <v>1205</v>
      </c>
      <c r="C1227" s="1" t="s">
        <v>22</v>
      </c>
      <c r="D1227" s="8" t="s">
        <v>955</v>
      </c>
      <c r="E1227" s="28" t="s">
        <v>29</v>
      </c>
      <c r="F1227" s="4" t="s">
        <v>959</v>
      </c>
      <c r="G1227" s="142">
        <v>49</v>
      </c>
      <c r="H1227" s="128">
        <v>13.4</v>
      </c>
      <c r="I1227" s="128">
        <v>22.6</v>
      </c>
      <c r="J1227" s="128">
        <v>3.22</v>
      </c>
      <c r="K1227" s="128">
        <v>2</v>
      </c>
      <c r="L1227" s="119" t="s">
        <v>26</v>
      </c>
      <c r="M1227" s="119" t="s">
        <v>26</v>
      </c>
      <c r="N1227" s="128">
        <v>21.5</v>
      </c>
      <c r="O1227" s="128">
        <v>8.4</v>
      </c>
      <c r="P1227" s="119" t="s">
        <v>26</v>
      </c>
      <c r="Q1227" s="119" t="s">
        <v>26</v>
      </c>
      <c r="R1227" s="119" t="s">
        <v>26</v>
      </c>
      <c r="S1227" s="120" t="s">
        <v>26</v>
      </c>
      <c r="T1227" s="121" t="s">
        <v>26</v>
      </c>
      <c r="U1227" s="130">
        <v>42</v>
      </c>
      <c r="V1227" s="89">
        <v>18</v>
      </c>
      <c r="AC1227" s="33"/>
      <c r="AD1227" s="33"/>
      <c r="AE1227" s="33"/>
    </row>
    <row r="1228" spans="1:31">
      <c r="A1228" s="6" t="s">
        <v>1204</v>
      </c>
      <c r="B1228" s="1" t="s">
        <v>1205</v>
      </c>
      <c r="C1228" s="1" t="s">
        <v>22</v>
      </c>
      <c r="D1228" s="8" t="s">
        <v>955</v>
      </c>
      <c r="E1228" s="28" t="s">
        <v>31</v>
      </c>
      <c r="F1228" s="4" t="s">
        <v>1195</v>
      </c>
      <c r="G1228" s="142">
        <v>19</v>
      </c>
      <c r="H1228" s="119" t="s">
        <v>26</v>
      </c>
      <c r="I1228" s="128">
        <v>14.2</v>
      </c>
      <c r="J1228" s="128">
        <v>6.88</v>
      </c>
      <c r="K1228" s="128">
        <v>1</v>
      </c>
      <c r="L1228" s="119" t="s">
        <v>26</v>
      </c>
      <c r="M1228" s="119" t="s">
        <v>26</v>
      </c>
      <c r="N1228" s="128">
        <v>20.6</v>
      </c>
      <c r="O1228" s="128">
        <v>12.4</v>
      </c>
      <c r="P1228" s="119" t="s">
        <v>26</v>
      </c>
      <c r="Q1228" s="119" t="s">
        <v>26</v>
      </c>
      <c r="R1228" s="119" t="s">
        <v>26</v>
      </c>
      <c r="S1228" s="120" t="s">
        <v>26</v>
      </c>
      <c r="T1228" s="121" t="s">
        <v>26</v>
      </c>
      <c r="U1228" s="130">
        <v>25</v>
      </c>
      <c r="V1228" s="89">
        <v>75</v>
      </c>
      <c r="AC1228" s="33"/>
      <c r="AD1228" s="33"/>
      <c r="AE1228" s="33"/>
    </row>
    <row r="1229" spans="1:31">
      <c r="A1229" s="6" t="s">
        <v>1204</v>
      </c>
      <c r="B1229" s="1" t="s">
        <v>119</v>
      </c>
      <c r="C1229" s="1" t="s">
        <v>22</v>
      </c>
      <c r="D1229" s="8" t="s">
        <v>1015</v>
      </c>
      <c r="E1229" s="28" t="s">
        <v>27</v>
      </c>
      <c r="F1229" s="4" t="s">
        <v>1207</v>
      </c>
      <c r="G1229" s="142">
        <v>159</v>
      </c>
      <c r="H1229" s="128">
        <v>18.5</v>
      </c>
      <c r="I1229" s="128">
        <v>34.6</v>
      </c>
      <c r="J1229" s="128">
        <v>0.7</v>
      </c>
      <c r="K1229" s="119" t="s">
        <v>26</v>
      </c>
      <c r="L1229" s="128">
        <v>0.8</v>
      </c>
      <c r="M1229" s="119" t="s">
        <v>26</v>
      </c>
      <c r="N1229" s="128">
        <v>7.4</v>
      </c>
      <c r="O1229" s="128">
        <v>3.5</v>
      </c>
      <c r="P1229" s="128">
        <v>6.8</v>
      </c>
      <c r="Q1229" s="119" t="s">
        <v>26</v>
      </c>
      <c r="R1229" s="119" t="s">
        <v>26</v>
      </c>
      <c r="S1229" s="120" t="s">
        <v>26</v>
      </c>
      <c r="T1229" s="121" t="s">
        <v>26</v>
      </c>
      <c r="U1229" s="130">
        <v>460</v>
      </c>
      <c r="V1229" s="126" t="s">
        <v>26</v>
      </c>
      <c r="AC1229" s="33"/>
      <c r="AD1229" s="33"/>
      <c r="AE1229" s="33"/>
    </row>
    <row r="1230" spans="1:31">
      <c r="A1230" s="6" t="s">
        <v>1204</v>
      </c>
      <c r="B1230" s="1" t="s">
        <v>119</v>
      </c>
      <c r="C1230" s="1" t="s">
        <v>22</v>
      </c>
      <c r="D1230" s="8" t="s">
        <v>1015</v>
      </c>
      <c r="E1230" s="28" t="s">
        <v>958</v>
      </c>
      <c r="F1230" s="4" t="s">
        <v>1208</v>
      </c>
      <c r="G1230" s="119">
        <v>84</v>
      </c>
      <c r="H1230" s="119" t="s">
        <v>26</v>
      </c>
      <c r="I1230" s="119" t="s">
        <v>26</v>
      </c>
      <c r="J1230" s="134" t="s">
        <v>1452</v>
      </c>
      <c r="K1230" s="119" t="s">
        <v>26</v>
      </c>
      <c r="L1230" s="119" t="s">
        <v>26</v>
      </c>
      <c r="M1230" s="119" t="s">
        <v>26</v>
      </c>
      <c r="N1230" s="119" t="s">
        <v>26</v>
      </c>
      <c r="O1230" s="134" t="s">
        <v>1455</v>
      </c>
      <c r="P1230" s="119" t="s">
        <v>26</v>
      </c>
      <c r="Q1230" s="119" t="s">
        <v>26</v>
      </c>
      <c r="R1230" s="119" t="s">
        <v>26</v>
      </c>
      <c r="S1230" s="120" t="s">
        <v>26</v>
      </c>
      <c r="T1230" s="121" t="s">
        <v>26</v>
      </c>
      <c r="U1230" s="123" t="s">
        <v>26</v>
      </c>
      <c r="V1230" s="126" t="s">
        <v>26</v>
      </c>
      <c r="AC1230" s="33"/>
      <c r="AD1230" s="33"/>
      <c r="AE1230" s="33"/>
    </row>
    <row r="1231" spans="1:31">
      <c r="A1231" s="6" t="s">
        <v>1204</v>
      </c>
      <c r="B1231" s="1" t="s">
        <v>119</v>
      </c>
      <c r="C1231" s="1" t="s">
        <v>22</v>
      </c>
      <c r="D1231" s="8" t="s">
        <v>1015</v>
      </c>
      <c r="E1231" s="28" t="s">
        <v>29</v>
      </c>
      <c r="F1231" s="4" t="s">
        <v>869</v>
      </c>
      <c r="G1231" s="142">
        <v>52</v>
      </c>
      <c r="H1231" s="128">
        <v>5.9</v>
      </c>
      <c r="I1231" s="128">
        <v>25.6</v>
      </c>
      <c r="J1231" s="128">
        <v>3.22</v>
      </c>
      <c r="K1231" s="119" t="s">
        <v>26</v>
      </c>
      <c r="L1231" s="119" t="s">
        <v>26</v>
      </c>
      <c r="M1231" s="119" t="s">
        <v>26</v>
      </c>
      <c r="N1231" s="128">
        <v>15.1</v>
      </c>
      <c r="O1231" s="128">
        <v>5.8</v>
      </c>
      <c r="P1231" s="119" t="s">
        <v>26</v>
      </c>
      <c r="Q1231" s="119" t="s">
        <v>26</v>
      </c>
      <c r="R1231" s="119" t="s">
        <v>26</v>
      </c>
      <c r="S1231" s="120" t="s">
        <v>26</v>
      </c>
      <c r="T1231" s="121" t="s">
        <v>26</v>
      </c>
      <c r="U1231" s="89">
        <v>1774</v>
      </c>
      <c r="V1231" s="126" t="s">
        <v>26</v>
      </c>
      <c r="AC1231" s="33"/>
      <c r="AD1231" s="33"/>
      <c r="AE1231" s="33"/>
    </row>
    <row r="1232" spans="1:31">
      <c r="A1232" s="6" t="s">
        <v>1204</v>
      </c>
      <c r="B1232" s="1" t="s">
        <v>119</v>
      </c>
      <c r="C1232" s="1" t="s">
        <v>22</v>
      </c>
      <c r="D1232" s="8" t="s">
        <v>1015</v>
      </c>
      <c r="E1232" s="28" t="s">
        <v>31</v>
      </c>
      <c r="F1232" s="4" t="s">
        <v>223</v>
      </c>
      <c r="G1232" s="142">
        <v>19</v>
      </c>
      <c r="H1232" s="128">
        <v>7.6</v>
      </c>
      <c r="I1232" s="128">
        <v>16.5</v>
      </c>
      <c r="J1232" s="128">
        <v>15.12</v>
      </c>
      <c r="K1232" s="119" t="s">
        <v>26</v>
      </c>
      <c r="L1232" s="119" t="s">
        <v>26</v>
      </c>
      <c r="M1232" s="119" t="s">
        <v>26</v>
      </c>
      <c r="N1232" s="128">
        <v>12.3</v>
      </c>
      <c r="O1232" s="128">
        <v>6.9</v>
      </c>
      <c r="P1232" s="119" t="s">
        <v>26</v>
      </c>
      <c r="Q1232" s="119" t="s">
        <v>26</v>
      </c>
      <c r="R1232" s="119" t="s">
        <v>26</v>
      </c>
      <c r="S1232" s="120" t="s">
        <v>26</v>
      </c>
      <c r="T1232" s="121" t="s">
        <v>26</v>
      </c>
      <c r="U1232" s="143">
        <v>1149</v>
      </c>
      <c r="V1232" s="126" t="s">
        <v>26</v>
      </c>
      <c r="AC1232" s="33"/>
      <c r="AD1232" s="33"/>
      <c r="AE1232" s="33"/>
    </row>
    <row r="1233" spans="1:31">
      <c r="A1233" s="6" t="s">
        <v>1209</v>
      </c>
      <c r="B1233" s="1" t="s">
        <v>1210</v>
      </c>
      <c r="C1233" s="1" t="s">
        <v>22</v>
      </c>
      <c r="D1233" s="8" t="s">
        <v>1015</v>
      </c>
      <c r="E1233" s="28" t="s">
        <v>27</v>
      </c>
      <c r="F1233" s="4" t="s">
        <v>1211</v>
      </c>
      <c r="G1233" s="142">
        <v>146</v>
      </c>
      <c r="H1233" s="128">
        <v>32.200000000000003</v>
      </c>
      <c r="I1233" s="128">
        <v>33.799999999999997</v>
      </c>
      <c r="J1233" s="128">
        <v>0.9</v>
      </c>
      <c r="K1233" s="119" t="s">
        <v>26</v>
      </c>
      <c r="L1233" s="128">
        <v>0.7</v>
      </c>
      <c r="M1233" s="119" t="s">
        <v>26</v>
      </c>
      <c r="N1233" s="128">
        <v>7.1</v>
      </c>
      <c r="O1233" s="128">
        <v>5.7</v>
      </c>
      <c r="P1233" s="119" t="s">
        <v>26</v>
      </c>
      <c r="Q1233" s="119" t="s">
        <v>26</v>
      </c>
      <c r="R1233" s="119" t="s">
        <v>26</v>
      </c>
      <c r="S1233" s="120" t="s">
        <v>26</v>
      </c>
      <c r="T1233" s="121" t="s">
        <v>26</v>
      </c>
      <c r="U1233" s="89">
        <v>595</v>
      </c>
      <c r="V1233" s="126" t="s">
        <v>26</v>
      </c>
      <c r="AC1233" s="33"/>
      <c r="AD1233" s="33"/>
      <c r="AE1233" s="33"/>
    </row>
    <row r="1234" spans="1:31">
      <c r="A1234" s="6" t="s">
        <v>1209</v>
      </c>
      <c r="B1234" s="1" t="s">
        <v>1210</v>
      </c>
      <c r="C1234" s="1" t="s">
        <v>22</v>
      </c>
      <c r="D1234" s="8" t="s">
        <v>1015</v>
      </c>
      <c r="E1234" s="28" t="s">
        <v>29</v>
      </c>
      <c r="F1234" s="4" t="s">
        <v>1212</v>
      </c>
      <c r="G1234" s="142">
        <v>51</v>
      </c>
      <c r="H1234" s="128">
        <v>8.2799999999999994</v>
      </c>
      <c r="I1234" s="128">
        <v>15.4</v>
      </c>
      <c r="J1234" s="128">
        <v>4.8099999999999996</v>
      </c>
      <c r="K1234" s="119" t="s">
        <v>26</v>
      </c>
      <c r="L1234" s="119" t="s">
        <v>26</v>
      </c>
      <c r="M1234" s="119" t="s">
        <v>26</v>
      </c>
      <c r="N1234" s="128">
        <v>6.7</v>
      </c>
      <c r="O1234" s="128">
        <v>8.1999999999999993</v>
      </c>
      <c r="P1234" s="119" t="s">
        <v>26</v>
      </c>
      <c r="Q1234" s="128">
        <v>1.2</v>
      </c>
      <c r="R1234" s="119" t="s">
        <v>26</v>
      </c>
      <c r="S1234" s="120" t="s">
        <v>26</v>
      </c>
      <c r="T1234" s="121" t="s">
        <v>26</v>
      </c>
      <c r="U1234" s="143">
        <v>1407</v>
      </c>
      <c r="V1234" s="126" t="s">
        <v>26</v>
      </c>
      <c r="AC1234" s="33"/>
      <c r="AD1234" s="33"/>
      <c r="AE1234" s="33"/>
    </row>
    <row r="1235" spans="1:31">
      <c r="A1235" s="6" t="s">
        <v>1209</v>
      </c>
      <c r="B1235" s="1" t="s">
        <v>1210</v>
      </c>
      <c r="C1235" s="1" t="s">
        <v>22</v>
      </c>
      <c r="D1235" s="8" t="s">
        <v>1015</v>
      </c>
      <c r="E1235" s="28" t="s">
        <v>31</v>
      </c>
      <c r="F1235" s="4" t="s">
        <v>1213</v>
      </c>
      <c r="G1235" s="142">
        <v>19</v>
      </c>
      <c r="H1235" s="119" t="s">
        <v>26</v>
      </c>
      <c r="I1235" s="128">
        <v>9.3000000000000007</v>
      </c>
      <c r="J1235" s="128">
        <v>15.2</v>
      </c>
      <c r="K1235" s="119" t="s">
        <v>26</v>
      </c>
      <c r="L1235" s="119" t="s">
        <v>26</v>
      </c>
      <c r="M1235" s="119" t="s">
        <v>26</v>
      </c>
      <c r="N1235" s="128">
        <v>7.7</v>
      </c>
      <c r="O1235" s="125" t="s">
        <v>26</v>
      </c>
      <c r="P1235" s="119" t="s">
        <v>26</v>
      </c>
      <c r="Q1235" s="119" t="s">
        <v>26</v>
      </c>
      <c r="R1235" s="119" t="s">
        <v>26</v>
      </c>
      <c r="S1235" s="120" t="s">
        <v>26</v>
      </c>
      <c r="T1235" s="121" t="s">
        <v>26</v>
      </c>
      <c r="U1235" s="143">
        <v>755</v>
      </c>
      <c r="V1235" s="126" t="s">
        <v>26</v>
      </c>
      <c r="AC1235" s="33"/>
      <c r="AD1235" s="33"/>
      <c r="AE1235" s="33"/>
    </row>
    <row r="1236" spans="1:31">
      <c r="A1236" s="6" t="s">
        <v>1214</v>
      </c>
      <c r="B1236" s="1" t="s">
        <v>1215</v>
      </c>
      <c r="C1236" s="1" t="s">
        <v>22</v>
      </c>
      <c r="D1236" s="8" t="s">
        <v>1015</v>
      </c>
      <c r="E1236" s="28" t="s">
        <v>27</v>
      </c>
      <c r="F1236" s="4" t="s">
        <v>1216</v>
      </c>
      <c r="G1236" s="142">
        <v>152</v>
      </c>
      <c r="H1236" s="128">
        <v>22.4</v>
      </c>
      <c r="I1236" s="128">
        <v>32.5</v>
      </c>
      <c r="J1236" s="128">
        <v>2.36</v>
      </c>
      <c r="K1236" s="119" t="s">
        <v>26</v>
      </c>
      <c r="L1236" s="119" t="s">
        <v>26</v>
      </c>
      <c r="M1236" s="119" t="s">
        <v>26</v>
      </c>
      <c r="N1236" s="128">
        <v>7.8</v>
      </c>
      <c r="O1236" s="128">
        <v>6.5</v>
      </c>
      <c r="P1236" s="128">
        <v>4.9000000000000004</v>
      </c>
      <c r="Q1236" s="128">
        <v>1.2</v>
      </c>
      <c r="R1236" s="128">
        <v>1.5</v>
      </c>
      <c r="S1236" s="120" t="s">
        <v>26</v>
      </c>
      <c r="T1236" s="121" t="s">
        <v>26</v>
      </c>
      <c r="U1236" s="89">
        <v>5165</v>
      </c>
      <c r="V1236" s="89">
        <v>50</v>
      </c>
      <c r="AC1236" s="33"/>
      <c r="AD1236" s="33"/>
      <c r="AE1236" s="33"/>
    </row>
    <row r="1237" spans="1:31">
      <c r="A1237" s="6" t="s">
        <v>1214</v>
      </c>
      <c r="B1237" s="1" t="s">
        <v>1215</v>
      </c>
      <c r="C1237" s="1" t="s">
        <v>22</v>
      </c>
      <c r="D1237" s="8" t="s">
        <v>1015</v>
      </c>
      <c r="E1237" s="28" t="s">
        <v>958</v>
      </c>
      <c r="F1237" s="4" t="s">
        <v>541</v>
      </c>
      <c r="G1237" s="119">
        <v>88</v>
      </c>
      <c r="H1237" s="119" t="s">
        <v>26</v>
      </c>
      <c r="I1237" s="119" t="s">
        <v>26</v>
      </c>
      <c r="J1237" s="134" t="s">
        <v>1454</v>
      </c>
      <c r="K1237" s="119" t="s">
        <v>26</v>
      </c>
      <c r="L1237" s="119" t="s">
        <v>26</v>
      </c>
      <c r="M1237" s="119" t="s">
        <v>26</v>
      </c>
      <c r="N1237" s="119" t="s">
        <v>26</v>
      </c>
      <c r="O1237" s="134" t="s">
        <v>1457</v>
      </c>
      <c r="P1237" s="119" t="s">
        <v>26</v>
      </c>
      <c r="Q1237" s="119" t="s">
        <v>26</v>
      </c>
      <c r="R1237" s="119" t="s">
        <v>26</v>
      </c>
      <c r="S1237" s="120" t="s">
        <v>26</v>
      </c>
      <c r="T1237" s="121" t="s">
        <v>26</v>
      </c>
      <c r="U1237" s="123" t="s">
        <v>26</v>
      </c>
      <c r="V1237" s="89">
        <v>5</v>
      </c>
      <c r="AC1237" s="33"/>
      <c r="AD1237" s="33"/>
      <c r="AE1237" s="33"/>
    </row>
    <row r="1238" spans="1:31">
      <c r="A1238" s="6" t="s">
        <v>1214</v>
      </c>
      <c r="B1238" s="1" t="s">
        <v>1215</v>
      </c>
      <c r="C1238" s="1" t="s">
        <v>22</v>
      </c>
      <c r="D1238" s="8" t="s">
        <v>1015</v>
      </c>
      <c r="E1238" s="28" t="s">
        <v>29</v>
      </c>
      <c r="F1238" s="4" t="s">
        <v>1217</v>
      </c>
      <c r="G1238" s="142">
        <v>53</v>
      </c>
      <c r="H1238" s="128">
        <v>6.6</v>
      </c>
      <c r="I1238" s="128">
        <v>24.6</v>
      </c>
      <c r="J1238" s="128">
        <v>4.34</v>
      </c>
      <c r="K1238" s="119" t="s">
        <v>26</v>
      </c>
      <c r="L1238" s="119" t="s">
        <v>26</v>
      </c>
      <c r="M1238" s="119" t="s">
        <v>26</v>
      </c>
      <c r="N1238" s="128">
        <v>15.7</v>
      </c>
      <c r="O1238" s="128">
        <v>8.9</v>
      </c>
      <c r="P1238" s="119" t="s">
        <v>26</v>
      </c>
      <c r="Q1238" s="119" t="s">
        <v>26</v>
      </c>
      <c r="R1238" s="128">
        <v>2.5</v>
      </c>
      <c r="S1238" s="120" t="s">
        <v>26</v>
      </c>
      <c r="T1238" s="121" t="s">
        <v>26</v>
      </c>
      <c r="U1238" s="89">
        <v>1327</v>
      </c>
      <c r="V1238" s="89">
        <v>15</v>
      </c>
      <c r="AC1238" s="33"/>
      <c r="AD1238" s="33"/>
      <c r="AE1238" s="33"/>
    </row>
    <row r="1239" spans="1:31">
      <c r="A1239" s="6" t="s">
        <v>1214</v>
      </c>
      <c r="B1239" s="1" t="s">
        <v>1215</v>
      </c>
      <c r="C1239" s="1" t="s">
        <v>22</v>
      </c>
      <c r="D1239" s="8" t="s">
        <v>1015</v>
      </c>
      <c r="E1239" s="28" t="s">
        <v>31</v>
      </c>
      <c r="F1239" s="4" t="s">
        <v>1218</v>
      </c>
      <c r="G1239" s="142">
        <v>19</v>
      </c>
      <c r="H1239" s="119" t="s">
        <v>26</v>
      </c>
      <c r="I1239" s="128">
        <v>13.6</v>
      </c>
      <c r="J1239" s="128">
        <v>16.98</v>
      </c>
      <c r="K1239" s="119" t="s">
        <v>26</v>
      </c>
      <c r="L1239" s="119" t="s">
        <v>26</v>
      </c>
      <c r="M1239" s="119" t="s">
        <v>26</v>
      </c>
      <c r="N1239" s="128">
        <v>9.5</v>
      </c>
      <c r="O1239" s="125" t="s">
        <v>26</v>
      </c>
      <c r="P1239" s="119" t="s">
        <v>26</v>
      </c>
      <c r="Q1239" s="119" t="s">
        <v>26</v>
      </c>
      <c r="R1239" s="119" t="s">
        <v>26</v>
      </c>
      <c r="S1239" s="120" t="s">
        <v>26</v>
      </c>
      <c r="T1239" s="121" t="s">
        <v>26</v>
      </c>
      <c r="U1239" s="89">
        <v>810</v>
      </c>
      <c r="V1239" s="89">
        <v>60</v>
      </c>
      <c r="AC1239" s="33"/>
      <c r="AD1239" s="33"/>
      <c r="AE1239" s="33"/>
    </row>
    <row r="1240" spans="1:31">
      <c r="A1240" s="6" t="s">
        <v>1219</v>
      </c>
      <c r="B1240" s="1" t="s">
        <v>39</v>
      </c>
      <c r="C1240" s="1" t="s">
        <v>22</v>
      </c>
      <c r="D1240" s="8" t="s">
        <v>1015</v>
      </c>
      <c r="E1240" s="28" t="s">
        <v>27</v>
      </c>
      <c r="F1240" s="4" t="s">
        <v>1220</v>
      </c>
      <c r="G1240" s="142">
        <v>144</v>
      </c>
      <c r="H1240" s="128">
        <v>35.9</v>
      </c>
      <c r="I1240" s="128">
        <v>32.4</v>
      </c>
      <c r="J1240" s="128">
        <v>2.56</v>
      </c>
      <c r="K1240" s="119" t="s">
        <v>26</v>
      </c>
      <c r="L1240" s="119" t="s">
        <v>26</v>
      </c>
      <c r="M1240" s="119" t="s">
        <v>26</v>
      </c>
      <c r="N1240" s="128">
        <v>11.5</v>
      </c>
      <c r="O1240" s="128">
        <v>7.4</v>
      </c>
      <c r="P1240" s="128">
        <v>1.6</v>
      </c>
      <c r="Q1240" s="128">
        <v>1.5</v>
      </c>
      <c r="R1240" s="119" t="s">
        <v>26</v>
      </c>
      <c r="S1240" s="120" t="s">
        <v>26</v>
      </c>
      <c r="T1240" s="121" t="s">
        <v>26</v>
      </c>
      <c r="U1240" s="143">
        <v>2423</v>
      </c>
      <c r="V1240" s="89">
        <v>13</v>
      </c>
      <c r="AC1240" s="33"/>
      <c r="AD1240" s="33"/>
      <c r="AE1240" s="33"/>
    </row>
    <row r="1241" spans="1:31">
      <c r="A1241" s="6" t="s">
        <v>1219</v>
      </c>
      <c r="B1241" s="1" t="s">
        <v>39</v>
      </c>
      <c r="C1241" s="1" t="s">
        <v>22</v>
      </c>
      <c r="D1241" s="8" t="s">
        <v>1015</v>
      </c>
      <c r="E1241" s="28" t="s">
        <v>29</v>
      </c>
      <c r="F1241" s="4" t="s">
        <v>1221</v>
      </c>
      <c r="G1241" s="142">
        <v>52</v>
      </c>
      <c r="H1241" s="128">
        <v>9.6</v>
      </c>
      <c r="I1241" s="128">
        <v>18.399999999999999</v>
      </c>
      <c r="J1241" s="128">
        <v>6.98</v>
      </c>
      <c r="K1241" s="119" t="s">
        <v>26</v>
      </c>
      <c r="L1241" s="119" t="s">
        <v>26</v>
      </c>
      <c r="M1241" s="119" t="s">
        <v>26</v>
      </c>
      <c r="N1241" s="128">
        <v>16.899999999999999</v>
      </c>
      <c r="O1241" s="128">
        <v>8.9</v>
      </c>
      <c r="P1241" s="119" t="s">
        <v>26</v>
      </c>
      <c r="Q1241" s="119" t="s">
        <v>26</v>
      </c>
      <c r="R1241" s="119" t="s">
        <v>26</v>
      </c>
      <c r="S1241" s="120" t="s">
        <v>26</v>
      </c>
      <c r="T1241" s="121" t="s">
        <v>26</v>
      </c>
      <c r="U1241" s="143">
        <v>1068</v>
      </c>
      <c r="V1241" s="89">
        <v>10</v>
      </c>
      <c r="AC1241" s="33"/>
      <c r="AD1241" s="33"/>
      <c r="AE1241" s="33"/>
    </row>
    <row r="1242" spans="1:31">
      <c r="A1242" s="6" t="s">
        <v>1219</v>
      </c>
      <c r="B1242" s="1" t="s">
        <v>39</v>
      </c>
      <c r="C1242" s="1" t="s">
        <v>22</v>
      </c>
      <c r="D1242" s="8" t="s">
        <v>1015</v>
      </c>
      <c r="E1242" s="28" t="s">
        <v>31</v>
      </c>
      <c r="F1242" s="4" t="s">
        <v>703</v>
      </c>
      <c r="G1242" s="142">
        <v>19</v>
      </c>
      <c r="H1242" s="119" t="s">
        <v>26</v>
      </c>
      <c r="I1242" s="128">
        <v>12.4</v>
      </c>
      <c r="J1242" s="128">
        <v>13.92</v>
      </c>
      <c r="K1242" s="119" t="s">
        <v>26</v>
      </c>
      <c r="L1242" s="119" t="s">
        <v>26</v>
      </c>
      <c r="M1242" s="119" t="s">
        <v>26</v>
      </c>
      <c r="N1242" s="128">
        <v>13.4</v>
      </c>
      <c r="O1242" s="128">
        <v>14.5</v>
      </c>
      <c r="P1242" s="119" t="s">
        <v>26</v>
      </c>
      <c r="Q1242" s="119" t="s">
        <v>26</v>
      </c>
      <c r="R1242" s="119" t="s">
        <v>26</v>
      </c>
      <c r="S1242" s="120" t="s">
        <v>26</v>
      </c>
      <c r="T1242" s="121" t="s">
        <v>26</v>
      </c>
      <c r="U1242" s="143">
        <v>545</v>
      </c>
      <c r="V1242" s="89">
        <v>35</v>
      </c>
      <c r="AC1242" s="33"/>
      <c r="AD1242" s="33"/>
      <c r="AE1242" s="33"/>
    </row>
    <row r="1243" spans="1:31">
      <c r="A1243" s="6" t="s">
        <v>1222</v>
      </c>
      <c r="B1243" s="1" t="s">
        <v>68</v>
      </c>
      <c r="C1243" s="1" t="s">
        <v>22</v>
      </c>
      <c r="D1243" s="8" t="s">
        <v>1015</v>
      </c>
      <c r="E1243" s="28" t="s">
        <v>27</v>
      </c>
      <c r="F1243" s="4" t="s">
        <v>1223</v>
      </c>
      <c r="G1243" s="142">
        <v>146</v>
      </c>
      <c r="H1243" s="128">
        <v>38.5</v>
      </c>
      <c r="I1243" s="128">
        <v>24.2</v>
      </c>
      <c r="J1243" s="128">
        <v>2.62</v>
      </c>
      <c r="K1243" s="119" t="s">
        <v>26</v>
      </c>
      <c r="L1243" s="128">
        <v>0.5</v>
      </c>
      <c r="M1243" s="119" t="s">
        <v>26</v>
      </c>
      <c r="N1243" s="128">
        <v>11.3</v>
      </c>
      <c r="O1243" s="128">
        <v>13.4</v>
      </c>
      <c r="P1243" s="128">
        <v>4.2</v>
      </c>
      <c r="Q1243" s="128">
        <v>1.5</v>
      </c>
      <c r="R1243" s="119" t="s">
        <v>26</v>
      </c>
      <c r="S1243" s="120" t="s">
        <v>26</v>
      </c>
      <c r="T1243" s="121" t="s">
        <v>26</v>
      </c>
      <c r="U1243" s="143">
        <v>4479</v>
      </c>
      <c r="V1243" s="126" t="s">
        <v>26</v>
      </c>
      <c r="AC1243" s="33"/>
      <c r="AD1243" s="33"/>
      <c r="AE1243" s="33"/>
    </row>
    <row r="1244" spans="1:31">
      <c r="A1244" s="6" t="s">
        <v>1222</v>
      </c>
      <c r="B1244" s="1" t="s">
        <v>68</v>
      </c>
      <c r="C1244" s="1" t="s">
        <v>22</v>
      </c>
      <c r="D1244" s="8" t="s">
        <v>1015</v>
      </c>
      <c r="E1244" s="28" t="s">
        <v>29</v>
      </c>
      <c r="F1244" s="4" t="s">
        <v>1088</v>
      </c>
      <c r="G1244" s="142">
        <v>53</v>
      </c>
      <c r="H1244" s="128">
        <v>11.6</v>
      </c>
      <c r="I1244" s="128">
        <v>25.8</v>
      </c>
      <c r="J1244" s="128">
        <v>8.2200000000000006</v>
      </c>
      <c r="K1244" s="119" t="s">
        <v>26</v>
      </c>
      <c r="L1244" s="119" t="s">
        <v>26</v>
      </c>
      <c r="M1244" s="119" t="s">
        <v>26</v>
      </c>
      <c r="N1244" s="128">
        <v>14.4</v>
      </c>
      <c r="O1244" s="128">
        <v>18.600000000000001</v>
      </c>
      <c r="P1244" s="119" t="s">
        <v>26</v>
      </c>
      <c r="Q1244" s="119" t="s">
        <v>26</v>
      </c>
      <c r="R1244" s="119" t="s">
        <v>26</v>
      </c>
      <c r="S1244" s="120" t="s">
        <v>26</v>
      </c>
      <c r="T1244" s="121" t="s">
        <v>26</v>
      </c>
      <c r="U1244" s="143">
        <v>1490</v>
      </c>
      <c r="V1244" s="126" t="s">
        <v>26</v>
      </c>
      <c r="AC1244" s="33"/>
      <c r="AD1244" s="33"/>
      <c r="AE1244" s="33"/>
    </row>
    <row r="1245" spans="1:31">
      <c r="A1245" s="6" t="s">
        <v>1222</v>
      </c>
      <c r="B1245" s="1" t="s">
        <v>68</v>
      </c>
      <c r="C1245" s="1" t="s">
        <v>22</v>
      </c>
      <c r="D1245" s="8" t="s">
        <v>1015</v>
      </c>
      <c r="E1245" s="28" t="s">
        <v>31</v>
      </c>
      <c r="F1245" s="4" t="s">
        <v>1224</v>
      </c>
      <c r="G1245" s="142">
        <v>19</v>
      </c>
      <c r="H1245" s="119" t="s">
        <v>26</v>
      </c>
      <c r="I1245" s="128">
        <v>12.6</v>
      </c>
      <c r="J1245" s="128">
        <v>14.88</v>
      </c>
      <c r="K1245" s="119" t="s">
        <v>26</v>
      </c>
      <c r="L1245" s="119" t="s">
        <v>26</v>
      </c>
      <c r="M1245" s="119" t="s">
        <v>26</v>
      </c>
      <c r="N1245" s="128">
        <v>8.5</v>
      </c>
      <c r="O1245" s="128">
        <v>12.9</v>
      </c>
      <c r="P1245" s="119" t="s">
        <v>26</v>
      </c>
      <c r="Q1245" s="119" t="s">
        <v>26</v>
      </c>
      <c r="R1245" s="119" t="s">
        <v>26</v>
      </c>
      <c r="S1245" s="120" t="s">
        <v>26</v>
      </c>
      <c r="T1245" s="121" t="s">
        <v>26</v>
      </c>
      <c r="U1245" s="143">
        <v>982</v>
      </c>
      <c r="V1245" s="126" t="s">
        <v>26</v>
      </c>
      <c r="Z1245" s="33"/>
      <c r="AC1245" s="33"/>
      <c r="AD1245" s="33"/>
      <c r="AE1245" s="33"/>
    </row>
    <row r="1246" spans="1:31">
      <c r="A1246" s="6" t="s">
        <v>1225</v>
      </c>
      <c r="B1246" s="1" t="s">
        <v>63</v>
      </c>
      <c r="C1246" s="1" t="s">
        <v>22</v>
      </c>
      <c r="D1246" s="8" t="s">
        <v>1015</v>
      </c>
      <c r="E1246" s="28" t="s">
        <v>27</v>
      </c>
      <c r="F1246" s="4" t="s">
        <v>1226</v>
      </c>
      <c r="G1246" s="142">
        <v>151</v>
      </c>
      <c r="H1246" s="128">
        <v>22.8</v>
      </c>
      <c r="I1246" s="128">
        <v>31.4</v>
      </c>
      <c r="J1246" s="128">
        <v>2.86</v>
      </c>
      <c r="K1246" s="119" t="s">
        <v>26</v>
      </c>
      <c r="L1246" s="119" t="s">
        <v>26</v>
      </c>
      <c r="M1246" s="119" t="s">
        <v>26</v>
      </c>
      <c r="N1246" s="128">
        <v>10.6</v>
      </c>
      <c r="O1246" s="128">
        <v>16</v>
      </c>
      <c r="P1246" s="128">
        <v>2.5</v>
      </c>
      <c r="Q1246" s="128">
        <v>1.8</v>
      </c>
      <c r="R1246" s="128">
        <v>1.5</v>
      </c>
      <c r="S1246" s="120" t="s">
        <v>26</v>
      </c>
      <c r="T1246" s="121" t="s">
        <v>26</v>
      </c>
      <c r="U1246" s="89">
        <v>6486</v>
      </c>
      <c r="V1246" s="89">
        <v>30</v>
      </c>
      <c r="AC1246" s="33"/>
      <c r="AD1246" s="33"/>
      <c r="AE1246" s="33"/>
    </row>
    <row r="1247" spans="1:31">
      <c r="A1247" s="6" t="s">
        <v>1225</v>
      </c>
      <c r="B1247" s="1" t="s">
        <v>63</v>
      </c>
      <c r="C1247" s="1" t="s">
        <v>22</v>
      </c>
      <c r="D1247" s="8" t="s">
        <v>1015</v>
      </c>
      <c r="E1247" s="28" t="s">
        <v>29</v>
      </c>
      <c r="F1247" s="4" t="s">
        <v>1227</v>
      </c>
      <c r="G1247" s="142">
        <v>55</v>
      </c>
      <c r="H1247" s="128">
        <v>8.4</v>
      </c>
      <c r="I1247" s="128">
        <v>22.9</v>
      </c>
      <c r="J1247" s="128">
        <v>7.56</v>
      </c>
      <c r="K1247" s="119" t="s">
        <v>26</v>
      </c>
      <c r="L1247" s="119" t="s">
        <v>26</v>
      </c>
      <c r="M1247" s="119" t="s">
        <v>26</v>
      </c>
      <c r="N1247" s="128">
        <v>15.4</v>
      </c>
      <c r="O1247" s="128">
        <v>15.82</v>
      </c>
      <c r="P1247" s="119" t="s">
        <v>26</v>
      </c>
      <c r="Q1247" s="119" t="s">
        <v>26</v>
      </c>
      <c r="R1247" s="128">
        <v>2.8</v>
      </c>
      <c r="S1247" s="120" t="s">
        <v>26</v>
      </c>
      <c r="T1247" s="121" t="s">
        <v>26</v>
      </c>
      <c r="U1247" s="130">
        <v>4525</v>
      </c>
      <c r="V1247" s="126" t="s">
        <v>26</v>
      </c>
      <c r="AC1247" s="33"/>
      <c r="AD1247" s="33"/>
      <c r="AE1247" s="33"/>
    </row>
    <row r="1248" spans="1:31">
      <c r="A1248" s="6" t="s">
        <v>1225</v>
      </c>
      <c r="B1248" s="1" t="s">
        <v>63</v>
      </c>
      <c r="C1248" s="1" t="s">
        <v>22</v>
      </c>
      <c r="D1248" s="8" t="s">
        <v>1015</v>
      </c>
      <c r="E1248" s="28" t="s">
        <v>31</v>
      </c>
      <c r="F1248" s="4" t="s">
        <v>194</v>
      </c>
      <c r="G1248" s="142">
        <v>18</v>
      </c>
      <c r="H1248" s="119" t="s">
        <v>26</v>
      </c>
      <c r="I1248" s="128">
        <v>14.8</v>
      </c>
      <c r="J1248" s="128">
        <v>13.76</v>
      </c>
      <c r="K1248" s="119" t="s">
        <v>26</v>
      </c>
      <c r="L1248" s="119" t="s">
        <v>26</v>
      </c>
      <c r="M1248" s="119" t="s">
        <v>26</v>
      </c>
      <c r="N1248" s="128">
        <v>13.8</v>
      </c>
      <c r="O1248" s="128">
        <v>18.600000000000001</v>
      </c>
      <c r="P1248" s="119" t="s">
        <v>26</v>
      </c>
      <c r="Q1248" s="119" t="s">
        <v>26</v>
      </c>
      <c r="R1248" s="119" t="s">
        <v>26</v>
      </c>
      <c r="S1248" s="120" t="s">
        <v>26</v>
      </c>
      <c r="T1248" s="121" t="s">
        <v>26</v>
      </c>
      <c r="U1248" s="130">
        <v>1788</v>
      </c>
      <c r="V1248" s="126" t="s">
        <v>26</v>
      </c>
      <c r="AC1248" s="33"/>
      <c r="AD1248" s="33"/>
      <c r="AE1248" s="33"/>
    </row>
    <row r="1249" spans="1:31">
      <c r="A1249" s="22" t="s">
        <v>1228</v>
      </c>
      <c r="B1249" s="22" t="s">
        <v>68</v>
      </c>
      <c r="C1249" s="1" t="s">
        <v>22</v>
      </c>
      <c r="D1249" s="8" t="s">
        <v>1015</v>
      </c>
      <c r="E1249" s="28" t="s">
        <v>27</v>
      </c>
      <c r="F1249" s="22">
        <v>4179</v>
      </c>
      <c r="G1249" s="144">
        <v>152</v>
      </c>
      <c r="H1249" s="144">
        <v>18.5</v>
      </c>
      <c r="I1249" s="144">
        <v>24.6</v>
      </c>
      <c r="J1249" s="144">
        <v>2.72</v>
      </c>
      <c r="K1249" s="119" t="s">
        <v>26</v>
      </c>
      <c r="L1249" s="119" t="s">
        <v>26</v>
      </c>
      <c r="M1249" s="119" t="s">
        <v>26</v>
      </c>
      <c r="N1249" s="119" t="s">
        <v>26</v>
      </c>
      <c r="O1249" s="144">
        <v>9.4</v>
      </c>
      <c r="P1249" s="144">
        <v>11.4</v>
      </c>
      <c r="Q1249" s="144">
        <v>2.9</v>
      </c>
      <c r="R1249" s="144">
        <v>1.8</v>
      </c>
      <c r="S1249" s="120" t="s">
        <v>26</v>
      </c>
      <c r="T1249" s="121" t="s">
        <v>26</v>
      </c>
      <c r="U1249" s="130">
        <v>4525</v>
      </c>
      <c r="V1249" s="89">
        <v>14</v>
      </c>
      <c r="AC1249" s="33"/>
      <c r="AD1249" s="33"/>
      <c r="AE1249" s="33"/>
    </row>
    <row r="1250" spans="1:31">
      <c r="A1250" s="22" t="s">
        <v>1228</v>
      </c>
      <c r="B1250" s="22" t="s">
        <v>68</v>
      </c>
      <c r="C1250" s="1" t="s">
        <v>22</v>
      </c>
      <c r="D1250" s="8" t="s">
        <v>1015</v>
      </c>
      <c r="E1250" s="28" t="s">
        <v>29</v>
      </c>
      <c r="F1250" s="22">
        <v>1788</v>
      </c>
      <c r="G1250" s="144">
        <v>55</v>
      </c>
      <c r="H1250" s="144">
        <v>6.5</v>
      </c>
      <c r="I1250" s="144">
        <v>22.6</v>
      </c>
      <c r="J1250" s="144">
        <v>6.74</v>
      </c>
      <c r="K1250" s="119" t="s">
        <v>26</v>
      </c>
      <c r="L1250" s="119" t="s">
        <v>26</v>
      </c>
      <c r="M1250" s="119" t="s">
        <v>26</v>
      </c>
      <c r="N1250" s="119" t="s">
        <v>26</v>
      </c>
      <c r="O1250" s="144">
        <v>15.2</v>
      </c>
      <c r="P1250" s="144">
        <v>17.600000000000001</v>
      </c>
      <c r="Q1250" s="119" t="s">
        <v>26</v>
      </c>
      <c r="R1250" s="119" t="s">
        <v>26</v>
      </c>
      <c r="S1250" s="145">
        <v>3.8</v>
      </c>
      <c r="T1250" s="121" t="s">
        <v>26</v>
      </c>
      <c r="U1250" s="130">
        <v>1788</v>
      </c>
      <c r="V1250" s="89">
        <v>46</v>
      </c>
      <c r="AC1250" s="33"/>
      <c r="AD1250" s="33"/>
      <c r="AE1250" s="33"/>
    </row>
    <row r="1251" spans="1:31">
      <c r="A1251" s="22" t="s">
        <v>1228</v>
      </c>
      <c r="B1251" s="22" t="s">
        <v>68</v>
      </c>
      <c r="C1251" s="1" t="s">
        <v>22</v>
      </c>
      <c r="D1251" s="8" t="s">
        <v>1015</v>
      </c>
      <c r="E1251" s="28" t="s">
        <v>31</v>
      </c>
      <c r="F1251" s="22">
        <v>1175</v>
      </c>
      <c r="G1251" s="144">
        <v>18</v>
      </c>
      <c r="H1251" s="146" t="s">
        <v>26</v>
      </c>
      <c r="I1251" s="144">
        <v>14.6</v>
      </c>
      <c r="J1251" s="144">
        <v>20.399999999999999</v>
      </c>
      <c r="K1251" s="119" t="s">
        <v>26</v>
      </c>
      <c r="L1251" s="119" t="s">
        <v>26</v>
      </c>
      <c r="M1251" s="119" t="s">
        <v>26</v>
      </c>
      <c r="N1251" s="119" t="s">
        <v>26</v>
      </c>
      <c r="O1251" s="144">
        <v>8.5</v>
      </c>
      <c r="P1251" s="144">
        <v>12.4</v>
      </c>
      <c r="Q1251" s="119" t="s">
        <v>26</v>
      </c>
      <c r="R1251" s="119" t="s">
        <v>26</v>
      </c>
      <c r="S1251" s="120" t="s">
        <v>26</v>
      </c>
      <c r="T1251" s="121" t="s">
        <v>26</v>
      </c>
      <c r="U1251" s="130">
        <v>1175</v>
      </c>
      <c r="V1251" s="89">
        <v>51</v>
      </c>
      <c r="Z1251" s="33"/>
      <c r="AA1251" s="33"/>
      <c r="AB1251" s="33"/>
      <c r="AC1251" s="33"/>
      <c r="AD1251" s="33"/>
      <c r="AE1251" s="33"/>
    </row>
    <row r="1252" spans="1:31">
      <c r="A1252" s="6" t="s">
        <v>1229</v>
      </c>
      <c r="B1252" s="1" t="s">
        <v>1230</v>
      </c>
      <c r="C1252" s="29" t="s">
        <v>22</v>
      </c>
      <c r="D1252" s="8" t="s">
        <v>1169</v>
      </c>
      <c r="E1252" s="32" t="s">
        <v>27</v>
      </c>
      <c r="F1252" s="31" t="s">
        <v>1231</v>
      </c>
      <c r="G1252" s="142">
        <v>132</v>
      </c>
      <c r="H1252" s="128">
        <v>33.299999999999997</v>
      </c>
      <c r="I1252" s="128">
        <v>9.8000000000000007</v>
      </c>
      <c r="J1252" s="128">
        <v>1.2</v>
      </c>
      <c r="K1252" s="128">
        <v>1.4</v>
      </c>
      <c r="L1252" s="119" t="s">
        <v>26</v>
      </c>
      <c r="M1252" s="119" t="s">
        <v>26</v>
      </c>
      <c r="N1252" s="119" t="s">
        <v>26</v>
      </c>
      <c r="O1252" s="128">
        <v>23</v>
      </c>
      <c r="P1252" s="119" t="s">
        <v>26</v>
      </c>
      <c r="Q1252" s="119" t="s">
        <v>26</v>
      </c>
      <c r="R1252" s="119" t="s">
        <v>26</v>
      </c>
      <c r="S1252" s="120" t="s">
        <v>26</v>
      </c>
      <c r="T1252" s="121" t="s">
        <v>26</v>
      </c>
      <c r="U1252" s="130">
        <v>116</v>
      </c>
      <c r="V1252" s="147">
        <v>10</v>
      </c>
      <c r="Z1252" s="37"/>
      <c r="AA1252" s="37"/>
      <c r="AB1252" s="37"/>
      <c r="AC1252" s="33"/>
      <c r="AD1252" s="33"/>
      <c r="AE1252" s="33"/>
    </row>
    <row r="1253" spans="1:31">
      <c r="A1253" s="6" t="s">
        <v>1229</v>
      </c>
      <c r="B1253" s="1" t="s">
        <v>1230</v>
      </c>
      <c r="C1253" s="29" t="s">
        <v>22</v>
      </c>
      <c r="D1253" s="8" t="s">
        <v>1169</v>
      </c>
      <c r="E1253" s="32" t="s">
        <v>29</v>
      </c>
      <c r="F1253" s="31" t="s">
        <v>1233</v>
      </c>
      <c r="G1253" s="142">
        <v>51</v>
      </c>
      <c r="H1253" s="128">
        <v>9.6</v>
      </c>
      <c r="I1253" s="128">
        <v>22.6</v>
      </c>
      <c r="J1253" s="128">
        <v>4.96</v>
      </c>
      <c r="K1253" s="119" t="s">
        <v>26</v>
      </c>
      <c r="L1253" s="119" t="s">
        <v>26</v>
      </c>
      <c r="M1253" s="119" t="s">
        <v>26</v>
      </c>
      <c r="N1253" s="119" t="s">
        <v>26</v>
      </c>
      <c r="O1253" s="128">
        <v>14.42</v>
      </c>
      <c r="P1253" s="119" t="s">
        <v>26</v>
      </c>
      <c r="Q1253" s="119" t="s">
        <v>26</v>
      </c>
      <c r="R1253" s="119" t="s">
        <v>26</v>
      </c>
      <c r="S1253" s="120" t="s">
        <v>26</v>
      </c>
      <c r="T1253" s="121" t="s">
        <v>26</v>
      </c>
      <c r="U1253" s="130">
        <v>281</v>
      </c>
      <c r="V1253" s="147">
        <v>5</v>
      </c>
      <c r="Z1253" s="37"/>
      <c r="AA1253" s="37"/>
      <c r="AB1253" s="37"/>
      <c r="AC1253" s="33"/>
      <c r="AD1253" s="33"/>
      <c r="AE1253" s="33"/>
    </row>
    <row r="1254" spans="1:31">
      <c r="A1254" s="6" t="s">
        <v>1229</v>
      </c>
      <c r="B1254" s="1" t="s">
        <v>1230</v>
      </c>
      <c r="C1254" s="29" t="s">
        <v>22</v>
      </c>
      <c r="D1254" s="8" t="s">
        <v>1169</v>
      </c>
      <c r="E1254" s="32" t="s">
        <v>31</v>
      </c>
      <c r="F1254" s="31" t="s">
        <v>1057</v>
      </c>
      <c r="G1254" s="142">
        <v>16</v>
      </c>
      <c r="H1254" s="128">
        <v>21.5</v>
      </c>
      <c r="I1254" s="128">
        <v>6.9</v>
      </c>
      <c r="J1254" s="128">
        <v>11.76</v>
      </c>
      <c r="K1254" s="119" t="s">
        <v>26</v>
      </c>
      <c r="L1254" s="119" t="s">
        <v>26</v>
      </c>
      <c r="M1254" s="119" t="s">
        <v>26</v>
      </c>
      <c r="N1254" s="119" t="s">
        <v>26</v>
      </c>
      <c r="O1254" s="128">
        <v>12.8</v>
      </c>
      <c r="P1254" s="119" t="s">
        <v>26</v>
      </c>
      <c r="Q1254" s="119" t="s">
        <v>26</v>
      </c>
      <c r="R1254" s="119" t="s">
        <v>26</v>
      </c>
      <c r="S1254" s="120" t="s">
        <v>26</v>
      </c>
      <c r="T1254" s="121" t="s">
        <v>26</v>
      </c>
      <c r="U1254" s="130">
        <v>80</v>
      </c>
      <c r="V1254" s="136" t="s">
        <v>26</v>
      </c>
      <c r="Z1254" s="33"/>
      <c r="AA1254" s="37"/>
      <c r="AB1254" s="37"/>
      <c r="AC1254" s="33"/>
      <c r="AD1254" s="33"/>
      <c r="AE1254" s="33"/>
    </row>
    <row r="1255" spans="1:31">
      <c r="A1255" s="6" t="s">
        <v>1229</v>
      </c>
      <c r="B1255" s="1" t="s">
        <v>1230</v>
      </c>
      <c r="C1255" s="29" t="s">
        <v>22</v>
      </c>
      <c r="D1255" s="3" t="s">
        <v>23</v>
      </c>
      <c r="E1255" s="32" t="s">
        <v>27</v>
      </c>
      <c r="F1255" s="31" t="s">
        <v>1234</v>
      </c>
      <c r="G1255" s="142">
        <v>148</v>
      </c>
      <c r="H1255" s="128">
        <v>25.6</v>
      </c>
      <c r="I1255" s="128">
        <v>18.399999999999999</v>
      </c>
      <c r="J1255" s="119" t="s">
        <v>26</v>
      </c>
      <c r="K1255" s="128">
        <v>2.5</v>
      </c>
      <c r="L1255" s="119" t="s">
        <v>26</v>
      </c>
      <c r="M1255" s="119" t="s">
        <v>26</v>
      </c>
      <c r="N1255" s="119" t="s">
        <v>26</v>
      </c>
      <c r="O1255" s="128">
        <v>17.399999999999999</v>
      </c>
      <c r="P1255" s="128">
        <v>29.4</v>
      </c>
      <c r="Q1255" s="119" t="s">
        <v>26</v>
      </c>
      <c r="R1255" s="119" t="s">
        <v>26</v>
      </c>
      <c r="S1255" s="120" t="s">
        <v>26</v>
      </c>
      <c r="T1255" s="121" t="s">
        <v>26</v>
      </c>
      <c r="U1255" s="148">
        <v>314</v>
      </c>
      <c r="V1255" s="136" t="s">
        <v>26</v>
      </c>
      <c r="Z1255" s="33"/>
      <c r="AA1255" s="37"/>
      <c r="AB1255" s="37"/>
      <c r="AC1255" s="33"/>
      <c r="AD1255" s="33"/>
      <c r="AE1255" s="33"/>
    </row>
    <row r="1256" spans="1:31">
      <c r="A1256" s="6" t="s">
        <v>1229</v>
      </c>
      <c r="B1256" s="1" t="s">
        <v>1230</v>
      </c>
      <c r="C1256" s="29" t="s">
        <v>22</v>
      </c>
      <c r="D1256" s="3" t="s">
        <v>23</v>
      </c>
      <c r="E1256" s="32" t="s">
        <v>29</v>
      </c>
      <c r="F1256" s="31" t="s">
        <v>793</v>
      </c>
      <c r="G1256" s="142">
        <v>52</v>
      </c>
      <c r="H1256" s="128">
        <v>6.5</v>
      </c>
      <c r="I1256" s="128">
        <v>28.4</v>
      </c>
      <c r="J1256" s="128">
        <v>2.82</v>
      </c>
      <c r="K1256" s="119" t="s">
        <v>26</v>
      </c>
      <c r="L1256" s="119" t="s">
        <v>26</v>
      </c>
      <c r="M1256" s="119" t="s">
        <v>26</v>
      </c>
      <c r="N1256" s="119" t="s">
        <v>26</v>
      </c>
      <c r="O1256" s="128">
        <v>10.46</v>
      </c>
      <c r="P1256" s="128">
        <v>12.9</v>
      </c>
      <c r="Q1256" s="119" t="s">
        <v>26</v>
      </c>
      <c r="R1256" s="119" t="s">
        <v>26</v>
      </c>
      <c r="S1256" s="120" t="s">
        <v>26</v>
      </c>
      <c r="T1256" s="121" t="s">
        <v>26</v>
      </c>
      <c r="U1256" s="148">
        <v>647</v>
      </c>
      <c r="V1256" s="136" t="s">
        <v>26</v>
      </c>
      <c r="Z1256" s="33"/>
      <c r="AA1256" s="37"/>
      <c r="AB1256" s="37"/>
      <c r="AC1256" s="33"/>
      <c r="AD1256" s="33"/>
      <c r="AE1256" s="33"/>
    </row>
    <row r="1257" spans="1:31">
      <c r="A1257" s="6" t="s">
        <v>1229</v>
      </c>
      <c r="B1257" s="1" t="s">
        <v>1230</v>
      </c>
      <c r="C1257" s="29" t="s">
        <v>22</v>
      </c>
      <c r="D1257" s="3" t="s">
        <v>23</v>
      </c>
      <c r="E1257" s="32" t="s">
        <v>31</v>
      </c>
      <c r="F1257" s="31" t="s">
        <v>1235</v>
      </c>
      <c r="G1257" s="142">
        <v>19</v>
      </c>
      <c r="H1257" s="128" t="s">
        <v>1232</v>
      </c>
      <c r="I1257" s="128">
        <v>15.4</v>
      </c>
      <c r="J1257" s="128">
        <v>9.4600000000000009</v>
      </c>
      <c r="K1257" s="119" t="s">
        <v>26</v>
      </c>
      <c r="L1257" s="119" t="s">
        <v>26</v>
      </c>
      <c r="M1257" s="119" t="s">
        <v>26</v>
      </c>
      <c r="N1257" s="119" t="s">
        <v>26</v>
      </c>
      <c r="O1257" s="128">
        <v>9.8000000000000007</v>
      </c>
      <c r="P1257" s="128">
        <v>18.600000000000001</v>
      </c>
      <c r="Q1257" s="119" t="s">
        <v>26</v>
      </c>
      <c r="R1257" s="119" t="s">
        <v>26</v>
      </c>
      <c r="S1257" s="120" t="s">
        <v>26</v>
      </c>
      <c r="T1257" s="121" t="s">
        <v>26</v>
      </c>
      <c r="U1257" s="148">
        <v>473</v>
      </c>
      <c r="V1257" s="136" t="s">
        <v>26</v>
      </c>
      <c r="Z1257" s="33"/>
      <c r="AA1257" s="37"/>
      <c r="AB1257" s="33"/>
      <c r="AC1257" s="33"/>
      <c r="AD1257" s="33"/>
      <c r="AE1257" s="33"/>
    </row>
    <row r="1258" spans="1:31">
      <c r="A1258" s="6" t="s">
        <v>1236</v>
      </c>
      <c r="B1258" s="1" t="s">
        <v>1237</v>
      </c>
      <c r="C1258" s="29" t="s">
        <v>22</v>
      </c>
      <c r="D1258" s="1" t="s">
        <v>54</v>
      </c>
      <c r="E1258" s="32" t="s">
        <v>27</v>
      </c>
      <c r="F1258" s="31" t="s">
        <v>1073</v>
      </c>
      <c r="G1258" s="142">
        <v>134</v>
      </c>
      <c r="H1258" s="128">
        <v>35.14</v>
      </c>
      <c r="I1258" s="128">
        <v>3.42</v>
      </c>
      <c r="J1258" s="128">
        <v>0.56000000000000005</v>
      </c>
      <c r="K1258" s="119" t="s">
        <v>26</v>
      </c>
      <c r="L1258" s="119" t="s">
        <v>26</v>
      </c>
      <c r="M1258" s="119" t="s">
        <v>26</v>
      </c>
      <c r="N1258" s="119" t="s">
        <v>26</v>
      </c>
      <c r="O1258" s="128">
        <v>5.52</v>
      </c>
      <c r="P1258" s="119" t="s">
        <v>26</v>
      </c>
      <c r="Q1258" s="128">
        <v>6.8</v>
      </c>
      <c r="R1258" s="128">
        <v>1.9</v>
      </c>
      <c r="S1258" s="128">
        <v>3.5</v>
      </c>
      <c r="T1258" s="121" t="s">
        <v>26</v>
      </c>
      <c r="U1258" s="130">
        <v>211</v>
      </c>
      <c r="V1258" s="149">
        <v>260</v>
      </c>
      <c r="Z1258" s="33"/>
      <c r="AA1258" s="37"/>
      <c r="AB1258" s="33"/>
      <c r="AC1258" s="33"/>
      <c r="AD1258" s="33"/>
      <c r="AE1258" s="33"/>
    </row>
    <row r="1259" spans="1:31">
      <c r="A1259" s="6" t="s">
        <v>1236</v>
      </c>
      <c r="B1259" s="1" t="s">
        <v>1237</v>
      </c>
      <c r="C1259" s="29" t="s">
        <v>22</v>
      </c>
      <c r="D1259" s="1" t="s">
        <v>54</v>
      </c>
      <c r="E1259" s="32" t="s">
        <v>29</v>
      </c>
      <c r="F1259" s="31" t="s">
        <v>1238</v>
      </c>
      <c r="G1259" s="142">
        <v>54</v>
      </c>
      <c r="H1259" s="128">
        <v>6.24</v>
      </c>
      <c r="I1259" s="128">
        <v>26.54</v>
      </c>
      <c r="J1259" s="128">
        <v>1.4</v>
      </c>
      <c r="K1259" s="119" t="s">
        <v>26</v>
      </c>
      <c r="L1259" s="119" t="s">
        <v>26</v>
      </c>
      <c r="M1259" s="119" t="s">
        <v>26</v>
      </c>
      <c r="N1259" s="119" t="s">
        <v>26</v>
      </c>
      <c r="O1259" s="128">
        <v>2.2400000000000002</v>
      </c>
      <c r="P1259" s="119" t="s">
        <v>26</v>
      </c>
      <c r="Q1259" s="128">
        <v>3.86</v>
      </c>
      <c r="R1259" s="128">
        <v>2</v>
      </c>
      <c r="S1259" s="128">
        <v>4.8</v>
      </c>
      <c r="T1259" s="121" t="s">
        <v>26</v>
      </c>
      <c r="U1259" s="130">
        <v>736</v>
      </c>
      <c r="V1259" s="147">
        <v>165</v>
      </c>
      <c r="Z1259" s="33"/>
      <c r="AA1259" s="37"/>
      <c r="AB1259" s="33"/>
      <c r="AC1259" s="33"/>
      <c r="AD1259" s="33"/>
      <c r="AE1259" s="33"/>
    </row>
    <row r="1260" spans="1:31">
      <c r="A1260" s="6" t="s">
        <v>1236</v>
      </c>
      <c r="B1260" s="1" t="s">
        <v>1237</v>
      </c>
      <c r="C1260" s="29" t="s">
        <v>22</v>
      </c>
      <c r="D1260" s="1" t="s">
        <v>54</v>
      </c>
      <c r="E1260" s="32" t="s">
        <v>31</v>
      </c>
      <c r="F1260" s="31" t="s">
        <v>1239</v>
      </c>
      <c r="G1260" s="142">
        <v>18</v>
      </c>
      <c r="H1260" s="146" t="s">
        <v>26</v>
      </c>
      <c r="I1260" s="128">
        <v>3.84</v>
      </c>
      <c r="J1260" s="128">
        <v>9.08</v>
      </c>
      <c r="K1260" s="119" t="s">
        <v>26</v>
      </c>
      <c r="L1260" s="119" t="s">
        <v>26</v>
      </c>
      <c r="M1260" s="119" t="s">
        <v>26</v>
      </c>
      <c r="N1260" s="119" t="s">
        <v>26</v>
      </c>
      <c r="O1260" s="128">
        <v>1.28</v>
      </c>
      <c r="P1260" s="119" t="s">
        <v>26</v>
      </c>
      <c r="Q1260" s="119" t="s">
        <v>26</v>
      </c>
      <c r="R1260" s="119" t="s">
        <v>26</v>
      </c>
      <c r="S1260" s="128">
        <v>5.6</v>
      </c>
      <c r="T1260" s="121" t="s">
        <v>26</v>
      </c>
      <c r="U1260" s="130">
        <v>460</v>
      </c>
      <c r="V1260" s="147">
        <v>85</v>
      </c>
      <c r="AC1260" s="33"/>
      <c r="AD1260" s="33"/>
      <c r="AE1260" s="33"/>
    </row>
    <row r="1261" spans="1:31">
      <c r="A1261" s="6" t="s">
        <v>1236</v>
      </c>
      <c r="B1261" s="1" t="s">
        <v>63</v>
      </c>
      <c r="C1261" s="29" t="s">
        <v>22</v>
      </c>
      <c r="D1261" s="3" t="s">
        <v>33</v>
      </c>
      <c r="E1261" s="32" t="s">
        <v>27</v>
      </c>
      <c r="F1261" s="31" t="s">
        <v>1240</v>
      </c>
      <c r="G1261" s="142">
        <v>148</v>
      </c>
      <c r="H1261" s="128">
        <v>22.5</v>
      </c>
      <c r="I1261" s="128">
        <v>38.5</v>
      </c>
      <c r="J1261" s="128">
        <v>1.24</v>
      </c>
      <c r="K1261" s="119" t="s">
        <v>26</v>
      </c>
      <c r="L1261" s="128">
        <v>0.5</v>
      </c>
      <c r="M1261" s="119" t="s">
        <v>26</v>
      </c>
      <c r="N1261" s="119" t="s">
        <v>26</v>
      </c>
      <c r="O1261" s="128">
        <v>9.5</v>
      </c>
      <c r="P1261" s="119" t="s">
        <v>26</v>
      </c>
      <c r="Q1261" s="128">
        <v>8.5</v>
      </c>
      <c r="R1261" s="119" t="s">
        <v>26</v>
      </c>
      <c r="S1261" s="128">
        <v>1.9</v>
      </c>
      <c r="T1261" s="121" t="s">
        <v>26</v>
      </c>
      <c r="U1261" s="130">
        <v>1595</v>
      </c>
      <c r="V1261" s="136" t="s">
        <v>26</v>
      </c>
      <c r="AC1261" s="33"/>
      <c r="AD1261" s="33"/>
      <c r="AE1261" s="33"/>
    </row>
    <row r="1262" spans="1:31">
      <c r="A1262" s="6" t="s">
        <v>1236</v>
      </c>
      <c r="B1262" s="1" t="s">
        <v>63</v>
      </c>
      <c r="C1262" s="29" t="s">
        <v>22</v>
      </c>
      <c r="D1262" s="3" t="s">
        <v>33</v>
      </c>
      <c r="E1262" s="32" t="s">
        <v>29</v>
      </c>
      <c r="F1262" s="31" t="s">
        <v>428</v>
      </c>
      <c r="G1262" s="142">
        <v>52</v>
      </c>
      <c r="H1262" s="128">
        <v>8.9</v>
      </c>
      <c r="I1262" s="128">
        <v>25.4</v>
      </c>
      <c r="J1262" s="128">
        <v>3.7</v>
      </c>
      <c r="K1262" s="119" t="s">
        <v>26</v>
      </c>
      <c r="L1262" s="119" t="s">
        <v>26</v>
      </c>
      <c r="M1262" s="119" t="s">
        <v>26</v>
      </c>
      <c r="N1262" s="119" t="s">
        <v>26</v>
      </c>
      <c r="O1262" s="128">
        <v>11.5</v>
      </c>
      <c r="P1262" s="128">
        <v>8.1999999999999993</v>
      </c>
      <c r="Q1262" s="119" t="s">
        <v>26</v>
      </c>
      <c r="R1262" s="119" t="s">
        <v>26</v>
      </c>
      <c r="S1262" s="120" t="s">
        <v>26</v>
      </c>
      <c r="T1262" s="121" t="s">
        <v>26</v>
      </c>
      <c r="U1262" s="130">
        <v>2500</v>
      </c>
      <c r="V1262" s="136" t="s">
        <v>26</v>
      </c>
      <c r="AC1262" s="33"/>
      <c r="AD1262" s="33"/>
      <c r="AE1262" s="33"/>
    </row>
    <row r="1263" spans="1:31">
      <c r="A1263" s="6" t="s">
        <v>1236</v>
      </c>
      <c r="B1263" s="1" t="s">
        <v>63</v>
      </c>
      <c r="C1263" s="29" t="s">
        <v>22</v>
      </c>
      <c r="D1263" s="3" t="s">
        <v>33</v>
      </c>
      <c r="E1263" s="32" t="s">
        <v>31</v>
      </c>
      <c r="F1263" s="31" t="s">
        <v>1241</v>
      </c>
      <c r="G1263" s="142">
        <v>17</v>
      </c>
      <c r="H1263" s="146" t="s">
        <v>26</v>
      </c>
      <c r="I1263" s="128">
        <v>4.3</v>
      </c>
      <c r="J1263" s="128">
        <v>16.68</v>
      </c>
      <c r="K1263" s="119" t="s">
        <v>26</v>
      </c>
      <c r="L1263" s="119" t="s">
        <v>26</v>
      </c>
      <c r="M1263" s="119" t="s">
        <v>26</v>
      </c>
      <c r="N1263" s="119" t="s">
        <v>26</v>
      </c>
      <c r="O1263" s="128">
        <v>8.5</v>
      </c>
      <c r="P1263" s="119" t="s">
        <v>26</v>
      </c>
      <c r="Q1263" s="119" t="s">
        <v>26</v>
      </c>
      <c r="R1263" s="119" t="s">
        <v>26</v>
      </c>
      <c r="S1263" s="120" t="s">
        <v>26</v>
      </c>
      <c r="T1263" s="121" t="s">
        <v>26</v>
      </c>
      <c r="U1263" s="130">
        <v>407</v>
      </c>
      <c r="V1263" s="136" t="s">
        <v>26</v>
      </c>
      <c r="AC1263" s="33"/>
      <c r="AD1263" s="33"/>
      <c r="AE1263" s="33"/>
    </row>
    <row r="1264" spans="1:31">
      <c r="A1264" s="6" t="s">
        <v>1242</v>
      </c>
      <c r="B1264" s="1" t="s">
        <v>1243</v>
      </c>
      <c r="C1264" s="29" t="s">
        <v>22</v>
      </c>
      <c r="D1264" s="1" t="s">
        <v>54</v>
      </c>
      <c r="E1264" s="32" t="s">
        <v>27</v>
      </c>
      <c r="F1264" s="31" t="s">
        <v>1244</v>
      </c>
      <c r="G1264" s="142">
        <v>120</v>
      </c>
      <c r="H1264" s="128">
        <v>36.299999999999997</v>
      </c>
      <c r="I1264" s="128">
        <v>16.2</v>
      </c>
      <c r="J1264" s="128">
        <v>3.17</v>
      </c>
      <c r="K1264" s="119" t="s">
        <v>26</v>
      </c>
      <c r="L1264" s="128">
        <v>0.5</v>
      </c>
      <c r="M1264" s="119" t="s">
        <v>26</v>
      </c>
      <c r="N1264" s="119" t="s">
        <v>26</v>
      </c>
      <c r="O1264" s="128">
        <v>10.4</v>
      </c>
      <c r="P1264" s="128">
        <v>1.9</v>
      </c>
      <c r="Q1264" s="128">
        <v>8.9</v>
      </c>
      <c r="R1264" s="119" t="s">
        <v>26</v>
      </c>
      <c r="S1264" s="128">
        <v>2.5</v>
      </c>
      <c r="T1264" s="121" t="s">
        <v>26</v>
      </c>
      <c r="U1264" s="130">
        <v>1479</v>
      </c>
      <c r="V1264" s="149">
        <v>400</v>
      </c>
      <c r="AC1264" s="33"/>
      <c r="AD1264" s="33"/>
      <c r="AE1264" s="33"/>
    </row>
    <row r="1265" spans="1:31">
      <c r="A1265" s="6" t="s">
        <v>1242</v>
      </c>
      <c r="B1265" s="1" t="s">
        <v>1243</v>
      </c>
      <c r="C1265" s="29" t="s">
        <v>22</v>
      </c>
      <c r="D1265" s="1" t="s">
        <v>54</v>
      </c>
      <c r="E1265" s="32" t="s">
        <v>29</v>
      </c>
      <c r="F1265" s="31" t="s">
        <v>251</v>
      </c>
      <c r="G1265" s="142">
        <v>52</v>
      </c>
      <c r="H1265" s="128">
        <v>14.42</v>
      </c>
      <c r="I1265" s="128">
        <v>26.5</v>
      </c>
      <c r="J1265" s="128">
        <v>8.0500000000000007</v>
      </c>
      <c r="K1265" s="119" t="s">
        <v>26</v>
      </c>
      <c r="L1265" s="119" t="s">
        <v>26</v>
      </c>
      <c r="M1265" s="119" t="s">
        <v>26</v>
      </c>
      <c r="N1265" s="119" t="s">
        <v>26</v>
      </c>
      <c r="O1265" s="128">
        <v>11.8</v>
      </c>
      <c r="P1265" s="128">
        <v>3.5</v>
      </c>
      <c r="Q1265" s="119" t="s">
        <v>26</v>
      </c>
      <c r="R1265" s="119" t="s">
        <v>26</v>
      </c>
      <c r="S1265" s="128">
        <v>4.8</v>
      </c>
      <c r="T1265" s="121" t="s">
        <v>26</v>
      </c>
      <c r="U1265" s="130">
        <v>2536</v>
      </c>
      <c r="V1265" s="147">
        <v>340</v>
      </c>
      <c r="AC1265" s="33"/>
      <c r="AD1265" s="33"/>
      <c r="AE1265" s="33"/>
    </row>
    <row r="1266" spans="1:31">
      <c r="A1266" s="6" t="s">
        <v>1242</v>
      </c>
      <c r="B1266" s="1" t="s">
        <v>1243</v>
      </c>
      <c r="C1266" s="29" t="s">
        <v>22</v>
      </c>
      <c r="D1266" s="1" t="s">
        <v>54</v>
      </c>
      <c r="E1266" s="32" t="s">
        <v>31</v>
      </c>
      <c r="F1266" s="31" t="s">
        <v>1245</v>
      </c>
      <c r="G1266" s="142">
        <v>18</v>
      </c>
      <c r="H1266" s="146" t="s">
        <v>26</v>
      </c>
      <c r="I1266" s="128">
        <v>6.5</v>
      </c>
      <c r="J1266" s="128">
        <v>34.24</v>
      </c>
      <c r="K1266" s="119" t="s">
        <v>26</v>
      </c>
      <c r="L1266" s="119" t="s">
        <v>26</v>
      </c>
      <c r="M1266" s="119" t="s">
        <v>26</v>
      </c>
      <c r="N1266" s="119" t="s">
        <v>26</v>
      </c>
      <c r="O1266" s="128">
        <v>3.8</v>
      </c>
      <c r="P1266" s="128">
        <v>2.9</v>
      </c>
      <c r="Q1266" s="119" t="s">
        <v>26</v>
      </c>
      <c r="R1266" s="119" t="s">
        <v>26</v>
      </c>
      <c r="S1266" s="120" t="s">
        <v>26</v>
      </c>
      <c r="T1266" s="121" t="s">
        <v>26</v>
      </c>
      <c r="U1266" s="130">
        <v>1357</v>
      </c>
      <c r="V1266" s="147">
        <v>116</v>
      </c>
      <c r="AC1266" s="33"/>
      <c r="AD1266" s="33"/>
      <c r="AE1266" s="33"/>
    </row>
    <row r="1267" spans="1:31">
      <c r="A1267" s="6" t="s">
        <v>1242</v>
      </c>
      <c r="B1267" s="1" t="s">
        <v>39</v>
      </c>
      <c r="C1267" s="29" t="s">
        <v>22</v>
      </c>
      <c r="D1267" s="1" t="s">
        <v>142</v>
      </c>
      <c r="E1267" s="32" t="s">
        <v>27</v>
      </c>
      <c r="F1267" s="31" t="s">
        <v>1246</v>
      </c>
      <c r="G1267" s="142">
        <v>162</v>
      </c>
      <c r="H1267" s="128">
        <v>18.399999999999999</v>
      </c>
      <c r="I1267" s="128">
        <v>32.6</v>
      </c>
      <c r="J1267" s="119" t="s">
        <v>26</v>
      </c>
      <c r="K1267" s="119" t="s">
        <v>26</v>
      </c>
      <c r="L1267" s="119" t="s">
        <v>26</v>
      </c>
      <c r="M1267" s="119" t="s">
        <v>26</v>
      </c>
      <c r="N1267" s="119" t="s">
        <v>26</v>
      </c>
      <c r="O1267" s="128">
        <v>8.5</v>
      </c>
      <c r="P1267" s="119" t="s">
        <v>26</v>
      </c>
      <c r="Q1267" s="119" t="s">
        <v>26</v>
      </c>
      <c r="R1267" s="128">
        <v>2.5</v>
      </c>
      <c r="S1267" s="120" t="s">
        <v>26</v>
      </c>
      <c r="T1267" s="128">
        <v>4</v>
      </c>
      <c r="U1267" s="123" t="s">
        <v>26</v>
      </c>
      <c r="V1267" s="136" t="s">
        <v>26</v>
      </c>
      <c r="X1267" s="33"/>
      <c r="Y1267" s="37"/>
      <c r="Z1267" s="33"/>
    </row>
    <row r="1268" spans="1:31">
      <c r="A1268" s="6" t="s">
        <v>1242</v>
      </c>
      <c r="B1268" s="1" t="s">
        <v>39</v>
      </c>
      <c r="C1268" s="29" t="s">
        <v>22</v>
      </c>
      <c r="D1268" s="1" t="s">
        <v>142</v>
      </c>
      <c r="E1268" s="32" t="s">
        <v>29</v>
      </c>
      <c r="F1268" s="31" t="s">
        <v>1247</v>
      </c>
      <c r="G1268" s="142">
        <v>49</v>
      </c>
      <c r="H1268" s="128">
        <v>26.52</v>
      </c>
      <c r="I1268" s="128">
        <v>19.61</v>
      </c>
      <c r="J1268" s="128">
        <v>4.55</v>
      </c>
      <c r="K1268" s="119" t="s">
        <v>26</v>
      </c>
      <c r="L1268" s="119" t="s">
        <v>26</v>
      </c>
      <c r="M1268" s="119" t="s">
        <v>26</v>
      </c>
      <c r="N1268" s="119" t="s">
        <v>26</v>
      </c>
      <c r="O1268" s="128">
        <v>18.399999999999999</v>
      </c>
      <c r="P1268" s="119" t="s">
        <v>26</v>
      </c>
      <c r="Q1268" s="119" t="s">
        <v>26</v>
      </c>
      <c r="R1268" s="119" t="s">
        <v>26</v>
      </c>
      <c r="S1268" s="128">
        <v>7.5</v>
      </c>
      <c r="T1268" s="121" t="s">
        <v>26</v>
      </c>
      <c r="U1268" s="150" t="s">
        <v>1247</v>
      </c>
      <c r="V1268" s="136" t="s">
        <v>26</v>
      </c>
      <c r="X1268" s="33"/>
      <c r="Y1268" s="37"/>
      <c r="Z1268" s="33"/>
    </row>
    <row r="1269" spans="1:31">
      <c r="A1269" s="6" t="s">
        <v>1242</v>
      </c>
      <c r="B1269" s="1" t="s">
        <v>39</v>
      </c>
      <c r="C1269" s="29" t="s">
        <v>22</v>
      </c>
      <c r="D1269" s="1" t="s">
        <v>142</v>
      </c>
      <c r="E1269" s="32" t="s">
        <v>31</v>
      </c>
      <c r="F1269" s="31" t="s">
        <v>1248</v>
      </c>
      <c r="G1269" s="142">
        <v>16</v>
      </c>
      <c r="H1269" s="128">
        <v>19.399999999999999</v>
      </c>
      <c r="I1269" s="128">
        <v>7.2</v>
      </c>
      <c r="J1269" s="128">
        <v>28.3</v>
      </c>
      <c r="K1269" s="119" t="s">
        <v>26</v>
      </c>
      <c r="L1269" s="119" t="s">
        <v>26</v>
      </c>
      <c r="M1269" s="119" t="s">
        <v>26</v>
      </c>
      <c r="N1269" s="119" t="s">
        <v>26</v>
      </c>
      <c r="O1269" s="128">
        <v>5.9</v>
      </c>
      <c r="P1269" s="119" t="s">
        <v>26</v>
      </c>
      <c r="Q1269" s="119" t="s">
        <v>26</v>
      </c>
      <c r="R1269" s="119" t="s">
        <v>26</v>
      </c>
      <c r="S1269" s="128">
        <v>11.6</v>
      </c>
      <c r="T1269" s="121" t="s">
        <v>26</v>
      </c>
      <c r="U1269" s="150" t="s">
        <v>1248</v>
      </c>
      <c r="V1269" s="136" t="s">
        <v>26</v>
      </c>
      <c r="X1269" s="33"/>
      <c r="Y1269" s="37"/>
      <c r="Z1269" s="33"/>
    </row>
    <row r="1270" spans="1:31">
      <c r="A1270" s="6" t="s">
        <v>1242</v>
      </c>
      <c r="B1270" s="1" t="s">
        <v>68</v>
      </c>
      <c r="C1270" s="29" t="s">
        <v>22</v>
      </c>
      <c r="D1270" s="3" t="s">
        <v>33</v>
      </c>
      <c r="E1270" s="32" t="s">
        <v>27</v>
      </c>
      <c r="F1270" s="31" t="s">
        <v>1249</v>
      </c>
      <c r="G1270" s="142">
        <v>133</v>
      </c>
      <c r="H1270" s="128">
        <v>35.799999999999997</v>
      </c>
      <c r="I1270" s="128">
        <v>12.4</v>
      </c>
      <c r="J1270" s="128">
        <v>1.98</v>
      </c>
      <c r="K1270" s="128">
        <v>0.4</v>
      </c>
      <c r="L1270" s="119" t="s">
        <v>26</v>
      </c>
      <c r="M1270" s="119" t="s">
        <v>26</v>
      </c>
      <c r="N1270" s="119" t="s">
        <v>26</v>
      </c>
      <c r="O1270" s="128">
        <v>12.2</v>
      </c>
      <c r="P1270" s="119" t="s">
        <v>26</v>
      </c>
      <c r="Q1270" s="119" t="s">
        <v>26</v>
      </c>
      <c r="R1270" s="119" t="s">
        <v>26</v>
      </c>
      <c r="S1270" s="120" t="s">
        <v>26</v>
      </c>
      <c r="T1270" s="121" t="s">
        <v>26</v>
      </c>
      <c r="U1270" s="130">
        <v>4067</v>
      </c>
      <c r="V1270" s="136" t="s">
        <v>26</v>
      </c>
      <c r="X1270" s="33"/>
      <c r="Y1270" s="37"/>
      <c r="Z1270" s="33"/>
    </row>
    <row r="1271" spans="1:31">
      <c r="A1271" s="6" t="s">
        <v>1242</v>
      </c>
      <c r="B1271" s="1" t="s">
        <v>68</v>
      </c>
      <c r="C1271" s="29" t="s">
        <v>22</v>
      </c>
      <c r="D1271" s="3" t="s">
        <v>33</v>
      </c>
      <c r="E1271" s="32" t="s">
        <v>29</v>
      </c>
      <c r="F1271" s="31" t="s">
        <v>1250</v>
      </c>
      <c r="G1271" s="142">
        <v>53</v>
      </c>
      <c r="H1271" s="128">
        <v>7.8</v>
      </c>
      <c r="I1271" s="128">
        <v>23.4</v>
      </c>
      <c r="J1271" s="128">
        <v>5.44</v>
      </c>
      <c r="K1271" s="119" t="s">
        <v>26</v>
      </c>
      <c r="L1271" s="119" t="s">
        <v>26</v>
      </c>
      <c r="M1271" s="119" t="s">
        <v>26</v>
      </c>
      <c r="N1271" s="119" t="s">
        <v>26</v>
      </c>
      <c r="O1271" s="128">
        <v>14.4</v>
      </c>
      <c r="P1271" s="128">
        <v>3.9</v>
      </c>
      <c r="Q1271" s="119" t="s">
        <v>26</v>
      </c>
      <c r="R1271" s="119" t="s">
        <v>26</v>
      </c>
      <c r="S1271" s="120" t="s">
        <v>26</v>
      </c>
      <c r="T1271" s="121" t="s">
        <v>26</v>
      </c>
      <c r="U1271" s="130">
        <v>1630</v>
      </c>
      <c r="V1271" s="136" t="s">
        <v>26</v>
      </c>
      <c r="X1271" s="33"/>
      <c r="Y1271" s="37"/>
      <c r="Z1271" s="33"/>
    </row>
    <row r="1272" spans="1:31">
      <c r="A1272" s="6" t="s">
        <v>1242</v>
      </c>
      <c r="B1272" s="1" t="s">
        <v>68</v>
      </c>
      <c r="C1272" s="29" t="s">
        <v>22</v>
      </c>
      <c r="D1272" s="3" t="s">
        <v>33</v>
      </c>
      <c r="E1272" s="32" t="s">
        <v>31</v>
      </c>
      <c r="F1272" s="31" t="s">
        <v>1251</v>
      </c>
      <c r="G1272" s="142">
        <v>19</v>
      </c>
      <c r="H1272" s="146" t="s">
        <v>26</v>
      </c>
      <c r="I1272" s="128">
        <v>6.9</v>
      </c>
      <c r="J1272" s="128">
        <v>27</v>
      </c>
      <c r="K1272" s="119" t="s">
        <v>26</v>
      </c>
      <c r="L1272" s="119" t="s">
        <v>26</v>
      </c>
      <c r="M1272" s="119" t="s">
        <v>26</v>
      </c>
      <c r="N1272" s="119" t="s">
        <v>26</v>
      </c>
      <c r="O1272" s="128">
        <v>8.4</v>
      </c>
      <c r="P1272" s="119" t="s">
        <v>26</v>
      </c>
      <c r="Q1272" s="119" t="s">
        <v>26</v>
      </c>
      <c r="R1272" s="119" t="s">
        <v>26</v>
      </c>
      <c r="S1272" s="120" t="s">
        <v>26</v>
      </c>
      <c r="T1272" s="121" t="s">
        <v>26</v>
      </c>
      <c r="U1272" s="130">
        <v>294</v>
      </c>
      <c r="V1272" s="136" t="s">
        <v>26</v>
      </c>
      <c r="X1272" s="33"/>
      <c r="Y1272" s="37"/>
      <c r="Z1272" s="33"/>
    </row>
    <row r="1273" spans="1:31">
      <c r="A1273" s="6" t="s">
        <v>1252</v>
      </c>
      <c r="B1273" s="1" t="s">
        <v>1237</v>
      </c>
      <c r="C1273" s="29" t="s">
        <v>22</v>
      </c>
      <c r="D1273" s="1" t="s">
        <v>54</v>
      </c>
      <c r="E1273" s="32" t="s">
        <v>27</v>
      </c>
      <c r="F1273" s="31" t="s">
        <v>1253</v>
      </c>
      <c r="G1273" s="142">
        <v>100</v>
      </c>
      <c r="H1273" s="128">
        <v>38.799999999999997</v>
      </c>
      <c r="I1273" s="128">
        <v>8.1</v>
      </c>
      <c r="J1273" s="128">
        <v>0.6</v>
      </c>
      <c r="K1273" s="119" t="s">
        <v>26</v>
      </c>
      <c r="L1273" s="119" t="s">
        <v>26</v>
      </c>
      <c r="M1273" s="119" t="s">
        <v>26</v>
      </c>
      <c r="N1273" s="119" t="s">
        <v>26</v>
      </c>
      <c r="O1273" s="128">
        <v>4.0999999999999996</v>
      </c>
      <c r="P1273" s="128">
        <v>1.2</v>
      </c>
      <c r="Q1273" s="128">
        <v>7.5</v>
      </c>
      <c r="R1273" s="128">
        <v>2.4</v>
      </c>
      <c r="S1273" s="120" t="s">
        <v>26</v>
      </c>
      <c r="T1273" s="121" t="s">
        <v>26</v>
      </c>
      <c r="U1273" s="130">
        <v>558</v>
      </c>
      <c r="V1273" s="149">
        <v>394</v>
      </c>
      <c r="X1273" s="33"/>
      <c r="Y1273" s="37"/>
      <c r="Z1273" s="33"/>
    </row>
    <row r="1274" spans="1:31">
      <c r="A1274" s="6" t="s">
        <v>1252</v>
      </c>
      <c r="B1274" s="1" t="s">
        <v>1237</v>
      </c>
      <c r="C1274" s="29" t="s">
        <v>22</v>
      </c>
      <c r="D1274" s="1" t="s">
        <v>54</v>
      </c>
      <c r="E1274" s="32" t="s">
        <v>29</v>
      </c>
      <c r="F1274" s="31" t="s">
        <v>1254</v>
      </c>
      <c r="G1274" s="142">
        <v>45</v>
      </c>
      <c r="H1274" s="128">
        <v>5.0999999999999996</v>
      </c>
      <c r="I1274" s="128">
        <v>12.5</v>
      </c>
      <c r="J1274" s="128">
        <v>4.4000000000000004</v>
      </c>
      <c r="K1274" s="128">
        <v>0.6</v>
      </c>
      <c r="L1274" s="119" t="s">
        <v>26</v>
      </c>
      <c r="M1274" s="119" t="s">
        <v>26</v>
      </c>
      <c r="N1274" s="119" t="s">
        <v>26</v>
      </c>
      <c r="O1274" s="128">
        <v>2.5</v>
      </c>
      <c r="P1274" s="128">
        <v>2.8</v>
      </c>
      <c r="Q1274" s="128">
        <v>8.8000000000000007</v>
      </c>
      <c r="R1274" s="128">
        <v>2</v>
      </c>
      <c r="S1274" s="128">
        <v>2.6</v>
      </c>
      <c r="T1274" s="121" t="s">
        <v>26</v>
      </c>
      <c r="U1274" s="130">
        <v>3642</v>
      </c>
      <c r="V1274" s="147">
        <v>246</v>
      </c>
      <c r="X1274" s="33"/>
      <c r="Y1274" s="37"/>
      <c r="Z1274" s="33"/>
    </row>
    <row r="1275" spans="1:31">
      <c r="A1275" s="6" t="s">
        <v>1252</v>
      </c>
      <c r="B1275" s="1" t="s">
        <v>1237</v>
      </c>
      <c r="C1275" s="29" t="s">
        <v>22</v>
      </c>
      <c r="D1275" s="1" t="s">
        <v>54</v>
      </c>
      <c r="E1275" s="32" t="s">
        <v>31</v>
      </c>
      <c r="F1275" s="31" t="s">
        <v>1255</v>
      </c>
      <c r="G1275" s="142">
        <v>22</v>
      </c>
      <c r="H1275" s="146" t="s">
        <v>26</v>
      </c>
      <c r="I1275" s="128">
        <v>7.5</v>
      </c>
      <c r="J1275" s="128">
        <v>21.3</v>
      </c>
      <c r="K1275" s="119" t="s">
        <v>26</v>
      </c>
      <c r="L1275" s="119" t="s">
        <v>26</v>
      </c>
      <c r="M1275" s="119" t="s">
        <v>26</v>
      </c>
      <c r="N1275" s="119" t="s">
        <v>26</v>
      </c>
      <c r="O1275" s="128">
        <v>1.2</v>
      </c>
      <c r="P1275" s="128">
        <v>1.8</v>
      </c>
      <c r="Q1275" s="119" t="s">
        <v>26</v>
      </c>
      <c r="R1275" s="119" t="s">
        <v>26</v>
      </c>
      <c r="S1275" s="128">
        <v>1.4</v>
      </c>
      <c r="T1275" s="121" t="s">
        <v>26</v>
      </c>
      <c r="U1275" s="130">
        <v>948</v>
      </c>
      <c r="V1275" s="147">
        <v>70</v>
      </c>
      <c r="X1275" s="33"/>
      <c r="Y1275" s="37"/>
      <c r="Z1275" s="33"/>
    </row>
    <row r="1276" spans="1:31">
      <c r="A1276" s="6" t="s">
        <v>1252</v>
      </c>
      <c r="B1276" s="1" t="s">
        <v>21</v>
      </c>
      <c r="C1276" s="29" t="s">
        <v>22</v>
      </c>
      <c r="D1276" s="3" t="s">
        <v>33</v>
      </c>
      <c r="E1276" s="32" t="s">
        <v>27</v>
      </c>
      <c r="F1276" s="31" t="s">
        <v>1256</v>
      </c>
      <c r="G1276" s="142">
        <v>123</v>
      </c>
      <c r="H1276" s="128">
        <v>28.5</v>
      </c>
      <c r="I1276" s="128">
        <v>9.5</v>
      </c>
      <c r="J1276" s="128">
        <v>0.8</v>
      </c>
      <c r="K1276" s="128">
        <v>0.3</v>
      </c>
      <c r="L1276" s="119" t="s">
        <v>26</v>
      </c>
      <c r="M1276" s="128">
        <v>0.5</v>
      </c>
      <c r="N1276" s="119" t="s">
        <v>26</v>
      </c>
      <c r="O1276" s="128">
        <v>5.5</v>
      </c>
      <c r="P1276" s="119" t="s">
        <v>26</v>
      </c>
      <c r="Q1276" s="128">
        <v>4.0999999999999996</v>
      </c>
      <c r="R1276" s="128">
        <v>1.8</v>
      </c>
      <c r="S1276" s="120" t="s">
        <v>26</v>
      </c>
      <c r="T1276" s="128">
        <v>1</v>
      </c>
      <c r="U1276" s="130">
        <v>2146</v>
      </c>
      <c r="V1276" s="136" t="s">
        <v>26</v>
      </c>
      <c r="X1276" s="33"/>
      <c r="Y1276" s="37"/>
      <c r="Z1276" s="33"/>
    </row>
    <row r="1277" spans="1:31">
      <c r="A1277" s="6" t="s">
        <v>1252</v>
      </c>
      <c r="B1277" s="1" t="s">
        <v>21</v>
      </c>
      <c r="C1277" s="29" t="s">
        <v>22</v>
      </c>
      <c r="D1277" s="3" t="s">
        <v>33</v>
      </c>
      <c r="E1277" s="32" t="s">
        <v>29</v>
      </c>
      <c r="F1277" s="31" t="s">
        <v>208</v>
      </c>
      <c r="G1277" s="142">
        <v>50</v>
      </c>
      <c r="H1277" s="128">
        <v>3.5</v>
      </c>
      <c r="I1277" s="128">
        <v>18.5</v>
      </c>
      <c r="J1277" s="128">
        <v>5.25</v>
      </c>
      <c r="K1277" s="128">
        <v>0.5</v>
      </c>
      <c r="L1277" s="119" t="s">
        <v>26</v>
      </c>
      <c r="M1277" s="128">
        <v>0.6</v>
      </c>
      <c r="N1277" s="119" t="s">
        <v>26</v>
      </c>
      <c r="O1277" s="128">
        <v>4.5</v>
      </c>
      <c r="P1277" s="119" t="s">
        <v>26</v>
      </c>
      <c r="Q1277" s="128">
        <v>3.5</v>
      </c>
      <c r="R1277" s="128">
        <v>1.2</v>
      </c>
      <c r="S1277" s="120" t="s">
        <v>26</v>
      </c>
      <c r="T1277" s="121" t="s">
        <v>26</v>
      </c>
      <c r="U1277" s="130">
        <v>2185</v>
      </c>
      <c r="V1277" s="136" t="s">
        <v>26</v>
      </c>
      <c r="X1277" s="33"/>
      <c r="Y1277" s="37"/>
      <c r="Z1277" s="33"/>
    </row>
    <row r="1278" spans="1:31">
      <c r="A1278" s="6" t="s">
        <v>1252</v>
      </c>
      <c r="B1278" s="1" t="s">
        <v>21</v>
      </c>
      <c r="C1278" s="29" t="s">
        <v>22</v>
      </c>
      <c r="D1278" s="3" t="s">
        <v>33</v>
      </c>
      <c r="E1278" s="32" t="s">
        <v>31</v>
      </c>
      <c r="F1278" s="31" t="s">
        <v>1257</v>
      </c>
      <c r="G1278" s="142">
        <v>24</v>
      </c>
      <c r="H1278" s="146" t="s">
        <v>26</v>
      </c>
      <c r="I1278" s="128">
        <v>8.1999999999999993</v>
      </c>
      <c r="J1278" s="128">
        <v>20.9</v>
      </c>
      <c r="K1278" s="119" t="s">
        <v>26</v>
      </c>
      <c r="L1278" s="119" t="s">
        <v>26</v>
      </c>
      <c r="M1278" s="119" t="s">
        <v>26</v>
      </c>
      <c r="N1278" s="119" t="s">
        <v>26</v>
      </c>
      <c r="O1278" s="128">
        <v>3.1</v>
      </c>
      <c r="P1278" s="119" t="s">
        <v>26</v>
      </c>
      <c r="Q1278" s="119" t="s">
        <v>26</v>
      </c>
      <c r="R1278" s="119" t="s">
        <v>26</v>
      </c>
      <c r="S1278" s="128">
        <v>0.9</v>
      </c>
      <c r="T1278" s="121" t="s">
        <v>26</v>
      </c>
      <c r="U1278" s="130">
        <v>347</v>
      </c>
      <c r="V1278" s="136" t="s">
        <v>26</v>
      </c>
      <c r="X1278" s="33"/>
      <c r="Y1278" s="37"/>
      <c r="Z1278" s="33"/>
    </row>
    <row r="1279" spans="1:31">
      <c r="A1279" s="6" t="s">
        <v>1258</v>
      </c>
      <c r="B1279" s="1" t="s">
        <v>272</v>
      </c>
      <c r="C1279" s="29" t="s">
        <v>22</v>
      </c>
      <c r="D1279" s="1" t="s">
        <v>54</v>
      </c>
      <c r="E1279" s="32" t="s">
        <v>27</v>
      </c>
      <c r="F1279" s="31" t="s">
        <v>229</v>
      </c>
      <c r="G1279" s="142">
        <v>113</v>
      </c>
      <c r="H1279" s="128">
        <v>36.5</v>
      </c>
      <c r="I1279" s="119" t="s">
        <v>26</v>
      </c>
      <c r="J1279" s="128">
        <v>1.2</v>
      </c>
      <c r="K1279" s="119" t="s">
        <v>26</v>
      </c>
      <c r="L1279" s="119" t="s">
        <v>26</v>
      </c>
      <c r="M1279" s="119" t="s">
        <v>26</v>
      </c>
      <c r="N1279" s="119" t="s">
        <v>26</v>
      </c>
      <c r="O1279" s="128">
        <v>3.6</v>
      </c>
      <c r="P1279" s="119" t="s">
        <v>26</v>
      </c>
      <c r="Q1279" s="119" t="s">
        <v>26</v>
      </c>
      <c r="R1279" s="119" t="s">
        <v>26</v>
      </c>
      <c r="S1279" s="120" t="s">
        <v>26</v>
      </c>
      <c r="T1279" s="121" t="s">
        <v>26</v>
      </c>
      <c r="U1279" s="130">
        <v>866</v>
      </c>
      <c r="V1279" s="149">
        <v>445</v>
      </c>
      <c r="X1279" s="33"/>
      <c r="Y1279" s="37"/>
      <c r="Z1279" s="33"/>
    </row>
    <row r="1280" spans="1:31">
      <c r="A1280" s="6" t="s">
        <v>1258</v>
      </c>
      <c r="B1280" s="1" t="s">
        <v>272</v>
      </c>
      <c r="C1280" s="29" t="s">
        <v>22</v>
      </c>
      <c r="D1280" s="1" t="s">
        <v>54</v>
      </c>
      <c r="E1280" s="32" t="s">
        <v>29</v>
      </c>
      <c r="F1280" s="31" t="s">
        <v>1259</v>
      </c>
      <c r="G1280" s="142">
        <v>52</v>
      </c>
      <c r="H1280" s="128">
        <v>8.1999999999999993</v>
      </c>
      <c r="I1280" s="128">
        <v>16.399999999999999</v>
      </c>
      <c r="J1280" s="128">
        <v>5.9</v>
      </c>
      <c r="K1280" s="119" t="s">
        <v>26</v>
      </c>
      <c r="L1280" s="119" t="s">
        <v>26</v>
      </c>
      <c r="M1280" s="119" t="s">
        <v>26</v>
      </c>
      <c r="N1280" s="119" t="s">
        <v>26</v>
      </c>
      <c r="O1280" s="128">
        <v>5.8</v>
      </c>
      <c r="P1280" s="119" t="s">
        <v>26</v>
      </c>
      <c r="Q1280" s="119" t="s">
        <v>26</v>
      </c>
      <c r="R1280" s="119" t="s">
        <v>26</v>
      </c>
      <c r="S1280" s="120" t="s">
        <v>26</v>
      </c>
      <c r="T1280" s="121" t="s">
        <v>26</v>
      </c>
      <c r="U1280" s="130">
        <v>4146</v>
      </c>
      <c r="V1280" s="147">
        <v>395</v>
      </c>
      <c r="X1280" s="33"/>
      <c r="Y1280" s="37"/>
      <c r="Z1280" s="33"/>
    </row>
    <row r="1281" spans="1:26">
      <c r="A1281" s="6" t="s">
        <v>1258</v>
      </c>
      <c r="B1281" s="1" t="s">
        <v>272</v>
      </c>
      <c r="C1281" s="29" t="s">
        <v>22</v>
      </c>
      <c r="D1281" s="1" t="s">
        <v>54</v>
      </c>
      <c r="E1281" s="32" t="s">
        <v>31</v>
      </c>
      <c r="F1281" s="31" t="s">
        <v>862</v>
      </c>
      <c r="G1281" s="142">
        <v>16</v>
      </c>
      <c r="H1281" s="146" t="s">
        <v>26</v>
      </c>
      <c r="I1281" s="128">
        <v>7.2</v>
      </c>
      <c r="J1281" s="128">
        <v>30.4</v>
      </c>
      <c r="K1281" s="119" t="s">
        <v>26</v>
      </c>
      <c r="L1281" s="119" t="s">
        <v>26</v>
      </c>
      <c r="M1281" s="119" t="s">
        <v>26</v>
      </c>
      <c r="N1281" s="119" t="s">
        <v>26</v>
      </c>
      <c r="O1281" s="128">
        <v>7.6</v>
      </c>
      <c r="P1281" s="119" t="s">
        <v>26</v>
      </c>
      <c r="Q1281" s="119" t="s">
        <v>26</v>
      </c>
      <c r="R1281" s="119" t="s">
        <v>26</v>
      </c>
      <c r="S1281" s="120" t="s">
        <v>26</v>
      </c>
      <c r="T1281" s="121" t="s">
        <v>26</v>
      </c>
      <c r="U1281" s="130">
        <v>758</v>
      </c>
      <c r="V1281" s="147">
        <v>96</v>
      </c>
      <c r="X1281" s="33"/>
      <c r="Y1281" s="37"/>
      <c r="Z1281" s="33"/>
    </row>
    <row r="1282" spans="1:26">
      <c r="A1282" s="6" t="s">
        <v>1258</v>
      </c>
      <c r="B1282" s="1" t="s">
        <v>63</v>
      </c>
      <c r="C1282" s="29" t="s">
        <v>22</v>
      </c>
      <c r="D1282" s="3" t="s">
        <v>33</v>
      </c>
      <c r="E1282" s="32" t="s">
        <v>27</v>
      </c>
      <c r="F1282" s="31" t="s">
        <v>1260</v>
      </c>
      <c r="G1282" s="142">
        <v>125</v>
      </c>
      <c r="H1282" s="128">
        <v>29.6</v>
      </c>
      <c r="I1282" s="128">
        <v>3.5</v>
      </c>
      <c r="J1282" s="119" t="s">
        <v>26</v>
      </c>
      <c r="K1282" s="119" t="s">
        <v>26</v>
      </c>
      <c r="L1282" s="119" t="s">
        <v>26</v>
      </c>
      <c r="M1282" s="119" t="s">
        <v>26</v>
      </c>
      <c r="N1282" s="119" t="s">
        <v>26</v>
      </c>
      <c r="O1282" s="128">
        <v>3</v>
      </c>
      <c r="P1282" s="119" t="s">
        <v>26</v>
      </c>
      <c r="Q1282" s="119" t="s">
        <v>26</v>
      </c>
      <c r="R1282" s="119" t="s">
        <v>26</v>
      </c>
      <c r="S1282" s="120" t="s">
        <v>26</v>
      </c>
      <c r="T1282" s="121" t="s">
        <v>26</v>
      </c>
      <c r="U1282" s="123" t="s">
        <v>26</v>
      </c>
      <c r="V1282" s="136" t="s">
        <v>26</v>
      </c>
      <c r="X1282" s="33"/>
      <c r="Y1282" s="37"/>
      <c r="Z1282" s="33"/>
    </row>
    <row r="1283" spans="1:26">
      <c r="A1283" s="6" t="s">
        <v>1258</v>
      </c>
      <c r="B1283" s="1" t="s">
        <v>63</v>
      </c>
      <c r="C1283" s="29" t="s">
        <v>22</v>
      </c>
      <c r="D1283" s="3" t="s">
        <v>33</v>
      </c>
      <c r="E1283" s="32" t="s">
        <v>29</v>
      </c>
      <c r="F1283" s="31" t="s">
        <v>1261</v>
      </c>
      <c r="G1283" s="142">
        <v>54</v>
      </c>
      <c r="H1283" s="146" t="s">
        <v>26</v>
      </c>
      <c r="I1283" s="128">
        <v>8.1999999999999993</v>
      </c>
      <c r="J1283" s="128">
        <v>4.5999999999999996</v>
      </c>
      <c r="K1283" s="119" t="s">
        <v>26</v>
      </c>
      <c r="L1283" s="119" t="s">
        <v>26</v>
      </c>
      <c r="M1283" s="119" t="s">
        <v>26</v>
      </c>
      <c r="N1283" s="119" t="s">
        <v>26</v>
      </c>
      <c r="O1283" s="128">
        <v>6.1</v>
      </c>
      <c r="P1283" s="119" t="s">
        <v>26</v>
      </c>
      <c r="Q1283" s="119" t="s">
        <v>26</v>
      </c>
      <c r="R1283" s="119" t="s">
        <v>26</v>
      </c>
      <c r="S1283" s="120" t="s">
        <v>26</v>
      </c>
      <c r="T1283" s="121" t="s">
        <v>26</v>
      </c>
      <c r="U1283" s="130">
        <v>3933</v>
      </c>
      <c r="V1283" s="136" t="s">
        <v>26</v>
      </c>
      <c r="X1283" s="33"/>
      <c r="Y1283" s="37"/>
      <c r="Z1283" s="33"/>
    </row>
    <row r="1284" spans="1:26">
      <c r="A1284" s="6" t="s">
        <v>1258</v>
      </c>
      <c r="B1284" s="1" t="s">
        <v>63</v>
      </c>
      <c r="C1284" s="29" t="s">
        <v>22</v>
      </c>
      <c r="D1284" s="3" t="s">
        <v>33</v>
      </c>
      <c r="E1284" s="32" t="s">
        <v>31</v>
      </c>
      <c r="F1284" s="31" t="s">
        <v>1262</v>
      </c>
      <c r="G1284" s="142">
        <v>21</v>
      </c>
      <c r="H1284" s="146" t="s">
        <v>26</v>
      </c>
      <c r="I1284" s="128">
        <v>10.7</v>
      </c>
      <c r="J1284" s="128">
        <v>17.899999999999999</v>
      </c>
      <c r="K1284" s="119" t="s">
        <v>26</v>
      </c>
      <c r="L1284" s="119" t="s">
        <v>26</v>
      </c>
      <c r="M1284" s="119" t="s">
        <v>26</v>
      </c>
      <c r="N1284" s="119" t="s">
        <v>26</v>
      </c>
      <c r="O1284" s="125" t="s">
        <v>26</v>
      </c>
      <c r="P1284" s="119" t="s">
        <v>26</v>
      </c>
      <c r="Q1284" s="119" t="s">
        <v>26</v>
      </c>
      <c r="R1284" s="119" t="s">
        <v>26</v>
      </c>
      <c r="S1284" s="120" t="s">
        <v>26</v>
      </c>
      <c r="T1284" s="121" t="s">
        <v>26</v>
      </c>
      <c r="U1284" s="130">
        <v>533</v>
      </c>
      <c r="V1284" s="136" t="s">
        <v>26</v>
      </c>
      <c r="X1284" s="33"/>
      <c r="Y1284" s="37"/>
      <c r="Z1284" s="33"/>
    </row>
    <row r="1285" spans="1:26">
      <c r="A1285" s="6" t="s">
        <v>1258</v>
      </c>
      <c r="B1285" s="1" t="s">
        <v>1263</v>
      </c>
      <c r="C1285" s="29" t="s">
        <v>22</v>
      </c>
      <c r="D1285" s="1" t="s">
        <v>142</v>
      </c>
      <c r="E1285" s="32" t="s">
        <v>27</v>
      </c>
      <c r="F1285" s="31" t="s">
        <v>1480</v>
      </c>
      <c r="G1285" s="142">
        <v>112</v>
      </c>
      <c r="H1285" s="128">
        <v>45.2</v>
      </c>
      <c r="I1285" s="119" t="s">
        <v>26</v>
      </c>
      <c r="J1285" s="119" t="s">
        <v>26</v>
      </c>
      <c r="K1285" s="119" t="s">
        <v>26</v>
      </c>
      <c r="L1285" s="119" t="s">
        <v>26</v>
      </c>
      <c r="M1285" s="119" t="s">
        <v>26</v>
      </c>
      <c r="N1285" s="119" t="s">
        <v>26</v>
      </c>
      <c r="O1285" s="128">
        <v>4.0999999999999996</v>
      </c>
      <c r="P1285" s="119" t="s">
        <v>26</v>
      </c>
      <c r="Q1285" s="128">
        <v>3.6</v>
      </c>
      <c r="R1285" s="119" t="s">
        <v>26</v>
      </c>
      <c r="S1285" s="120" t="s">
        <v>26</v>
      </c>
      <c r="T1285" s="128">
        <v>1</v>
      </c>
      <c r="U1285" s="123" t="s">
        <v>26</v>
      </c>
      <c r="V1285" s="136" t="s">
        <v>26</v>
      </c>
      <c r="X1285" s="33"/>
      <c r="Y1285" s="37"/>
      <c r="Z1285" s="33"/>
    </row>
    <row r="1286" spans="1:26">
      <c r="A1286" s="6" t="s">
        <v>1258</v>
      </c>
      <c r="B1286" s="1" t="s">
        <v>1263</v>
      </c>
      <c r="C1286" s="29" t="s">
        <v>22</v>
      </c>
      <c r="D1286" s="1" t="s">
        <v>142</v>
      </c>
      <c r="E1286" s="32" t="s">
        <v>29</v>
      </c>
      <c r="F1286" s="31" t="s">
        <v>1481</v>
      </c>
      <c r="G1286" s="142">
        <v>42</v>
      </c>
      <c r="H1286" s="128">
        <v>25.3</v>
      </c>
      <c r="I1286" s="119" t="s">
        <v>26</v>
      </c>
      <c r="J1286" s="128">
        <v>10.199999999999999</v>
      </c>
      <c r="K1286" s="119" t="s">
        <v>26</v>
      </c>
      <c r="L1286" s="119" t="s">
        <v>26</v>
      </c>
      <c r="M1286" s="119" t="s">
        <v>26</v>
      </c>
      <c r="N1286" s="119" t="s">
        <v>26</v>
      </c>
      <c r="O1286" s="128">
        <v>6.2</v>
      </c>
      <c r="P1286" s="119" t="s">
        <v>26</v>
      </c>
      <c r="Q1286" s="119" t="s">
        <v>26</v>
      </c>
      <c r="R1286" s="119" t="s">
        <v>26</v>
      </c>
      <c r="S1286" s="120" t="s">
        <v>26</v>
      </c>
      <c r="T1286" s="121" t="s">
        <v>26</v>
      </c>
      <c r="U1286" s="143">
        <v>3899</v>
      </c>
      <c r="V1286" s="136" t="s">
        <v>26</v>
      </c>
      <c r="X1286" s="33"/>
      <c r="Y1286" s="37"/>
      <c r="Z1286" s="33"/>
    </row>
    <row r="1287" spans="1:26">
      <c r="A1287" s="6" t="s">
        <v>1258</v>
      </c>
      <c r="B1287" s="1" t="s">
        <v>1263</v>
      </c>
      <c r="C1287" s="29" t="s">
        <v>22</v>
      </c>
      <c r="D1287" s="1" t="s">
        <v>142</v>
      </c>
      <c r="E1287" s="32" t="s">
        <v>31</v>
      </c>
      <c r="F1287" s="31" t="s">
        <v>1264</v>
      </c>
      <c r="G1287" s="142">
        <v>14</v>
      </c>
      <c r="H1287" s="128">
        <v>13.2</v>
      </c>
      <c r="I1287" s="119" t="s">
        <v>26</v>
      </c>
      <c r="J1287" s="128">
        <v>12.6</v>
      </c>
      <c r="K1287" s="119" t="s">
        <v>26</v>
      </c>
      <c r="L1287" s="119" t="s">
        <v>26</v>
      </c>
      <c r="M1287" s="119" t="s">
        <v>26</v>
      </c>
      <c r="N1287" s="119" t="s">
        <v>26</v>
      </c>
      <c r="O1287" s="125" t="s">
        <v>26</v>
      </c>
      <c r="P1287" s="119" t="s">
        <v>26</v>
      </c>
      <c r="Q1287" s="119" t="s">
        <v>26</v>
      </c>
      <c r="R1287" s="119" t="s">
        <v>26</v>
      </c>
      <c r="S1287" s="120" t="s">
        <v>26</v>
      </c>
      <c r="T1287" s="121" t="s">
        <v>26</v>
      </c>
      <c r="U1287" s="143">
        <v>622</v>
      </c>
      <c r="V1287" s="136" t="s">
        <v>26</v>
      </c>
      <c r="X1287" s="33"/>
      <c r="Y1287" s="37"/>
      <c r="Z1287" s="33"/>
    </row>
    <row r="1288" spans="1:26">
      <c r="A1288" s="6" t="s">
        <v>1258</v>
      </c>
      <c r="B1288" s="1" t="s">
        <v>39</v>
      </c>
      <c r="C1288" s="29" t="s">
        <v>22</v>
      </c>
      <c r="D1288" s="8" t="s">
        <v>109</v>
      </c>
      <c r="E1288" s="32" t="s">
        <v>27</v>
      </c>
      <c r="F1288" s="31" t="s">
        <v>1265</v>
      </c>
      <c r="G1288" s="142">
        <v>123</v>
      </c>
      <c r="H1288" s="128">
        <v>29.2</v>
      </c>
      <c r="I1288" s="119" t="s">
        <v>26</v>
      </c>
      <c r="J1288" s="119" t="s">
        <v>26</v>
      </c>
      <c r="K1288" s="119" t="s">
        <v>26</v>
      </c>
      <c r="L1288" s="119" t="s">
        <v>26</v>
      </c>
      <c r="M1288" s="119" t="s">
        <v>26</v>
      </c>
      <c r="N1288" s="119" t="s">
        <v>26</v>
      </c>
      <c r="O1288" s="128">
        <v>4.2</v>
      </c>
      <c r="P1288" s="119" t="s">
        <v>26</v>
      </c>
      <c r="Q1288" s="119" t="s">
        <v>26</v>
      </c>
      <c r="R1288" s="119" t="s">
        <v>26</v>
      </c>
      <c r="S1288" s="120" t="s">
        <v>26</v>
      </c>
      <c r="T1288" s="121" t="s">
        <v>26</v>
      </c>
      <c r="U1288" s="123" t="s">
        <v>26</v>
      </c>
      <c r="V1288" s="136" t="s">
        <v>26</v>
      </c>
      <c r="X1288" s="33"/>
      <c r="Y1288" s="37"/>
      <c r="Z1288" s="33"/>
    </row>
    <row r="1289" spans="1:26">
      <c r="A1289" s="6" t="s">
        <v>1258</v>
      </c>
      <c r="B1289" s="1" t="s">
        <v>39</v>
      </c>
      <c r="C1289" s="29" t="s">
        <v>22</v>
      </c>
      <c r="D1289" s="8" t="s">
        <v>109</v>
      </c>
      <c r="E1289" s="32" t="s">
        <v>29</v>
      </c>
      <c r="F1289" s="31" t="s">
        <v>1266</v>
      </c>
      <c r="G1289" s="142">
        <v>48</v>
      </c>
      <c r="H1289" s="128">
        <v>20.5</v>
      </c>
      <c r="I1289" s="128">
        <v>12.6</v>
      </c>
      <c r="J1289" s="119" t="s">
        <v>26</v>
      </c>
      <c r="K1289" s="119" t="s">
        <v>26</v>
      </c>
      <c r="L1289" s="119" t="s">
        <v>26</v>
      </c>
      <c r="M1289" s="119" t="s">
        <v>26</v>
      </c>
      <c r="N1289" s="119" t="s">
        <v>26</v>
      </c>
      <c r="O1289" s="128">
        <v>6.1</v>
      </c>
      <c r="P1289" s="119" t="s">
        <v>26</v>
      </c>
      <c r="Q1289" s="119" t="s">
        <v>26</v>
      </c>
      <c r="R1289" s="119" t="s">
        <v>26</v>
      </c>
      <c r="S1289" s="120" t="s">
        <v>26</v>
      </c>
      <c r="T1289" s="121" t="s">
        <v>26</v>
      </c>
      <c r="U1289" s="123" t="s">
        <v>26</v>
      </c>
      <c r="V1289" s="136" t="s">
        <v>26</v>
      </c>
      <c r="X1289" s="33"/>
      <c r="Y1289" s="37"/>
      <c r="Z1289" s="33"/>
    </row>
    <row r="1290" spans="1:26">
      <c r="A1290" s="6" t="s">
        <v>1258</v>
      </c>
      <c r="B1290" s="1" t="s">
        <v>39</v>
      </c>
      <c r="C1290" s="29" t="s">
        <v>22</v>
      </c>
      <c r="D1290" s="8" t="s">
        <v>109</v>
      </c>
      <c r="E1290" s="32" t="s">
        <v>31</v>
      </c>
      <c r="F1290" s="31" t="s">
        <v>1267</v>
      </c>
      <c r="G1290" s="142">
        <v>12</v>
      </c>
      <c r="H1290" s="128">
        <v>25.3</v>
      </c>
      <c r="I1290" s="119" t="s">
        <v>26</v>
      </c>
      <c r="J1290" s="119" t="s">
        <v>26</v>
      </c>
      <c r="K1290" s="119" t="s">
        <v>26</v>
      </c>
      <c r="L1290" s="119" t="s">
        <v>26</v>
      </c>
      <c r="M1290" s="119" t="s">
        <v>26</v>
      </c>
      <c r="N1290" s="119" t="s">
        <v>26</v>
      </c>
      <c r="O1290" s="125" t="s">
        <v>26</v>
      </c>
      <c r="P1290" s="119" t="s">
        <v>26</v>
      </c>
      <c r="Q1290" s="119" t="s">
        <v>26</v>
      </c>
      <c r="R1290" s="119" t="s">
        <v>26</v>
      </c>
      <c r="S1290" s="120" t="s">
        <v>26</v>
      </c>
      <c r="T1290" s="121" t="s">
        <v>26</v>
      </c>
      <c r="U1290" s="123" t="s">
        <v>26</v>
      </c>
      <c r="V1290" s="136" t="s">
        <v>26</v>
      </c>
      <c r="X1290" s="33"/>
      <c r="Y1290" s="37"/>
      <c r="Z1290" s="33"/>
    </row>
    <row r="1291" spans="1:26">
      <c r="A1291" s="6" t="s">
        <v>1268</v>
      </c>
      <c r="B1291" s="1" t="s">
        <v>320</v>
      </c>
      <c r="C1291" s="29" t="s">
        <v>22</v>
      </c>
      <c r="D1291" s="3" t="s">
        <v>33</v>
      </c>
      <c r="E1291" s="32" t="s">
        <v>27</v>
      </c>
      <c r="F1291" s="31" t="s">
        <v>1269</v>
      </c>
      <c r="G1291" s="142">
        <v>123</v>
      </c>
      <c r="H1291" s="128">
        <v>25.5</v>
      </c>
      <c r="I1291" s="128">
        <v>14</v>
      </c>
      <c r="J1291" s="128">
        <v>2.67</v>
      </c>
      <c r="K1291" s="119" t="s">
        <v>26</v>
      </c>
      <c r="L1291" s="119" t="s">
        <v>26</v>
      </c>
      <c r="M1291" s="128">
        <v>0.8</v>
      </c>
      <c r="N1291" s="119" t="s">
        <v>26</v>
      </c>
      <c r="O1291" s="128">
        <v>2.1</v>
      </c>
      <c r="P1291" s="119" t="s">
        <v>26</v>
      </c>
      <c r="Q1291" s="128">
        <v>5.0999999999999996</v>
      </c>
      <c r="R1291" s="128">
        <v>1.8</v>
      </c>
      <c r="S1291" s="120" t="s">
        <v>26</v>
      </c>
      <c r="T1291" s="121" t="s">
        <v>26</v>
      </c>
      <c r="U1291" s="130">
        <v>72</v>
      </c>
      <c r="V1291" s="149">
        <v>153</v>
      </c>
      <c r="X1291" s="33"/>
      <c r="Y1291" s="37"/>
      <c r="Z1291" s="33"/>
    </row>
    <row r="1292" spans="1:26">
      <c r="A1292" s="6" t="s">
        <v>1268</v>
      </c>
      <c r="B1292" s="1" t="s">
        <v>320</v>
      </c>
      <c r="C1292" s="29" t="s">
        <v>22</v>
      </c>
      <c r="D1292" s="3" t="s">
        <v>33</v>
      </c>
      <c r="E1292" s="32" t="s">
        <v>29</v>
      </c>
      <c r="F1292" s="31" t="s">
        <v>1270</v>
      </c>
      <c r="G1292" s="142">
        <v>44</v>
      </c>
      <c r="H1292" s="128">
        <v>3.1</v>
      </c>
      <c r="I1292" s="128">
        <v>8.5</v>
      </c>
      <c r="J1292" s="128">
        <v>4.34</v>
      </c>
      <c r="K1292" s="119" t="s">
        <v>26</v>
      </c>
      <c r="L1292" s="119" t="s">
        <v>26</v>
      </c>
      <c r="M1292" s="128">
        <v>1.2</v>
      </c>
      <c r="N1292" s="119" t="s">
        <v>26</v>
      </c>
      <c r="O1292" s="128">
        <v>2.4</v>
      </c>
      <c r="P1292" s="119" t="s">
        <v>26</v>
      </c>
      <c r="Q1292" s="128">
        <v>2.4</v>
      </c>
      <c r="R1292" s="128">
        <v>1.5</v>
      </c>
      <c r="S1292" s="128">
        <v>0.9</v>
      </c>
      <c r="T1292" s="121" t="s">
        <v>26</v>
      </c>
      <c r="U1292" s="130">
        <v>2506</v>
      </c>
      <c r="V1292" s="147">
        <v>20</v>
      </c>
      <c r="X1292" s="33"/>
      <c r="Y1292" s="37"/>
      <c r="Z1292" s="33"/>
    </row>
    <row r="1293" spans="1:26">
      <c r="A1293" s="6" t="s">
        <v>1268</v>
      </c>
      <c r="B1293" s="1" t="s">
        <v>320</v>
      </c>
      <c r="C1293" s="29" t="s">
        <v>22</v>
      </c>
      <c r="D1293" s="3" t="s">
        <v>33</v>
      </c>
      <c r="E1293" s="32" t="s">
        <v>31</v>
      </c>
      <c r="F1293" s="31" t="s">
        <v>1271</v>
      </c>
      <c r="G1293" s="142">
        <v>22</v>
      </c>
      <c r="H1293" s="146" t="s">
        <v>26</v>
      </c>
      <c r="I1293" s="128">
        <v>12.5</v>
      </c>
      <c r="J1293" s="128">
        <v>25.1</v>
      </c>
      <c r="K1293" s="119" t="s">
        <v>26</v>
      </c>
      <c r="L1293" s="119" t="s">
        <v>26</v>
      </c>
      <c r="M1293" s="119" t="s">
        <v>26</v>
      </c>
      <c r="N1293" s="119" t="s">
        <v>26</v>
      </c>
      <c r="O1293" s="128">
        <v>1.8</v>
      </c>
      <c r="P1293" s="119" t="s">
        <v>26</v>
      </c>
      <c r="Q1293" s="119" t="s">
        <v>26</v>
      </c>
      <c r="R1293" s="119" t="s">
        <v>26</v>
      </c>
      <c r="S1293" s="120" t="s">
        <v>26</v>
      </c>
      <c r="T1293" s="121" t="s">
        <v>26</v>
      </c>
      <c r="U1293" s="130">
        <v>703</v>
      </c>
      <c r="V1293" s="147">
        <v>25</v>
      </c>
      <c r="X1293" s="33"/>
      <c r="Y1293" s="37"/>
      <c r="Z1293" s="33"/>
    </row>
    <row r="1294" spans="1:26">
      <c r="A1294" s="6" t="s">
        <v>1268</v>
      </c>
      <c r="B1294" s="1" t="s">
        <v>68</v>
      </c>
      <c r="C1294" s="29" t="s">
        <v>22</v>
      </c>
      <c r="D1294" s="1" t="s">
        <v>142</v>
      </c>
      <c r="E1294" s="32" t="s">
        <v>27</v>
      </c>
      <c r="F1294" s="31" t="s">
        <v>1482</v>
      </c>
      <c r="G1294" s="142">
        <v>112</v>
      </c>
      <c r="H1294" s="128">
        <v>27.5</v>
      </c>
      <c r="I1294" s="128">
        <v>9</v>
      </c>
      <c r="J1294" s="128">
        <v>0.5</v>
      </c>
      <c r="K1294" s="119" t="s">
        <v>26</v>
      </c>
      <c r="L1294" s="119" t="s">
        <v>26</v>
      </c>
      <c r="M1294" s="128">
        <v>0.6</v>
      </c>
      <c r="N1294" s="119" t="s">
        <v>26</v>
      </c>
      <c r="O1294" s="128">
        <v>0.8</v>
      </c>
      <c r="P1294" s="119" t="s">
        <v>26</v>
      </c>
      <c r="Q1294" s="128">
        <v>3.5</v>
      </c>
      <c r="R1294" s="128">
        <v>2.4</v>
      </c>
      <c r="S1294" s="120" t="s">
        <v>26</v>
      </c>
      <c r="T1294" s="121" t="s">
        <v>26</v>
      </c>
      <c r="U1294" s="89">
        <v>598</v>
      </c>
      <c r="V1294" s="136" t="s">
        <v>26</v>
      </c>
      <c r="X1294" s="33"/>
      <c r="Y1294" s="37"/>
      <c r="Z1294" s="33"/>
    </row>
    <row r="1295" spans="1:26">
      <c r="A1295" s="6" t="s">
        <v>1268</v>
      </c>
      <c r="B1295" s="1" t="s">
        <v>68</v>
      </c>
      <c r="C1295" s="29" t="s">
        <v>22</v>
      </c>
      <c r="D1295" s="1" t="s">
        <v>142</v>
      </c>
      <c r="E1295" s="32" t="s">
        <v>29</v>
      </c>
      <c r="F1295" s="31" t="s">
        <v>1483</v>
      </c>
      <c r="G1295" s="142">
        <v>35</v>
      </c>
      <c r="H1295" s="128">
        <v>35.5</v>
      </c>
      <c r="I1295" s="128">
        <v>6.4</v>
      </c>
      <c r="J1295" s="128">
        <v>5.2</v>
      </c>
      <c r="K1295" s="119" t="s">
        <v>26</v>
      </c>
      <c r="L1295" s="119" t="s">
        <v>26</v>
      </c>
      <c r="M1295" s="119" t="s">
        <v>26</v>
      </c>
      <c r="N1295" s="119" t="s">
        <v>26</v>
      </c>
      <c r="O1295" s="128">
        <v>0.7</v>
      </c>
      <c r="P1295" s="119" t="s">
        <v>26</v>
      </c>
      <c r="Q1295" s="128">
        <v>2.2000000000000002</v>
      </c>
      <c r="R1295" s="128">
        <v>1.6</v>
      </c>
      <c r="S1295" s="120" t="s">
        <v>26</v>
      </c>
      <c r="T1295" s="121" t="s">
        <v>26</v>
      </c>
      <c r="U1295" s="143">
        <v>4264</v>
      </c>
      <c r="V1295" s="136" t="s">
        <v>26</v>
      </c>
      <c r="X1295" s="33"/>
      <c r="Y1295" s="37"/>
      <c r="Z1295" s="33"/>
    </row>
    <row r="1296" spans="1:26">
      <c r="A1296" s="6" t="s">
        <v>1272</v>
      </c>
      <c r="B1296" s="1" t="s">
        <v>1263</v>
      </c>
      <c r="C1296" s="29" t="s">
        <v>22</v>
      </c>
      <c r="D1296" s="3" t="s">
        <v>33</v>
      </c>
      <c r="E1296" s="32" t="s">
        <v>27</v>
      </c>
      <c r="F1296" s="31" t="s">
        <v>1273</v>
      </c>
      <c r="G1296" s="142">
        <v>123</v>
      </c>
      <c r="H1296" s="128">
        <v>39.299999999999997</v>
      </c>
      <c r="I1296" s="128">
        <v>6.2</v>
      </c>
      <c r="J1296" s="119" t="s">
        <v>26</v>
      </c>
      <c r="K1296" s="119" t="s">
        <v>26</v>
      </c>
      <c r="L1296" s="119" t="s">
        <v>26</v>
      </c>
      <c r="M1296" s="119" t="s">
        <v>26</v>
      </c>
      <c r="N1296" s="119" t="s">
        <v>26</v>
      </c>
      <c r="O1296" s="128">
        <v>4.5</v>
      </c>
      <c r="P1296" s="119" t="s">
        <v>26</v>
      </c>
      <c r="Q1296" s="119" t="s">
        <v>26</v>
      </c>
      <c r="R1296" s="128">
        <v>2.6</v>
      </c>
      <c r="S1296" s="120" t="s">
        <v>26</v>
      </c>
      <c r="T1296" s="121" t="s">
        <v>26</v>
      </c>
      <c r="U1296" s="123" t="s">
        <v>26</v>
      </c>
      <c r="V1296" s="149">
        <v>458</v>
      </c>
      <c r="X1296" s="33"/>
      <c r="Y1296" s="37"/>
      <c r="Z1296" s="33"/>
    </row>
    <row r="1297" spans="1:26">
      <c r="A1297" s="6" t="s">
        <v>1272</v>
      </c>
      <c r="B1297" s="1" t="s">
        <v>1263</v>
      </c>
      <c r="C1297" s="29" t="s">
        <v>22</v>
      </c>
      <c r="D1297" s="3" t="s">
        <v>33</v>
      </c>
      <c r="E1297" s="32" t="s">
        <v>29</v>
      </c>
      <c r="F1297" s="31" t="s">
        <v>1274</v>
      </c>
      <c r="G1297" s="142">
        <v>49</v>
      </c>
      <c r="H1297" s="128">
        <v>8.6</v>
      </c>
      <c r="I1297" s="128">
        <v>15</v>
      </c>
      <c r="J1297" s="128">
        <v>9.3000000000000007</v>
      </c>
      <c r="K1297" s="119" t="s">
        <v>26</v>
      </c>
      <c r="L1297" s="119" t="s">
        <v>26</v>
      </c>
      <c r="M1297" s="119" t="s">
        <v>26</v>
      </c>
      <c r="N1297" s="119" t="s">
        <v>26</v>
      </c>
      <c r="O1297" s="128">
        <v>4.9000000000000004</v>
      </c>
      <c r="P1297" s="128">
        <v>2.9</v>
      </c>
      <c r="Q1297" s="119" t="s">
        <v>26</v>
      </c>
      <c r="R1297" s="119" t="s">
        <v>26</v>
      </c>
      <c r="S1297" s="120" t="s">
        <v>26</v>
      </c>
      <c r="T1297" s="121" t="s">
        <v>26</v>
      </c>
      <c r="U1297" s="130">
        <v>127</v>
      </c>
      <c r="V1297" s="147">
        <v>384</v>
      </c>
      <c r="X1297" s="33"/>
      <c r="Y1297" s="37"/>
      <c r="Z1297" s="33"/>
    </row>
    <row r="1298" spans="1:26">
      <c r="A1298" s="6" t="s">
        <v>1272</v>
      </c>
      <c r="B1298" s="1" t="s">
        <v>1263</v>
      </c>
      <c r="C1298" s="29" t="s">
        <v>22</v>
      </c>
      <c r="D1298" s="3" t="s">
        <v>33</v>
      </c>
      <c r="E1298" s="32" t="s">
        <v>31</v>
      </c>
      <c r="F1298" s="31" t="s">
        <v>1275</v>
      </c>
      <c r="G1298" s="142">
        <v>20</v>
      </c>
      <c r="H1298" s="146" t="s">
        <v>26</v>
      </c>
      <c r="I1298" s="119" t="s">
        <v>26</v>
      </c>
      <c r="J1298" s="128">
        <v>21.7</v>
      </c>
      <c r="K1298" s="119" t="s">
        <v>26</v>
      </c>
      <c r="L1298" s="119" t="s">
        <v>26</v>
      </c>
      <c r="M1298" s="119" t="s">
        <v>26</v>
      </c>
      <c r="N1298" s="119" t="s">
        <v>26</v>
      </c>
      <c r="O1298" s="125" t="s">
        <v>26</v>
      </c>
      <c r="P1298" s="119" t="s">
        <v>26</v>
      </c>
      <c r="Q1298" s="119" t="s">
        <v>26</v>
      </c>
      <c r="R1298" s="119" t="s">
        <v>26</v>
      </c>
      <c r="S1298" s="120" t="s">
        <v>26</v>
      </c>
      <c r="T1298" s="121" t="s">
        <v>26</v>
      </c>
      <c r="U1298" s="130">
        <v>443</v>
      </c>
      <c r="V1298" s="147">
        <v>73</v>
      </c>
      <c r="X1298" s="33"/>
      <c r="Y1298" s="37"/>
      <c r="Z1298" s="33"/>
    </row>
    <row r="1299" spans="1:26">
      <c r="A1299" s="6" t="s">
        <v>1272</v>
      </c>
      <c r="B1299" s="1" t="s">
        <v>1276</v>
      </c>
      <c r="C1299" s="29" t="s">
        <v>22</v>
      </c>
      <c r="D1299" s="1" t="s">
        <v>142</v>
      </c>
      <c r="E1299" s="32" t="s">
        <v>27</v>
      </c>
      <c r="F1299" s="31" t="s">
        <v>1277</v>
      </c>
      <c r="G1299" s="142">
        <v>137</v>
      </c>
      <c r="H1299" s="128">
        <v>24.1</v>
      </c>
      <c r="I1299" s="128">
        <v>16.8</v>
      </c>
      <c r="J1299" s="119" t="s">
        <v>26</v>
      </c>
      <c r="K1299" s="119" t="s">
        <v>26</v>
      </c>
      <c r="L1299" s="119" t="s">
        <v>26</v>
      </c>
      <c r="M1299" s="119" t="s">
        <v>26</v>
      </c>
      <c r="N1299" s="119" t="s">
        <v>26</v>
      </c>
      <c r="O1299" s="128">
        <v>6.2</v>
      </c>
      <c r="P1299" s="119" t="s">
        <v>26</v>
      </c>
      <c r="Q1299" s="128">
        <v>7.4</v>
      </c>
      <c r="R1299" s="128">
        <v>1.8</v>
      </c>
      <c r="S1299" s="120" t="s">
        <v>26</v>
      </c>
      <c r="T1299" s="121" t="s">
        <v>26</v>
      </c>
      <c r="U1299" s="89">
        <v>540</v>
      </c>
      <c r="V1299" s="136" t="s">
        <v>26</v>
      </c>
      <c r="X1299" s="33"/>
      <c r="Y1299" s="37"/>
      <c r="Z1299" s="33"/>
    </row>
    <row r="1300" spans="1:26">
      <c r="A1300" s="6" t="s">
        <v>1272</v>
      </c>
      <c r="B1300" s="1" t="s">
        <v>1276</v>
      </c>
      <c r="C1300" s="29" t="s">
        <v>22</v>
      </c>
      <c r="D1300" s="1" t="s">
        <v>142</v>
      </c>
      <c r="E1300" s="32" t="s">
        <v>29</v>
      </c>
      <c r="F1300" s="31" t="s">
        <v>1278</v>
      </c>
      <c r="G1300" s="142">
        <v>52</v>
      </c>
      <c r="H1300" s="128">
        <v>28.4</v>
      </c>
      <c r="I1300" s="128">
        <v>18.600000000000001</v>
      </c>
      <c r="J1300" s="128">
        <v>11.02</v>
      </c>
      <c r="K1300" s="119" t="s">
        <v>26</v>
      </c>
      <c r="L1300" s="119" t="s">
        <v>26</v>
      </c>
      <c r="M1300" s="119" t="s">
        <v>26</v>
      </c>
      <c r="N1300" s="119" t="s">
        <v>26</v>
      </c>
      <c r="O1300" s="128">
        <v>2.4</v>
      </c>
      <c r="P1300" s="119" t="s">
        <v>26</v>
      </c>
      <c r="Q1300" s="119" t="s">
        <v>26</v>
      </c>
      <c r="R1300" s="119" t="s">
        <v>26</v>
      </c>
      <c r="S1300" s="120" t="s">
        <v>26</v>
      </c>
      <c r="T1300" s="121" t="s">
        <v>26</v>
      </c>
      <c r="U1300" s="143">
        <v>2960</v>
      </c>
      <c r="V1300" s="136" t="s">
        <v>26</v>
      </c>
      <c r="X1300" s="33"/>
      <c r="Y1300" s="37"/>
      <c r="Z1300" s="33"/>
    </row>
    <row r="1301" spans="1:26">
      <c r="A1301" s="6" t="s">
        <v>1272</v>
      </c>
      <c r="B1301" s="1" t="s">
        <v>1276</v>
      </c>
      <c r="C1301" s="29" t="s">
        <v>22</v>
      </c>
      <c r="D1301" s="1" t="s">
        <v>142</v>
      </c>
      <c r="E1301" s="32" t="s">
        <v>31</v>
      </c>
      <c r="F1301" s="31" t="s">
        <v>1279</v>
      </c>
      <c r="G1301" s="142">
        <v>17</v>
      </c>
      <c r="H1301" s="128">
        <v>18.5</v>
      </c>
      <c r="I1301" s="128">
        <v>13.8</v>
      </c>
      <c r="J1301" s="128">
        <v>23.16</v>
      </c>
      <c r="K1301" s="119" t="s">
        <v>26</v>
      </c>
      <c r="L1301" s="119" t="s">
        <v>26</v>
      </c>
      <c r="M1301" s="119" t="s">
        <v>26</v>
      </c>
      <c r="N1301" s="119" t="s">
        <v>26</v>
      </c>
      <c r="O1301" s="128">
        <v>1.4</v>
      </c>
      <c r="P1301" s="119" t="s">
        <v>26</v>
      </c>
      <c r="Q1301" s="119" t="s">
        <v>26</v>
      </c>
      <c r="R1301" s="119" t="s">
        <v>26</v>
      </c>
      <c r="S1301" s="120" t="s">
        <v>26</v>
      </c>
      <c r="T1301" s="121" t="s">
        <v>26</v>
      </c>
      <c r="U1301" s="143">
        <v>1124</v>
      </c>
      <c r="V1301" s="136" t="s">
        <v>26</v>
      </c>
      <c r="X1301" s="33"/>
      <c r="Y1301" s="37"/>
      <c r="Z1301" s="33"/>
    </row>
    <row r="1302" spans="1:26">
      <c r="A1302" s="6" t="s">
        <v>1272</v>
      </c>
      <c r="B1302" s="1" t="s">
        <v>119</v>
      </c>
      <c r="C1302" s="29" t="s">
        <v>22</v>
      </c>
      <c r="D1302" s="1" t="s">
        <v>142</v>
      </c>
      <c r="E1302" s="32" t="s">
        <v>27</v>
      </c>
      <c r="F1302" s="31" t="s">
        <v>1280</v>
      </c>
      <c r="G1302" s="142">
        <v>118</v>
      </c>
      <c r="H1302" s="128">
        <v>38.4</v>
      </c>
      <c r="I1302" s="128">
        <v>8.4</v>
      </c>
      <c r="J1302" s="119" t="s">
        <v>26</v>
      </c>
      <c r="K1302" s="119" t="s">
        <v>26</v>
      </c>
      <c r="L1302" s="119" t="s">
        <v>26</v>
      </c>
      <c r="M1302" s="119" t="s">
        <v>26</v>
      </c>
      <c r="N1302" s="119" t="s">
        <v>26</v>
      </c>
      <c r="O1302" s="128">
        <v>4.4000000000000004</v>
      </c>
      <c r="P1302" s="119" t="s">
        <v>26</v>
      </c>
      <c r="Q1302" s="128">
        <v>3.8</v>
      </c>
      <c r="R1302" s="119" t="s">
        <v>26</v>
      </c>
      <c r="S1302" s="120" t="s">
        <v>26</v>
      </c>
      <c r="T1302" s="121" t="s">
        <v>26</v>
      </c>
      <c r="U1302" s="89">
        <v>40</v>
      </c>
      <c r="V1302" s="136" t="s">
        <v>26</v>
      </c>
      <c r="X1302" s="33"/>
      <c r="Y1302" s="33"/>
      <c r="Z1302" s="33"/>
    </row>
    <row r="1303" spans="1:26">
      <c r="A1303" s="6" t="s">
        <v>1272</v>
      </c>
      <c r="B1303" s="1" t="s">
        <v>119</v>
      </c>
      <c r="C1303" s="29" t="s">
        <v>22</v>
      </c>
      <c r="D1303" s="1" t="s">
        <v>142</v>
      </c>
      <c r="E1303" s="32" t="s">
        <v>29</v>
      </c>
      <c r="F1303" s="31" t="s">
        <v>1281</v>
      </c>
      <c r="G1303" s="142">
        <v>41</v>
      </c>
      <c r="H1303" s="128">
        <v>43.5</v>
      </c>
      <c r="I1303" s="128">
        <v>12.2</v>
      </c>
      <c r="J1303" s="128">
        <v>12.94</v>
      </c>
      <c r="K1303" s="119" t="s">
        <v>26</v>
      </c>
      <c r="L1303" s="119" t="s">
        <v>26</v>
      </c>
      <c r="M1303" s="119" t="s">
        <v>26</v>
      </c>
      <c r="N1303" s="119" t="s">
        <v>26</v>
      </c>
      <c r="O1303" s="128">
        <v>2.8</v>
      </c>
      <c r="P1303" s="119" t="s">
        <v>26</v>
      </c>
      <c r="Q1303" s="119" t="s">
        <v>26</v>
      </c>
      <c r="R1303" s="119" t="s">
        <v>26</v>
      </c>
      <c r="S1303" s="120" t="s">
        <v>26</v>
      </c>
      <c r="T1303" s="121" t="s">
        <v>26</v>
      </c>
      <c r="U1303" s="143">
        <v>797</v>
      </c>
      <c r="V1303" s="136" t="s">
        <v>26</v>
      </c>
      <c r="X1303" s="33"/>
      <c r="Y1303" s="33"/>
      <c r="Z1303" s="33"/>
    </row>
    <row r="1304" spans="1:26">
      <c r="A1304" s="6" t="s">
        <v>1272</v>
      </c>
      <c r="B1304" s="1" t="s">
        <v>119</v>
      </c>
      <c r="C1304" s="29" t="s">
        <v>22</v>
      </c>
      <c r="D1304" s="8" t="s">
        <v>109</v>
      </c>
      <c r="E1304" s="32" t="s">
        <v>27</v>
      </c>
      <c r="F1304" s="31" t="s">
        <v>1282</v>
      </c>
      <c r="G1304" s="142">
        <v>148</v>
      </c>
      <c r="H1304" s="128">
        <v>18.399999999999999</v>
      </c>
      <c r="I1304" s="128">
        <v>28.6</v>
      </c>
      <c r="J1304" s="119" t="s">
        <v>26</v>
      </c>
      <c r="K1304" s="119" t="s">
        <v>26</v>
      </c>
      <c r="L1304" s="119" t="s">
        <v>26</v>
      </c>
      <c r="M1304" s="119" t="s">
        <v>26</v>
      </c>
      <c r="N1304" s="119" t="s">
        <v>26</v>
      </c>
      <c r="O1304" s="128">
        <v>1.5</v>
      </c>
      <c r="P1304" s="119" t="s">
        <v>26</v>
      </c>
      <c r="Q1304" s="128">
        <v>6.5</v>
      </c>
      <c r="R1304" s="119" t="s">
        <v>26</v>
      </c>
      <c r="S1304" s="120" t="s">
        <v>26</v>
      </c>
      <c r="T1304" s="121" t="s">
        <v>26</v>
      </c>
      <c r="U1304" s="130">
        <v>120</v>
      </c>
      <c r="V1304" s="136" t="s">
        <v>26</v>
      </c>
      <c r="X1304" s="33"/>
      <c r="Y1304" s="33"/>
      <c r="Z1304" s="33"/>
    </row>
    <row r="1305" spans="1:26">
      <c r="A1305" s="6" t="s">
        <v>1272</v>
      </c>
      <c r="B1305" s="1" t="s">
        <v>119</v>
      </c>
      <c r="C1305" s="29" t="s">
        <v>22</v>
      </c>
      <c r="D1305" s="8" t="s">
        <v>109</v>
      </c>
      <c r="E1305" s="32" t="s">
        <v>29</v>
      </c>
      <c r="F1305" s="31" t="s">
        <v>438</v>
      </c>
      <c r="G1305" s="142">
        <v>50</v>
      </c>
      <c r="H1305" s="128">
        <v>16.5</v>
      </c>
      <c r="I1305" s="128">
        <v>22.6</v>
      </c>
      <c r="J1305" s="128">
        <v>8.9</v>
      </c>
      <c r="K1305" s="119" t="s">
        <v>26</v>
      </c>
      <c r="L1305" s="119" t="s">
        <v>26</v>
      </c>
      <c r="M1305" s="119" t="s">
        <v>26</v>
      </c>
      <c r="N1305" s="119" t="s">
        <v>26</v>
      </c>
      <c r="O1305" s="128">
        <v>3.9</v>
      </c>
      <c r="P1305" s="119" t="s">
        <v>26</v>
      </c>
      <c r="Q1305" s="128">
        <v>4.2</v>
      </c>
      <c r="R1305" s="119" t="s">
        <v>26</v>
      </c>
      <c r="S1305" s="120" t="s">
        <v>26</v>
      </c>
      <c r="T1305" s="121" t="s">
        <v>26</v>
      </c>
      <c r="U1305" s="130">
        <v>1626</v>
      </c>
      <c r="V1305" s="136" t="s">
        <v>26</v>
      </c>
      <c r="X1305" s="33"/>
      <c r="Y1305" s="33"/>
      <c r="Z1305" s="33"/>
    </row>
    <row r="1306" spans="1:26">
      <c r="A1306" s="6" t="s">
        <v>1272</v>
      </c>
      <c r="B1306" s="1" t="s">
        <v>119</v>
      </c>
      <c r="C1306" s="29" t="s">
        <v>22</v>
      </c>
      <c r="D1306" s="8" t="s">
        <v>109</v>
      </c>
      <c r="E1306" s="32" t="s">
        <v>31</v>
      </c>
      <c r="F1306" s="31" t="s">
        <v>1283</v>
      </c>
      <c r="G1306" s="142">
        <v>18</v>
      </c>
      <c r="H1306" s="146" t="s">
        <v>26</v>
      </c>
      <c r="I1306" s="128">
        <v>14.5</v>
      </c>
      <c r="J1306" s="128">
        <v>36.54</v>
      </c>
      <c r="K1306" s="119" t="s">
        <v>26</v>
      </c>
      <c r="L1306" s="119" t="s">
        <v>26</v>
      </c>
      <c r="M1306" s="119" t="s">
        <v>26</v>
      </c>
      <c r="N1306" s="119" t="s">
        <v>26</v>
      </c>
      <c r="O1306" s="128">
        <v>2.5</v>
      </c>
      <c r="P1306" s="119" t="s">
        <v>26</v>
      </c>
      <c r="Q1306" s="119" t="s">
        <v>26</v>
      </c>
      <c r="R1306" s="119" t="s">
        <v>26</v>
      </c>
      <c r="S1306" s="120" t="s">
        <v>26</v>
      </c>
      <c r="T1306" s="121" t="s">
        <v>26</v>
      </c>
      <c r="U1306" s="143">
        <v>1418</v>
      </c>
      <c r="V1306" s="136" t="s">
        <v>26</v>
      </c>
      <c r="X1306" s="33"/>
      <c r="Y1306" s="33"/>
      <c r="Z1306" s="33"/>
    </row>
    <row r="1307" spans="1:26">
      <c r="A1307" s="6" t="s">
        <v>1284</v>
      </c>
      <c r="B1307" s="1" t="s">
        <v>1285</v>
      </c>
      <c r="C1307" s="29" t="s">
        <v>22</v>
      </c>
      <c r="D1307" s="3" t="s">
        <v>33</v>
      </c>
      <c r="E1307" s="32" t="s">
        <v>27</v>
      </c>
      <c r="F1307" s="31" t="s">
        <v>1286</v>
      </c>
      <c r="G1307" s="142">
        <v>116</v>
      </c>
      <c r="H1307" s="128">
        <v>43</v>
      </c>
      <c r="I1307" s="119" t="s">
        <v>26</v>
      </c>
      <c r="J1307" s="119" t="s">
        <v>26</v>
      </c>
      <c r="K1307" s="119" t="s">
        <v>26</v>
      </c>
      <c r="L1307" s="119" t="s">
        <v>26</v>
      </c>
      <c r="M1307" s="119" t="s">
        <v>26</v>
      </c>
      <c r="N1307" s="119" t="s">
        <v>26</v>
      </c>
      <c r="O1307" s="128">
        <v>4.0999999999999996</v>
      </c>
      <c r="P1307" s="119" t="s">
        <v>26</v>
      </c>
      <c r="Q1307" s="119" t="s">
        <v>26</v>
      </c>
      <c r="R1307" s="119" t="s">
        <v>26</v>
      </c>
      <c r="S1307" s="120" t="s">
        <v>26</v>
      </c>
      <c r="T1307" s="121" t="s">
        <v>26</v>
      </c>
      <c r="U1307" s="130">
        <v>326</v>
      </c>
      <c r="V1307" s="149">
        <v>245</v>
      </c>
      <c r="X1307" s="33"/>
      <c r="Y1307" s="33"/>
      <c r="Z1307" s="33"/>
    </row>
    <row r="1308" spans="1:26">
      <c r="A1308" s="6" t="s">
        <v>1284</v>
      </c>
      <c r="B1308" s="1" t="s">
        <v>1285</v>
      </c>
      <c r="C1308" s="29" t="s">
        <v>22</v>
      </c>
      <c r="D1308" s="3" t="s">
        <v>33</v>
      </c>
      <c r="E1308" s="32" t="s">
        <v>29</v>
      </c>
      <c r="F1308" s="31" t="s">
        <v>1287</v>
      </c>
      <c r="G1308" s="142">
        <v>47</v>
      </c>
      <c r="H1308" s="128">
        <v>17.3</v>
      </c>
      <c r="I1308" s="128">
        <v>15.2</v>
      </c>
      <c r="J1308" s="128">
        <v>11.7</v>
      </c>
      <c r="K1308" s="119" t="s">
        <v>26</v>
      </c>
      <c r="L1308" s="119" t="s">
        <v>26</v>
      </c>
      <c r="M1308" s="119" t="s">
        <v>26</v>
      </c>
      <c r="N1308" s="119" t="s">
        <v>26</v>
      </c>
      <c r="O1308" s="128">
        <v>4.8</v>
      </c>
      <c r="P1308" s="119" t="s">
        <v>26</v>
      </c>
      <c r="Q1308" s="119" t="s">
        <v>26</v>
      </c>
      <c r="R1308" s="119" t="s">
        <v>26</v>
      </c>
      <c r="S1308" s="120" t="s">
        <v>26</v>
      </c>
      <c r="T1308" s="121" t="s">
        <v>26</v>
      </c>
      <c r="U1308" s="130">
        <v>1441</v>
      </c>
      <c r="V1308" s="147">
        <v>292</v>
      </c>
      <c r="X1308" s="33"/>
      <c r="Y1308" s="33"/>
      <c r="Z1308" s="33"/>
    </row>
    <row r="1309" spans="1:26">
      <c r="A1309" s="6" t="s">
        <v>1284</v>
      </c>
      <c r="B1309" s="1" t="s">
        <v>1285</v>
      </c>
      <c r="C1309" s="29" t="s">
        <v>22</v>
      </c>
      <c r="D1309" s="3" t="s">
        <v>33</v>
      </c>
      <c r="E1309" s="32" t="s">
        <v>31</v>
      </c>
      <c r="F1309" s="31" t="s">
        <v>1067</v>
      </c>
      <c r="G1309" s="142">
        <v>20</v>
      </c>
      <c r="H1309" s="146" t="s">
        <v>26</v>
      </c>
      <c r="I1309" s="119" t="s">
        <v>26</v>
      </c>
      <c r="J1309" s="128">
        <v>23.8</v>
      </c>
      <c r="K1309" s="119" t="s">
        <v>26</v>
      </c>
      <c r="L1309" s="119" t="s">
        <v>26</v>
      </c>
      <c r="M1309" s="119" t="s">
        <v>26</v>
      </c>
      <c r="N1309" s="119" t="s">
        <v>26</v>
      </c>
      <c r="O1309" s="128">
        <v>6.7</v>
      </c>
      <c r="P1309" s="119" t="s">
        <v>26</v>
      </c>
      <c r="Q1309" s="119" t="s">
        <v>26</v>
      </c>
      <c r="R1309" s="119" t="s">
        <v>26</v>
      </c>
      <c r="S1309" s="120" t="s">
        <v>26</v>
      </c>
      <c r="T1309" s="121" t="s">
        <v>26</v>
      </c>
      <c r="U1309" s="130">
        <v>359</v>
      </c>
      <c r="V1309" s="147">
        <v>35</v>
      </c>
      <c r="X1309" s="33"/>
      <c r="Y1309" s="33"/>
      <c r="Z1309" s="33"/>
    </row>
    <row r="1310" spans="1:26">
      <c r="A1310" s="6" t="s">
        <v>1284</v>
      </c>
      <c r="B1310" s="1" t="s">
        <v>63</v>
      </c>
      <c r="C1310" s="29" t="s">
        <v>22</v>
      </c>
      <c r="D1310" s="1" t="s">
        <v>142</v>
      </c>
      <c r="E1310" s="32" t="s">
        <v>27</v>
      </c>
      <c r="F1310" s="31" t="s">
        <v>1288</v>
      </c>
      <c r="G1310" s="142">
        <v>118</v>
      </c>
      <c r="H1310" s="128">
        <v>44.3</v>
      </c>
      <c r="I1310" s="119" t="s">
        <v>26</v>
      </c>
      <c r="J1310" s="119" t="s">
        <v>26</v>
      </c>
      <c r="K1310" s="119" t="s">
        <v>26</v>
      </c>
      <c r="L1310" s="119" t="s">
        <v>26</v>
      </c>
      <c r="M1310" s="128">
        <v>2.6</v>
      </c>
      <c r="N1310" s="119" t="s">
        <v>26</v>
      </c>
      <c r="O1310" s="128">
        <v>4.4000000000000004</v>
      </c>
      <c r="P1310" s="119" t="s">
        <v>26</v>
      </c>
      <c r="Q1310" s="128">
        <v>14.3</v>
      </c>
      <c r="R1310" s="119" t="s">
        <v>26</v>
      </c>
      <c r="S1310" s="120" t="s">
        <v>26</v>
      </c>
      <c r="T1310" s="121" t="s">
        <v>26</v>
      </c>
      <c r="U1310" s="148">
        <v>598</v>
      </c>
      <c r="V1310" s="136" t="s">
        <v>26</v>
      </c>
      <c r="X1310" s="33"/>
      <c r="Y1310" s="33"/>
      <c r="Z1310" s="33"/>
    </row>
    <row r="1311" spans="1:26">
      <c r="A1311" s="6" t="s">
        <v>1284</v>
      </c>
      <c r="B1311" s="1" t="s">
        <v>63</v>
      </c>
      <c r="C1311" s="29" t="s">
        <v>22</v>
      </c>
      <c r="D1311" s="1" t="s">
        <v>142</v>
      </c>
      <c r="E1311" s="32" t="s">
        <v>29</v>
      </c>
      <c r="F1311" s="31" t="s">
        <v>1289</v>
      </c>
      <c r="G1311" s="142">
        <v>44</v>
      </c>
      <c r="H1311" s="128">
        <v>20.5</v>
      </c>
      <c r="I1311" s="128">
        <v>12.1</v>
      </c>
      <c r="J1311" s="128">
        <v>5.6</v>
      </c>
      <c r="K1311" s="119" t="s">
        <v>26</v>
      </c>
      <c r="L1311" s="119" t="s">
        <v>26</v>
      </c>
      <c r="M1311" s="128">
        <v>3</v>
      </c>
      <c r="N1311" s="119" t="s">
        <v>26</v>
      </c>
      <c r="O1311" s="128">
        <v>6.3</v>
      </c>
      <c r="P1311" s="119" t="s">
        <v>26</v>
      </c>
      <c r="Q1311" s="119" t="s">
        <v>26</v>
      </c>
      <c r="R1311" s="119" t="s">
        <v>26</v>
      </c>
      <c r="S1311" s="120" t="s">
        <v>26</v>
      </c>
      <c r="T1311" s="121" t="s">
        <v>26</v>
      </c>
      <c r="U1311" s="143">
        <v>2098</v>
      </c>
      <c r="V1311" s="136" t="s">
        <v>26</v>
      </c>
      <c r="X1311" s="33"/>
      <c r="Y1311" s="33"/>
      <c r="Z1311" s="33"/>
    </row>
    <row r="1312" spans="1:26">
      <c r="A1312" s="6" t="s">
        <v>1284</v>
      </c>
      <c r="B1312" s="1" t="s">
        <v>63</v>
      </c>
      <c r="C1312" s="29" t="s">
        <v>22</v>
      </c>
      <c r="D1312" s="1" t="s">
        <v>142</v>
      </c>
      <c r="E1312" s="32" t="s">
        <v>31</v>
      </c>
      <c r="F1312" s="31" t="s">
        <v>1290</v>
      </c>
      <c r="G1312" s="142">
        <v>17</v>
      </c>
      <c r="H1312" s="146" t="s">
        <v>26</v>
      </c>
      <c r="I1312" s="119" t="s">
        <v>26</v>
      </c>
      <c r="J1312" s="128">
        <v>27.7</v>
      </c>
      <c r="K1312" s="119" t="s">
        <v>26</v>
      </c>
      <c r="L1312" s="119" t="s">
        <v>26</v>
      </c>
      <c r="M1312" s="119" t="s">
        <v>26</v>
      </c>
      <c r="N1312" s="119" t="s">
        <v>26</v>
      </c>
      <c r="O1312" s="125" t="s">
        <v>26</v>
      </c>
      <c r="P1312" s="119" t="s">
        <v>26</v>
      </c>
      <c r="Q1312" s="119" t="s">
        <v>26</v>
      </c>
      <c r="R1312" s="119" t="s">
        <v>26</v>
      </c>
      <c r="S1312" s="120" t="s">
        <v>26</v>
      </c>
      <c r="T1312" s="121" t="s">
        <v>26</v>
      </c>
      <c r="U1312" s="143">
        <v>329</v>
      </c>
      <c r="V1312" s="136" t="s">
        <v>26</v>
      </c>
      <c r="X1312" s="33"/>
      <c r="Y1312" s="33"/>
      <c r="Z1312" s="33"/>
    </row>
    <row r="1313" spans="1:26">
      <c r="A1313" s="6" t="s">
        <v>1291</v>
      </c>
      <c r="B1313" s="1" t="s">
        <v>320</v>
      </c>
      <c r="C1313" s="29" t="s">
        <v>22</v>
      </c>
      <c r="D1313" s="3" t="s">
        <v>33</v>
      </c>
      <c r="E1313" s="32" t="s">
        <v>27</v>
      </c>
      <c r="F1313" s="31" t="s">
        <v>1292</v>
      </c>
      <c r="G1313" s="142">
        <v>105</v>
      </c>
      <c r="H1313" s="128">
        <v>40.9</v>
      </c>
      <c r="I1313" s="128">
        <v>8.4</v>
      </c>
      <c r="J1313" s="128">
        <v>0.8</v>
      </c>
      <c r="K1313" s="128">
        <v>0.4</v>
      </c>
      <c r="L1313" s="119" t="s">
        <v>26</v>
      </c>
      <c r="M1313" s="128">
        <v>0.5</v>
      </c>
      <c r="N1313" s="119" t="s">
        <v>26</v>
      </c>
      <c r="O1313" s="128">
        <v>2.9</v>
      </c>
      <c r="P1313" s="119" t="s">
        <v>26</v>
      </c>
      <c r="Q1313" s="128">
        <v>5.0999999999999996</v>
      </c>
      <c r="R1313" s="128">
        <v>2.4</v>
      </c>
      <c r="S1313" s="128">
        <v>1.6</v>
      </c>
      <c r="T1313" s="121" t="s">
        <v>26</v>
      </c>
      <c r="U1313" s="130">
        <v>751</v>
      </c>
      <c r="V1313" s="149">
        <v>245</v>
      </c>
      <c r="X1313" s="33"/>
      <c r="Y1313" s="33"/>
      <c r="Z1313" s="33"/>
    </row>
    <row r="1314" spans="1:26">
      <c r="A1314" s="6" t="s">
        <v>1291</v>
      </c>
      <c r="B1314" s="1" t="s">
        <v>320</v>
      </c>
      <c r="C1314" s="29" t="s">
        <v>22</v>
      </c>
      <c r="D1314" s="3" t="s">
        <v>33</v>
      </c>
      <c r="E1314" s="32" t="s">
        <v>29</v>
      </c>
      <c r="F1314" s="31" t="s">
        <v>1189</v>
      </c>
      <c r="G1314" s="142">
        <v>49</v>
      </c>
      <c r="H1314" s="128">
        <v>5.8</v>
      </c>
      <c r="I1314" s="128">
        <v>15.6</v>
      </c>
      <c r="J1314" s="128">
        <v>6.8</v>
      </c>
      <c r="K1314" s="128">
        <v>0.5</v>
      </c>
      <c r="L1314" s="119" t="s">
        <v>26</v>
      </c>
      <c r="M1314" s="128">
        <v>1.6</v>
      </c>
      <c r="N1314" s="119" t="s">
        <v>26</v>
      </c>
      <c r="O1314" s="128">
        <v>1.4</v>
      </c>
      <c r="P1314" s="119" t="s">
        <v>26</v>
      </c>
      <c r="Q1314" s="128">
        <v>2.6</v>
      </c>
      <c r="R1314" s="128">
        <v>1.6</v>
      </c>
      <c r="S1314" s="128">
        <v>2.2000000000000002</v>
      </c>
      <c r="T1314" s="121" t="s">
        <v>26</v>
      </c>
      <c r="U1314" s="130">
        <v>1132</v>
      </c>
      <c r="V1314" s="147">
        <v>285</v>
      </c>
      <c r="X1314" s="33"/>
      <c r="Y1314" s="33"/>
      <c r="Z1314" s="33"/>
    </row>
    <row r="1315" spans="1:26">
      <c r="A1315" s="6" t="s">
        <v>1291</v>
      </c>
      <c r="B1315" s="1" t="s">
        <v>320</v>
      </c>
      <c r="C1315" s="29" t="s">
        <v>22</v>
      </c>
      <c r="D1315" s="3" t="s">
        <v>33</v>
      </c>
      <c r="E1315" s="32" t="s">
        <v>31</v>
      </c>
      <c r="F1315" s="31" t="s">
        <v>1293</v>
      </c>
      <c r="G1315" s="142">
        <v>25</v>
      </c>
      <c r="H1315" s="146" t="s">
        <v>26</v>
      </c>
      <c r="I1315" s="128">
        <v>8.8000000000000007</v>
      </c>
      <c r="J1315" s="128">
        <v>21.7</v>
      </c>
      <c r="K1315" s="128">
        <v>0.8</v>
      </c>
      <c r="L1315" s="119" t="s">
        <v>26</v>
      </c>
      <c r="M1315" s="119" t="s">
        <v>26</v>
      </c>
      <c r="N1315" s="119" t="s">
        <v>26</v>
      </c>
      <c r="O1315" s="128">
        <v>0.8</v>
      </c>
      <c r="P1315" s="119" t="s">
        <v>26</v>
      </c>
      <c r="Q1315" s="119" t="s">
        <v>26</v>
      </c>
      <c r="R1315" s="119" t="s">
        <v>26</v>
      </c>
      <c r="S1315" s="128">
        <v>1.8</v>
      </c>
      <c r="T1315" s="121" t="s">
        <v>26</v>
      </c>
      <c r="U1315" s="130">
        <v>259</v>
      </c>
      <c r="V1315" s="147">
        <v>66</v>
      </c>
      <c r="X1315" s="33"/>
      <c r="Y1315" s="33"/>
      <c r="Z1315" s="33"/>
    </row>
    <row r="1316" spans="1:26">
      <c r="A1316" s="6" t="s">
        <v>1291</v>
      </c>
      <c r="B1316" s="1" t="s">
        <v>1294</v>
      </c>
      <c r="C1316" s="29" t="s">
        <v>22</v>
      </c>
      <c r="D1316" s="1" t="s">
        <v>142</v>
      </c>
      <c r="E1316" s="32" t="s">
        <v>27</v>
      </c>
      <c r="F1316" s="31" t="s">
        <v>1295</v>
      </c>
      <c r="G1316" s="142">
        <v>103</v>
      </c>
      <c r="H1316" s="128">
        <v>42.5</v>
      </c>
      <c r="I1316" s="128">
        <v>8.1</v>
      </c>
      <c r="J1316" s="128">
        <v>0.6</v>
      </c>
      <c r="K1316" s="119" t="s">
        <v>26</v>
      </c>
      <c r="L1316" s="119" t="s">
        <v>26</v>
      </c>
      <c r="M1316" s="128">
        <v>0.5</v>
      </c>
      <c r="N1316" s="119" t="s">
        <v>26</v>
      </c>
      <c r="O1316" s="128">
        <v>0.8</v>
      </c>
      <c r="P1316" s="119" t="s">
        <v>26</v>
      </c>
      <c r="Q1316" s="128">
        <v>6.5</v>
      </c>
      <c r="R1316" s="128">
        <v>2.1</v>
      </c>
      <c r="S1316" s="128">
        <v>0.4</v>
      </c>
      <c r="T1316" s="121" t="s">
        <v>26</v>
      </c>
      <c r="U1316" s="89">
        <v>396</v>
      </c>
      <c r="V1316" s="136" t="s">
        <v>26</v>
      </c>
      <c r="X1316" s="33"/>
      <c r="Y1316" s="33"/>
      <c r="Z1316" s="33"/>
    </row>
    <row r="1317" spans="1:26">
      <c r="A1317" s="6" t="s">
        <v>1291</v>
      </c>
      <c r="B1317" s="1" t="s">
        <v>1294</v>
      </c>
      <c r="C1317" s="29" t="s">
        <v>22</v>
      </c>
      <c r="D1317" s="1" t="s">
        <v>142</v>
      </c>
      <c r="E1317" s="32" t="s">
        <v>29</v>
      </c>
      <c r="F1317" s="31" t="s">
        <v>121</v>
      </c>
      <c r="G1317" s="142">
        <v>40</v>
      </c>
      <c r="H1317" s="128">
        <v>13.5</v>
      </c>
      <c r="I1317" s="128">
        <v>8.1</v>
      </c>
      <c r="J1317" s="128">
        <v>5.9</v>
      </c>
      <c r="K1317" s="119" t="s">
        <v>26</v>
      </c>
      <c r="L1317" s="119" t="s">
        <v>26</v>
      </c>
      <c r="M1317" s="119" t="s">
        <v>26</v>
      </c>
      <c r="N1317" s="119" t="s">
        <v>26</v>
      </c>
      <c r="O1317" s="128">
        <v>0.7</v>
      </c>
      <c r="P1317" s="119" t="s">
        <v>26</v>
      </c>
      <c r="Q1317" s="128">
        <v>3.5</v>
      </c>
      <c r="R1317" s="128">
        <v>1.8</v>
      </c>
      <c r="S1317" s="120" t="s">
        <v>26</v>
      </c>
      <c r="T1317" s="121" t="s">
        <v>26</v>
      </c>
      <c r="U1317" s="143">
        <v>2909</v>
      </c>
      <c r="V1317" s="136" t="s">
        <v>26</v>
      </c>
      <c r="X1317" s="33"/>
      <c r="Y1317" s="33"/>
      <c r="Z1317" s="33"/>
    </row>
    <row r="1318" spans="1:26">
      <c r="A1318" s="6" t="s">
        <v>1291</v>
      </c>
      <c r="B1318" s="1" t="s">
        <v>1294</v>
      </c>
      <c r="C1318" s="29" t="s">
        <v>22</v>
      </c>
      <c r="D1318" s="1" t="s">
        <v>142</v>
      </c>
      <c r="E1318" s="32" t="s">
        <v>31</v>
      </c>
      <c r="F1318" s="31" t="s">
        <v>1126</v>
      </c>
      <c r="G1318" s="142">
        <v>19</v>
      </c>
      <c r="H1318" s="146" t="s">
        <v>26</v>
      </c>
      <c r="I1318" s="128">
        <v>6.4</v>
      </c>
      <c r="J1318" s="128">
        <v>18.3</v>
      </c>
      <c r="K1318" s="119" t="s">
        <v>26</v>
      </c>
      <c r="L1318" s="119" t="s">
        <v>26</v>
      </c>
      <c r="M1318" s="119" t="s">
        <v>26</v>
      </c>
      <c r="N1318" s="119" t="s">
        <v>26</v>
      </c>
      <c r="O1318" s="125" t="s">
        <v>26</v>
      </c>
      <c r="P1318" s="119" t="s">
        <v>26</v>
      </c>
      <c r="Q1318" s="119" t="s">
        <v>26</v>
      </c>
      <c r="R1318" s="119" t="s">
        <v>26</v>
      </c>
      <c r="S1318" s="128">
        <v>0.5</v>
      </c>
      <c r="T1318" s="121" t="s">
        <v>26</v>
      </c>
      <c r="U1318" s="143">
        <v>899</v>
      </c>
      <c r="V1318" s="136" t="s">
        <v>26</v>
      </c>
      <c r="X1318" s="33"/>
      <c r="Y1318" s="33"/>
      <c r="Z1318" s="33"/>
    </row>
    <row r="1319" spans="1:26">
      <c r="A1319" s="6" t="s">
        <v>1296</v>
      </c>
      <c r="B1319" s="1" t="s">
        <v>119</v>
      </c>
      <c r="C1319" s="29" t="s">
        <v>22</v>
      </c>
      <c r="D1319" s="3" t="s">
        <v>33</v>
      </c>
      <c r="E1319" s="32" t="s">
        <v>27</v>
      </c>
      <c r="F1319" s="31" t="s">
        <v>1297</v>
      </c>
      <c r="G1319" s="142">
        <v>98</v>
      </c>
      <c r="H1319" s="128">
        <v>42.9</v>
      </c>
      <c r="I1319" s="128">
        <v>7.8</v>
      </c>
      <c r="J1319" s="128">
        <v>1.02</v>
      </c>
      <c r="K1319" s="128">
        <v>0.4</v>
      </c>
      <c r="L1319" s="119" t="s">
        <v>26</v>
      </c>
      <c r="M1319" s="128">
        <v>0.3</v>
      </c>
      <c r="N1319" s="119" t="s">
        <v>26</v>
      </c>
      <c r="O1319" s="128">
        <v>3.8</v>
      </c>
      <c r="P1319" s="128">
        <v>0.9</v>
      </c>
      <c r="Q1319" s="128">
        <v>5.6</v>
      </c>
      <c r="R1319" s="128">
        <v>1.4</v>
      </c>
      <c r="S1319" s="128">
        <v>0.9</v>
      </c>
      <c r="T1319" s="121" t="s">
        <v>26</v>
      </c>
      <c r="U1319" s="130">
        <v>3655</v>
      </c>
      <c r="V1319" s="136" t="s">
        <v>26</v>
      </c>
      <c r="X1319" s="33"/>
      <c r="Y1319" s="33"/>
      <c r="Z1319" s="33"/>
    </row>
    <row r="1320" spans="1:26">
      <c r="A1320" s="6" t="s">
        <v>1296</v>
      </c>
      <c r="B1320" s="1" t="s">
        <v>119</v>
      </c>
      <c r="C1320" s="29" t="s">
        <v>22</v>
      </c>
      <c r="D1320" s="3" t="s">
        <v>33</v>
      </c>
      <c r="E1320" s="32" t="s">
        <v>29</v>
      </c>
      <c r="F1320" s="31" t="s">
        <v>1298</v>
      </c>
      <c r="G1320" s="142">
        <v>48</v>
      </c>
      <c r="H1320" s="128">
        <v>4.9000000000000004</v>
      </c>
      <c r="I1320" s="128">
        <v>11.4</v>
      </c>
      <c r="J1320" s="128">
        <v>5.6</v>
      </c>
      <c r="K1320" s="128">
        <v>0.8</v>
      </c>
      <c r="L1320" s="119" t="s">
        <v>26</v>
      </c>
      <c r="M1320" s="128">
        <v>0.8</v>
      </c>
      <c r="N1320" s="119" t="s">
        <v>26</v>
      </c>
      <c r="O1320" s="128">
        <v>3.5</v>
      </c>
      <c r="P1320" s="128">
        <v>0.8</v>
      </c>
      <c r="Q1320" s="128">
        <v>2.4</v>
      </c>
      <c r="R1320" s="119" t="s">
        <v>26</v>
      </c>
      <c r="S1320" s="128">
        <v>1.2</v>
      </c>
      <c r="T1320" s="121" t="s">
        <v>26</v>
      </c>
      <c r="U1320" s="130">
        <v>2341</v>
      </c>
      <c r="V1320" s="136" t="s">
        <v>26</v>
      </c>
      <c r="X1320" s="33"/>
      <c r="Y1320" s="33"/>
      <c r="Z1320" s="33"/>
    </row>
    <row r="1321" spans="1:26">
      <c r="A1321" s="6" t="s">
        <v>1296</v>
      </c>
      <c r="B1321" s="1" t="s">
        <v>119</v>
      </c>
      <c r="C1321" s="29" t="s">
        <v>22</v>
      </c>
      <c r="D1321" s="3" t="s">
        <v>33</v>
      </c>
      <c r="E1321" s="32" t="s">
        <v>31</v>
      </c>
      <c r="F1321" s="31" t="s">
        <v>1299</v>
      </c>
      <c r="G1321" s="142">
        <v>20</v>
      </c>
      <c r="H1321" s="146" t="s">
        <v>26</v>
      </c>
      <c r="I1321" s="128">
        <v>6.8</v>
      </c>
      <c r="J1321" s="128">
        <v>22.7</v>
      </c>
      <c r="K1321" s="119" t="s">
        <v>26</v>
      </c>
      <c r="L1321" s="119" t="s">
        <v>26</v>
      </c>
      <c r="M1321" s="119" t="s">
        <v>26</v>
      </c>
      <c r="N1321" s="119" t="s">
        <v>26</v>
      </c>
      <c r="O1321" s="128">
        <v>1.6</v>
      </c>
      <c r="P1321" s="119" t="s">
        <v>26</v>
      </c>
      <c r="Q1321" s="119" t="s">
        <v>26</v>
      </c>
      <c r="R1321" s="119" t="s">
        <v>26</v>
      </c>
      <c r="S1321" s="128">
        <v>1.6</v>
      </c>
      <c r="T1321" s="121" t="s">
        <v>26</v>
      </c>
      <c r="U1321" s="143">
        <v>827</v>
      </c>
      <c r="V1321" s="136" t="s">
        <v>26</v>
      </c>
      <c r="X1321" s="33"/>
      <c r="Y1321" s="33"/>
      <c r="Z1321" s="33"/>
    </row>
    <row r="1322" spans="1:26">
      <c r="A1322" s="6" t="s">
        <v>1296</v>
      </c>
      <c r="B1322" s="1" t="s">
        <v>39</v>
      </c>
      <c r="C1322" s="29" t="s">
        <v>22</v>
      </c>
      <c r="D1322" s="3" t="s">
        <v>33</v>
      </c>
      <c r="E1322" s="32" t="s">
        <v>27</v>
      </c>
      <c r="F1322" s="31" t="s">
        <v>1300</v>
      </c>
      <c r="G1322" s="142">
        <v>108</v>
      </c>
      <c r="H1322" s="128">
        <v>27.5</v>
      </c>
      <c r="I1322" s="128">
        <v>13.2</v>
      </c>
      <c r="J1322" s="128">
        <v>0.8</v>
      </c>
      <c r="K1322" s="119" t="s">
        <v>26</v>
      </c>
      <c r="L1322" s="119" t="s">
        <v>26</v>
      </c>
      <c r="M1322" s="128">
        <v>0.5</v>
      </c>
      <c r="N1322" s="119" t="s">
        <v>26</v>
      </c>
      <c r="O1322" s="128">
        <v>2.1</v>
      </c>
      <c r="P1322" s="119" t="s">
        <v>26</v>
      </c>
      <c r="Q1322" s="128">
        <v>1.2</v>
      </c>
      <c r="R1322" s="128">
        <v>2.1</v>
      </c>
      <c r="S1322" s="128">
        <v>0.5</v>
      </c>
      <c r="T1322" s="121" t="s">
        <v>26</v>
      </c>
      <c r="U1322" s="130">
        <v>1178</v>
      </c>
      <c r="V1322" s="149">
        <v>305</v>
      </c>
      <c r="X1322" s="33"/>
      <c r="Y1322" s="33"/>
      <c r="Z1322" s="33"/>
    </row>
    <row r="1323" spans="1:26">
      <c r="A1323" s="6" t="s">
        <v>1296</v>
      </c>
      <c r="B1323" s="1" t="s">
        <v>39</v>
      </c>
      <c r="C1323" s="29" t="s">
        <v>22</v>
      </c>
      <c r="D1323" s="3" t="s">
        <v>33</v>
      </c>
      <c r="E1323" s="32" t="s">
        <v>29</v>
      </c>
      <c r="F1323" s="31" t="s">
        <v>726</v>
      </c>
      <c r="G1323" s="142">
        <v>50</v>
      </c>
      <c r="H1323" s="128">
        <v>6.1</v>
      </c>
      <c r="I1323" s="128">
        <v>15.6</v>
      </c>
      <c r="J1323" s="128">
        <v>5</v>
      </c>
      <c r="K1323" s="119" t="s">
        <v>26</v>
      </c>
      <c r="L1323" s="119" t="s">
        <v>26</v>
      </c>
      <c r="M1323" s="119" t="s">
        <v>26</v>
      </c>
      <c r="N1323" s="119" t="s">
        <v>26</v>
      </c>
      <c r="O1323" s="128">
        <v>1.9</v>
      </c>
      <c r="P1323" s="119" t="s">
        <v>26</v>
      </c>
      <c r="Q1323" s="119" t="s">
        <v>26</v>
      </c>
      <c r="R1323" s="128">
        <v>1.1000000000000001</v>
      </c>
      <c r="S1323" s="128">
        <v>1.2</v>
      </c>
      <c r="T1323" s="121" t="s">
        <v>26</v>
      </c>
      <c r="U1323" s="143">
        <v>896</v>
      </c>
      <c r="V1323" s="147">
        <v>229</v>
      </c>
      <c r="X1323" s="33"/>
      <c r="Y1323" s="33"/>
      <c r="Z1323" s="33"/>
    </row>
    <row r="1324" spans="1:26">
      <c r="A1324" s="6" t="s">
        <v>1296</v>
      </c>
      <c r="B1324" s="1" t="s">
        <v>39</v>
      </c>
      <c r="C1324" s="29" t="s">
        <v>22</v>
      </c>
      <c r="D1324" s="3" t="s">
        <v>33</v>
      </c>
      <c r="E1324" s="32" t="s">
        <v>31</v>
      </c>
      <c r="F1324" s="31" t="s">
        <v>1301</v>
      </c>
      <c r="G1324" s="142">
        <v>22</v>
      </c>
      <c r="H1324" s="146" t="s">
        <v>26</v>
      </c>
      <c r="I1324" s="128">
        <v>9.1</v>
      </c>
      <c r="J1324" s="128">
        <v>16.7</v>
      </c>
      <c r="K1324" s="119" t="s">
        <v>26</v>
      </c>
      <c r="L1324" s="119" t="s">
        <v>26</v>
      </c>
      <c r="M1324" s="119" t="s">
        <v>26</v>
      </c>
      <c r="N1324" s="119" t="s">
        <v>26</v>
      </c>
      <c r="O1324" s="125" t="s">
        <v>26</v>
      </c>
      <c r="P1324" s="119" t="s">
        <v>26</v>
      </c>
      <c r="Q1324" s="119" t="s">
        <v>26</v>
      </c>
      <c r="R1324" s="119" t="s">
        <v>26</v>
      </c>
      <c r="S1324" s="128">
        <v>2.4</v>
      </c>
      <c r="T1324" s="121" t="s">
        <v>26</v>
      </c>
      <c r="U1324" s="143">
        <v>165</v>
      </c>
      <c r="V1324" s="147">
        <v>94</v>
      </c>
    </row>
    <row r="1325" spans="1:26">
      <c r="A1325" s="6" t="s">
        <v>1296</v>
      </c>
      <c r="B1325" s="1" t="s">
        <v>39</v>
      </c>
      <c r="C1325" s="29" t="s">
        <v>22</v>
      </c>
      <c r="D1325" s="8" t="s">
        <v>109</v>
      </c>
      <c r="E1325" s="32" t="s">
        <v>27</v>
      </c>
      <c r="F1325" s="31" t="s">
        <v>1302</v>
      </c>
      <c r="G1325" s="142">
        <v>125</v>
      </c>
      <c r="H1325" s="128">
        <v>26.1</v>
      </c>
      <c r="I1325" s="128">
        <v>19.899999999999999</v>
      </c>
      <c r="J1325" s="119" t="s">
        <v>26</v>
      </c>
      <c r="K1325" s="119" t="s">
        <v>26</v>
      </c>
      <c r="L1325" s="119" t="s">
        <v>26</v>
      </c>
      <c r="M1325" s="128">
        <v>0.4</v>
      </c>
      <c r="N1325" s="119" t="s">
        <v>26</v>
      </c>
      <c r="O1325" s="128">
        <v>1.8</v>
      </c>
      <c r="P1325" s="119" t="s">
        <v>26</v>
      </c>
      <c r="Q1325" s="128">
        <v>4.0999999999999996</v>
      </c>
      <c r="R1325" s="128">
        <v>1.4</v>
      </c>
      <c r="S1325" s="128">
        <v>2.2000000000000002</v>
      </c>
      <c r="T1325" s="121" t="s">
        <v>26</v>
      </c>
      <c r="U1325" s="130">
        <v>558</v>
      </c>
      <c r="V1325" s="136" t="s">
        <v>26</v>
      </c>
    </row>
    <row r="1326" spans="1:26">
      <c r="A1326" s="6" t="s">
        <v>1296</v>
      </c>
      <c r="B1326" s="1" t="s">
        <v>39</v>
      </c>
      <c r="C1326" s="29" t="s">
        <v>22</v>
      </c>
      <c r="D1326" s="8" t="s">
        <v>109</v>
      </c>
      <c r="E1326" s="32" t="s">
        <v>29</v>
      </c>
      <c r="F1326" s="31" t="s">
        <v>1303</v>
      </c>
      <c r="G1326" s="142">
        <v>52</v>
      </c>
      <c r="H1326" s="128">
        <v>3.9</v>
      </c>
      <c r="I1326" s="128">
        <v>18.5</v>
      </c>
      <c r="J1326" s="128">
        <v>2.64</v>
      </c>
      <c r="K1326" s="119" t="s">
        <v>26</v>
      </c>
      <c r="L1326" s="128">
        <v>1.2</v>
      </c>
      <c r="M1326" s="119" t="s">
        <v>26</v>
      </c>
      <c r="N1326" s="119" t="s">
        <v>26</v>
      </c>
      <c r="O1326" s="128">
        <v>1.6</v>
      </c>
      <c r="P1326" s="119" t="s">
        <v>26</v>
      </c>
      <c r="Q1326" s="128">
        <v>8.5</v>
      </c>
      <c r="R1326" s="128">
        <v>0.9</v>
      </c>
      <c r="S1326" s="128">
        <v>2.4</v>
      </c>
      <c r="T1326" s="121" t="s">
        <v>26</v>
      </c>
      <c r="U1326" s="130">
        <v>1791</v>
      </c>
      <c r="V1326" s="136" t="s">
        <v>26</v>
      </c>
    </row>
    <row r="1327" spans="1:26">
      <c r="A1327" s="6" t="s">
        <v>1296</v>
      </c>
      <c r="B1327" s="1" t="s">
        <v>39</v>
      </c>
      <c r="C1327" s="29" t="s">
        <v>22</v>
      </c>
      <c r="D1327" s="8" t="s">
        <v>109</v>
      </c>
      <c r="E1327" s="32" t="s">
        <v>31</v>
      </c>
      <c r="F1327" s="31" t="s">
        <v>1304</v>
      </c>
      <c r="G1327" s="142">
        <v>24</v>
      </c>
      <c r="H1327" s="146" t="s">
        <v>26</v>
      </c>
      <c r="I1327" s="128">
        <v>15.5</v>
      </c>
      <c r="J1327" s="128">
        <v>7.3</v>
      </c>
      <c r="K1327" s="119" t="s">
        <v>26</v>
      </c>
      <c r="L1327" s="128">
        <v>4.5</v>
      </c>
      <c r="M1327" s="119" t="s">
        <v>26</v>
      </c>
      <c r="N1327" s="119" t="s">
        <v>26</v>
      </c>
      <c r="O1327" s="125" t="s">
        <v>26</v>
      </c>
      <c r="P1327" s="119" t="s">
        <v>26</v>
      </c>
      <c r="Q1327" s="119" t="s">
        <v>26</v>
      </c>
      <c r="R1327" s="119" t="s">
        <v>26</v>
      </c>
      <c r="S1327" s="128">
        <v>24.5</v>
      </c>
      <c r="T1327" s="121" t="s">
        <v>26</v>
      </c>
      <c r="U1327" s="130">
        <v>1085</v>
      </c>
      <c r="V1327" s="136" t="s">
        <v>26</v>
      </c>
    </row>
    <row r="1328" spans="1:26">
      <c r="A1328" s="6" t="s">
        <v>1305</v>
      </c>
      <c r="B1328" s="1" t="s">
        <v>623</v>
      </c>
      <c r="C1328" s="29" t="s">
        <v>22</v>
      </c>
      <c r="D1328" s="3" t="s">
        <v>33</v>
      </c>
      <c r="E1328" s="32" t="s">
        <v>27</v>
      </c>
      <c r="F1328" s="31" t="s">
        <v>1306</v>
      </c>
      <c r="G1328" s="142">
        <v>105</v>
      </c>
      <c r="H1328" s="128">
        <v>41.5</v>
      </c>
      <c r="I1328" s="128">
        <v>10.5</v>
      </c>
      <c r="J1328" s="128">
        <v>1.85</v>
      </c>
      <c r="K1328" s="128">
        <v>0.4</v>
      </c>
      <c r="L1328" s="119" t="s">
        <v>26</v>
      </c>
      <c r="M1328" s="119" t="s">
        <v>26</v>
      </c>
      <c r="N1328" s="119" t="s">
        <v>26</v>
      </c>
      <c r="O1328" s="128">
        <v>3.5</v>
      </c>
      <c r="P1328" s="128">
        <v>0.5</v>
      </c>
      <c r="Q1328" s="128">
        <v>4.5</v>
      </c>
      <c r="R1328" s="128">
        <v>2.1</v>
      </c>
      <c r="S1328" s="128">
        <v>1.2</v>
      </c>
      <c r="T1328" s="121" t="s">
        <v>26</v>
      </c>
      <c r="U1328" s="130">
        <v>2070</v>
      </c>
      <c r="V1328" s="149">
        <v>285</v>
      </c>
    </row>
    <row r="1329" spans="1:22">
      <c r="A1329" s="6" t="s">
        <v>1305</v>
      </c>
      <c r="B1329" s="1" t="s">
        <v>623</v>
      </c>
      <c r="C1329" s="29" t="s">
        <v>22</v>
      </c>
      <c r="D1329" s="3" t="s">
        <v>33</v>
      </c>
      <c r="E1329" s="32" t="s">
        <v>29</v>
      </c>
      <c r="F1329" s="31" t="s">
        <v>1307</v>
      </c>
      <c r="G1329" s="142">
        <v>46</v>
      </c>
      <c r="H1329" s="128">
        <v>7.5</v>
      </c>
      <c r="I1329" s="128">
        <v>11</v>
      </c>
      <c r="J1329" s="128">
        <v>5.6</v>
      </c>
      <c r="K1329" s="128">
        <v>0.8</v>
      </c>
      <c r="L1329" s="119" t="s">
        <v>26</v>
      </c>
      <c r="M1329" s="119" t="s">
        <v>26</v>
      </c>
      <c r="N1329" s="119" t="s">
        <v>26</v>
      </c>
      <c r="O1329" s="128">
        <v>5.6</v>
      </c>
      <c r="P1329" s="128">
        <v>0.7</v>
      </c>
      <c r="Q1329" s="128">
        <v>2.5</v>
      </c>
      <c r="R1329" s="128">
        <v>1.6</v>
      </c>
      <c r="S1329" s="128">
        <v>1.8</v>
      </c>
      <c r="T1329" s="121" t="s">
        <v>26</v>
      </c>
      <c r="U1329" s="130">
        <v>1903</v>
      </c>
      <c r="V1329" s="147">
        <v>292</v>
      </c>
    </row>
    <row r="1330" spans="1:22">
      <c r="A1330" s="6" t="s">
        <v>1305</v>
      </c>
      <c r="B1330" s="1" t="s">
        <v>623</v>
      </c>
      <c r="C1330" s="29" t="s">
        <v>22</v>
      </c>
      <c r="D1330" s="3" t="s">
        <v>33</v>
      </c>
      <c r="E1330" s="32" t="s">
        <v>31</v>
      </c>
      <c r="F1330" s="31" t="s">
        <v>881</v>
      </c>
      <c r="G1330" s="142">
        <v>25</v>
      </c>
      <c r="H1330" s="146" t="s">
        <v>26</v>
      </c>
      <c r="I1330" s="128">
        <v>15.5</v>
      </c>
      <c r="J1330" s="128">
        <v>28.3</v>
      </c>
      <c r="K1330" s="128">
        <v>0.9</v>
      </c>
      <c r="L1330" s="119" t="s">
        <v>26</v>
      </c>
      <c r="M1330" s="119" t="s">
        <v>26</v>
      </c>
      <c r="N1330" s="119" t="s">
        <v>26</v>
      </c>
      <c r="O1330" s="128">
        <v>3.4</v>
      </c>
      <c r="P1330" s="119" t="s">
        <v>26</v>
      </c>
      <c r="Q1330" s="119" t="s">
        <v>26</v>
      </c>
      <c r="R1330" s="119" t="s">
        <v>26</v>
      </c>
      <c r="S1330" s="128">
        <v>2.2000000000000002</v>
      </c>
      <c r="T1330" s="121" t="s">
        <v>26</v>
      </c>
      <c r="U1330" s="130">
        <v>599</v>
      </c>
      <c r="V1330" s="147">
        <v>29</v>
      </c>
    </row>
    <row r="1331" spans="1:22">
      <c r="A1331" s="6" t="s">
        <v>1308</v>
      </c>
      <c r="B1331" s="1" t="s">
        <v>1309</v>
      </c>
      <c r="C1331" s="29" t="s">
        <v>22</v>
      </c>
      <c r="D1331" s="3" t="s">
        <v>33</v>
      </c>
      <c r="E1331" s="32" t="s">
        <v>27</v>
      </c>
      <c r="F1331" s="31" t="s">
        <v>1310</v>
      </c>
      <c r="G1331" s="142">
        <v>108</v>
      </c>
      <c r="H1331" s="128">
        <v>39.799999999999997</v>
      </c>
      <c r="I1331" s="128">
        <v>11.5</v>
      </c>
      <c r="J1331" s="128">
        <v>1.9</v>
      </c>
      <c r="K1331" s="128">
        <v>0.4</v>
      </c>
      <c r="L1331" s="128">
        <v>0.5</v>
      </c>
      <c r="M1331" s="128">
        <v>0.5</v>
      </c>
      <c r="N1331" s="119" t="s">
        <v>26</v>
      </c>
      <c r="O1331" s="128">
        <v>3.4</v>
      </c>
      <c r="P1331" s="128">
        <v>0.4</v>
      </c>
      <c r="Q1331" s="128">
        <v>4.5</v>
      </c>
      <c r="R1331" s="128">
        <v>2.5</v>
      </c>
      <c r="S1331" s="128">
        <v>1.6</v>
      </c>
      <c r="T1331" s="121" t="s">
        <v>26</v>
      </c>
      <c r="U1331" s="130">
        <v>3906</v>
      </c>
      <c r="V1331" s="136" t="s">
        <v>26</v>
      </c>
    </row>
    <row r="1332" spans="1:22">
      <c r="A1332" s="6" t="s">
        <v>1308</v>
      </c>
      <c r="B1332" s="1" t="s">
        <v>1309</v>
      </c>
      <c r="C1332" s="29" t="s">
        <v>22</v>
      </c>
      <c r="D1332" s="3" t="s">
        <v>33</v>
      </c>
      <c r="E1332" s="32" t="s">
        <v>29</v>
      </c>
      <c r="F1332" s="31" t="s">
        <v>1311</v>
      </c>
      <c r="G1332" s="142">
        <v>48</v>
      </c>
      <c r="H1332" s="128">
        <v>3.1</v>
      </c>
      <c r="I1332" s="128">
        <v>8.5</v>
      </c>
      <c r="J1332" s="128">
        <v>6.6</v>
      </c>
      <c r="K1332" s="128">
        <v>0.6</v>
      </c>
      <c r="L1332" s="119" t="s">
        <v>26</v>
      </c>
      <c r="M1332" s="128">
        <v>0.6</v>
      </c>
      <c r="N1332" s="119" t="s">
        <v>26</v>
      </c>
      <c r="O1332" s="128">
        <v>4.9000000000000004</v>
      </c>
      <c r="P1332" s="128">
        <v>0.6</v>
      </c>
      <c r="Q1332" s="128">
        <v>2.6</v>
      </c>
      <c r="R1332" s="128">
        <v>1.8</v>
      </c>
      <c r="S1332" s="128">
        <v>2.1</v>
      </c>
      <c r="T1332" s="121" t="s">
        <v>26</v>
      </c>
      <c r="U1332" s="130">
        <v>2231</v>
      </c>
      <c r="V1332" s="136" t="s">
        <v>26</v>
      </c>
    </row>
    <row r="1333" spans="1:22">
      <c r="A1333" s="6" t="s">
        <v>1308</v>
      </c>
      <c r="B1333" s="1" t="s">
        <v>1309</v>
      </c>
      <c r="C1333" s="29" t="s">
        <v>22</v>
      </c>
      <c r="D1333" s="3" t="s">
        <v>33</v>
      </c>
      <c r="E1333" s="32" t="s">
        <v>31</v>
      </c>
      <c r="F1333" s="31" t="s">
        <v>1312</v>
      </c>
      <c r="G1333" s="142">
        <v>25</v>
      </c>
      <c r="H1333" s="146" t="s">
        <v>26</v>
      </c>
      <c r="I1333" s="128">
        <v>9.5</v>
      </c>
      <c r="J1333" s="128">
        <v>19.600000000000001</v>
      </c>
      <c r="K1333" s="119" t="s">
        <v>26</v>
      </c>
      <c r="L1333" s="119" t="s">
        <v>26</v>
      </c>
      <c r="M1333" s="119" t="s">
        <v>26</v>
      </c>
      <c r="N1333" s="119" t="s">
        <v>26</v>
      </c>
      <c r="O1333" s="128">
        <v>3.1</v>
      </c>
      <c r="P1333" s="119" t="s">
        <v>26</v>
      </c>
      <c r="Q1333" s="119" t="s">
        <v>26</v>
      </c>
      <c r="R1333" s="128">
        <v>1.1000000000000001</v>
      </c>
      <c r="S1333" s="128">
        <v>2.9</v>
      </c>
      <c r="T1333" s="121" t="s">
        <v>26</v>
      </c>
      <c r="U1333" s="130">
        <v>568</v>
      </c>
      <c r="V1333" s="136" t="s">
        <v>26</v>
      </c>
    </row>
    <row r="1334" spans="1:22">
      <c r="A1334" s="6" t="s">
        <v>1308</v>
      </c>
      <c r="B1334" s="1" t="s">
        <v>63</v>
      </c>
      <c r="C1334" s="29" t="s">
        <v>22</v>
      </c>
      <c r="D1334" s="1" t="s">
        <v>142</v>
      </c>
      <c r="E1334" s="32" t="s">
        <v>27</v>
      </c>
      <c r="F1334" s="31" t="s">
        <v>1313</v>
      </c>
      <c r="G1334" s="142">
        <v>122</v>
      </c>
      <c r="H1334" s="128">
        <v>34.5</v>
      </c>
      <c r="I1334" s="128">
        <v>18.5</v>
      </c>
      <c r="J1334" s="128">
        <v>0.7</v>
      </c>
      <c r="K1334" s="119" t="s">
        <v>26</v>
      </c>
      <c r="L1334" s="119" t="s">
        <v>26</v>
      </c>
      <c r="M1334" s="119" t="s">
        <v>26</v>
      </c>
      <c r="N1334" s="119" t="s">
        <v>26</v>
      </c>
      <c r="O1334" s="128">
        <v>2.9</v>
      </c>
      <c r="P1334" s="119" t="s">
        <v>26</v>
      </c>
      <c r="Q1334" s="128">
        <v>5.6</v>
      </c>
      <c r="R1334" s="128">
        <v>2.6</v>
      </c>
      <c r="S1334" s="128">
        <v>0.9</v>
      </c>
      <c r="T1334" s="121" t="s">
        <v>26</v>
      </c>
      <c r="U1334" s="89">
        <v>968</v>
      </c>
      <c r="V1334" s="149">
        <v>395</v>
      </c>
    </row>
    <row r="1335" spans="1:22">
      <c r="A1335" s="6" t="s">
        <v>1308</v>
      </c>
      <c r="B1335" s="1" t="s">
        <v>63</v>
      </c>
      <c r="C1335" s="29" t="s">
        <v>22</v>
      </c>
      <c r="D1335" s="1" t="s">
        <v>142</v>
      </c>
      <c r="E1335" s="32" t="s">
        <v>29</v>
      </c>
      <c r="F1335" s="31" t="s">
        <v>1314</v>
      </c>
      <c r="G1335" s="142">
        <v>49</v>
      </c>
      <c r="H1335" s="128">
        <v>5.8</v>
      </c>
      <c r="I1335" s="128">
        <v>14.5</v>
      </c>
      <c r="J1335" s="128">
        <v>5.84</v>
      </c>
      <c r="K1335" s="119" t="s">
        <v>26</v>
      </c>
      <c r="L1335" s="119" t="s">
        <v>26</v>
      </c>
      <c r="M1335" s="119" t="s">
        <v>26</v>
      </c>
      <c r="N1335" s="119" t="s">
        <v>26</v>
      </c>
      <c r="O1335" s="128">
        <v>3.1</v>
      </c>
      <c r="P1335" s="119" t="s">
        <v>26</v>
      </c>
      <c r="Q1335" s="128">
        <v>2.4</v>
      </c>
      <c r="R1335" s="128">
        <v>1.1000000000000001</v>
      </c>
      <c r="S1335" s="128">
        <v>0.8</v>
      </c>
      <c r="T1335" s="121" t="s">
        <v>26</v>
      </c>
      <c r="U1335" s="143">
        <v>3425</v>
      </c>
      <c r="V1335" s="147">
        <v>132</v>
      </c>
    </row>
    <row r="1336" spans="1:22">
      <c r="A1336" s="6" t="s">
        <v>1308</v>
      </c>
      <c r="B1336" s="1" t="s">
        <v>63</v>
      </c>
      <c r="C1336" s="29" t="s">
        <v>22</v>
      </c>
      <c r="D1336" s="1" t="s">
        <v>142</v>
      </c>
      <c r="E1336" s="32" t="s">
        <v>31</v>
      </c>
      <c r="F1336" s="31" t="s">
        <v>206</v>
      </c>
      <c r="G1336" s="142">
        <v>24</v>
      </c>
      <c r="H1336" s="146" t="s">
        <v>26</v>
      </c>
      <c r="I1336" s="128">
        <v>8.5</v>
      </c>
      <c r="J1336" s="128">
        <v>15.9</v>
      </c>
      <c r="K1336" s="119" t="s">
        <v>26</v>
      </c>
      <c r="L1336" s="119" t="s">
        <v>26</v>
      </c>
      <c r="M1336" s="119" t="s">
        <v>26</v>
      </c>
      <c r="N1336" s="119" t="s">
        <v>26</v>
      </c>
      <c r="O1336" s="128">
        <v>2</v>
      </c>
      <c r="P1336" s="119" t="s">
        <v>26</v>
      </c>
      <c r="Q1336" s="119" t="s">
        <v>26</v>
      </c>
      <c r="R1336" s="119" t="s">
        <v>26</v>
      </c>
      <c r="S1336" s="128">
        <v>1.2</v>
      </c>
      <c r="T1336" s="121" t="s">
        <v>26</v>
      </c>
      <c r="U1336" s="143">
        <v>536</v>
      </c>
      <c r="V1336" s="147">
        <v>120</v>
      </c>
    </row>
    <row r="1337" spans="1:22">
      <c r="A1337" s="6" t="s">
        <v>1308</v>
      </c>
      <c r="B1337" s="1" t="s">
        <v>39</v>
      </c>
      <c r="C1337" s="29" t="s">
        <v>22</v>
      </c>
      <c r="D1337" s="3" t="s">
        <v>33</v>
      </c>
      <c r="E1337" s="32" t="s">
        <v>27</v>
      </c>
      <c r="F1337" s="31" t="s">
        <v>201</v>
      </c>
      <c r="G1337" s="142">
        <v>108</v>
      </c>
      <c r="H1337" s="128">
        <v>40.5</v>
      </c>
      <c r="I1337" s="128">
        <v>12.6</v>
      </c>
      <c r="J1337" s="128">
        <v>1.65</v>
      </c>
      <c r="K1337" s="128">
        <v>0.5</v>
      </c>
      <c r="L1337" s="119" t="s">
        <v>26</v>
      </c>
      <c r="M1337" s="128">
        <v>0.4</v>
      </c>
      <c r="N1337" s="119" t="s">
        <v>26</v>
      </c>
      <c r="O1337" s="128">
        <v>5.9</v>
      </c>
      <c r="P1337" s="128">
        <v>0.8</v>
      </c>
      <c r="Q1337" s="119" t="s">
        <v>26</v>
      </c>
      <c r="R1337" s="128">
        <v>5.8</v>
      </c>
      <c r="S1337" s="128">
        <v>2.5</v>
      </c>
      <c r="T1337" s="121" t="s">
        <v>26</v>
      </c>
      <c r="U1337" s="130">
        <v>653</v>
      </c>
      <c r="V1337" s="136" t="s">
        <v>26</v>
      </c>
    </row>
    <row r="1338" spans="1:22">
      <c r="A1338" s="6" t="s">
        <v>1308</v>
      </c>
      <c r="B1338" s="1" t="s">
        <v>39</v>
      </c>
      <c r="C1338" s="29" t="s">
        <v>22</v>
      </c>
      <c r="D1338" s="3" t="s">
        <v>33</v>
      </c>
      <c r="E1338" s="32" t="s">
        <v>29</v>
      </c>
      <c r="F1338" s="31" t="s">
        <v>976</v>
      </c>
      <c r="G1338" s="142">
        <v>46</v>
      </c>
      <c r="H1338" s="128">
        <v>4.8</v>
      </c>
      <c r="I1338" s="128">
        <v>9.6</v>
      </c>
      <c r="J1338" s="128">
        <v>7.1</v>
      </c>
      <c r="K1338" s="128">
        <v>0.6</v>
      </c>
      <c r="L1338" s="119" t="s">
        <v>26</v>
      </c>
      <c r="M1338" s="119" t="s">
        <v>26</v>
      </c>
      <c r="N1338" s="119" t="s">
        <v>26</v>
      </c>
      <c r="O1338" s="128">
        <v>5.0999999999999996</v>
      </c>
      <c r="P1338" s="128">
        <v>1.1000000000000001</v>
      </c>
      <c r="Q1338" s="119" t="s">
        <v>26</v>
      </c>
      <c r="R1338" s="128">
        <v>3.6</v>
      </c>
      <c r="S1338" s="128">
        <v>2.9</v>
      </c>
      <c r="T1338" s="121" t="s">
        <v>26</v>
      </c>
      <c r="U1338" s="130">
        <v>253</v>
      </c>
      <c r="V1338" s="136" t="s">
        <v>26</v>
      </c>
    </row>
    <row r="1339" spans="1:22">
      <c r="A1339" s="6" t="s">
        <v>1308</v>
      </c>
      <c r="B1339" s="1" t="s">
        <v>39</v>
      </c>
      <c r="C1339" s="29" t="s">
        <v>22</v>
      </c>
      <c r="D1339" s="3" t="s">
        <v>33</v>
      </c>
      <c r="E1339" s="32" t="s">
        <v>31</v>
      </c>
      <c r="F1339" s="31" t="s">
        <v>1315</v>
      </c>
      <c r="G1339" s="142">
        <v>24</v>
      </c>
      <c r="H1339" s="146" t="s">
        <v>26</v>
      </c>
      <c r="I1339" s="128">
        <v>11.2</v>
      </c>
      <c r="J1339" s="128">
        <v>26.5</v>
      </c>
      <c r="K1339" s="128">
        <v>0.7</v>
      </c>
      <c r="L1339" s="119" t="s">
        <v>26</v>
      </c>
      <c r="M1339" s="119" t="s">
        <v>26</v>
      </c>
      <c r="N1339" s="119" t="s">
        <v>26</v>
      </c>
      <c r="O1339" s="128">
        <v>3.9</v>
      </c>
      <c r="P1339" s="119" t="s">
        <v>26</v>
      </c>
      <c r="Q1339" s="119" t="s">
        <v>26</v>
      </c>
      <c r="R1339" s="119" t="s">
        <v>26</v>
      </c>
      <c r="S1339" s="128">
        <v>3.4</v>
      </c>
      <c r="T1339" s="121" t="s">
        <v>26</v>
      </c>
      <c r="U1339" s="130">
        <v>130</v>
      </c>
      <c r="V1339" s="136" t="s">
        <v>26</v>
      </c>
    </row>
    <row r="1340" spans="1:22">
      <c r="A1340" s="6" t="s">
        <v>1308</v>
      </c>
      <c r="B1340" s="1" t="s">
        <v>39</v>
      </c>
      <c r="C1340" s="29" t="s">
        <v>22</v>
      </c>
      <c r="D1340" s="1" t="s">
        <v>142</v>
      </c>
      <c r="E1340" s="32" t="s">
        <v>27</v>
      </c>
      <c r="F1340" s="31" t="s">
        <v>1316</v>
      </c>
      <c r="G1340" s="142">
        <v>102</v>
      </c>
      <c r="H1340" s="128">
        <v>45.5</v>
      </c>
      <c r="I1340" s="128">
        <v>12.5</v>
      </c>
      <c r="J1340" s="128">
        <v>0.8</v>
      </c>
      <c r="K1340" s="128">
        <v>0.3</v>
      </c>
      <c r="L1340" s="128">
        <v>0.4</v>
      </c>
      <c r="M1340" s="128">
        <v>1.1000000000000001</v>
      </c>
      <c r="N1340" s="119" t="s">
        <v>26</v>
      </c>
      <c r="O1340" s="128">
        <v>3.6</v>
      </c>
      <c r="P1340" s="119" t="s">
        <v>26</v>
      </c>
      <c r="Q1340" s="128">
        <v>6.1</v>
      </c>
      <c r="R1340" s="128">
        <v>2.6</v>
      </c>
      <c r="S1340" s="128">
        <v>2.8</v>
      </c>
      <c r="T1340" s="121" t="s">
        <v>26</v>
      </c>
      <c r="U1340" s="89">
        <v>798</v>
      </c>
      <c r="V1340" s="136" t="s">
        <v>26</v>
      </c>
    </row>
    <row r="1341" spans="1:22">
      <c r="A1341" s="6" t="s">
        <v>1308</v>
      </c>
      <c r="B1341" s="1" t="s">
        <v>39</v>
      </c>
      <c r="C1341" s="29" t="s">
        <v>22</v>
      </c>
      <c r="D1341" s="1" t="s">
        <v>142</v>
      </c>
      <c r="E1341" s="32" t="s">
        <v>29</v>
      </c>
      <c r="F1341" s="31" t="s">
        <v>1317</v>
      </c>
      <c r="G1341" s="142">
        <v>44</v>
      </c>
      <c r="H1341" s="128">
        <v>8.5</v>
      </c>
      <c r="I1341" s="128">
        <v>9.4</v>
      </c>
      <c r="J1341" s="128">
        <v>4.5599999999999996</v>
      </c>
      <c r="K1341" s="119" t="s">
        <v>26</v>
      </c>
      <c r="L1341" s="119" t="s">
        <v>26</v>
      </c>
      <c r="M1341" s="128">
        <v>1.4</v>
      </c>
      <c r="N1341" s="119" t="s">
        <v>26</v>
      </c>
      <c r="O1341" s="128">
        <v>3.8</v>
      </c>
      <c r="P1341" s="119" t="s">
        <v>26</v>
      </c>
      <c r="Q1341" s="128">
        <v>12.9</v>
      </c>
      <c r="R1341" s="128">
        <v>2.5</v>
      </c>
      <c r="S1341" s="128">
        <v>3.9</v>
      </c>
      <c r="T1341" s="121" t="s">
        <v>26</v>
      </c>
      <c r="U1341" s="143">
        <v>1360</v>
      </c>
      <c r="V1341" s="136" t="s">
        <v>26</v>
      </c>
    </row>
    <row r="1342" spans="1:22">
      <c r="A1342" s="6" t="s">
        <v>1308</v>
      </c>
      <c r="B1342" s="1" t="s">
        <v>39</v>
      </c>
      <c r="C1342" s="29" t="s">
        <v>22</v>
      </c>
      <c r="D1342" s="1" t="s">
        <v>142</v>
      </c>
      <c r="E1342" s="32" t="s">
        <v>31</v>
      </c>
      <c r="F1342" s="31" t="s">
        <v>1318</v>
      </c>
      <c r="G1342" s="142">
        <v>23</v>
      </c>
      <c r="H1342" s="146" t="s">
        <v>26</v>
      </c>
      <c r="I1342" s="128">
        <v>8.5</v>
      </c>
      <c r="J1342" s="128">
        <v>18.399999999999999</v>
      </c>
      <c r="K1342" s="119" t="s">
        <v>26</v>
      </c>
      <c r="L1342" s="119" t="s">
        <v>26</v>
      </c>
      <c r="M1342" s="128">
        <v>1.6</v>
      </c>
      <c r="N1342" s="119" t="s">
        <v>26</v>
      </c>
      <c r="O1342" s="128">
        <v>2.1</v>
      </c>
      <c r="P1342" s="119" t="s">
        <v>26</v>
      </c>
      <c r="Q1342" s="119" t="s">
        <v>26</v>
      </c>
      <c r="R1342" s="119" t="s">
        <v>26</v>
      </c>
      <c r="S1342" s="128">
        <v>3.6</v>
      </c>
      <c r="T1342" s="121" t="s">
        <v>26</v>
      </c>
      <c r="U1342" s="143">
        <v>315</v>
      </c>
      <c r="V1342" s="136" t="s">
        <v>26</v>
      </c>
    </row>
    <row r="1343" spans="1:22">
      <c r="A1343" s="6" t="s">
        <v>1319</v>
      </c>
      <c r="B1343" s="1" t="s">
        <v>21</v>
      </c>
      <c r="C1343" s="29" t="s">
        <v>22</v>
      </c>
      <c r="D1343" s="1" t="s">
        <v>142</v>
      </c>
      <c r="E1343" s="32" t="s">
        <v>27</v>
      </c>
      <c r="F1343" s="31" t="s">
        <v>1320</v>
      </c>
      <c r="G1343" s="142">
        <v>110</v>
      </c>
      <c r="H1343" s="128">
        <v>38.5</v>
      </c>
      <c r="I1343" s="128">
        <v>13.1</v>
      </c>
      <c r="J1343" s="128">
        <v>0.21</v>
      </c>
      <c r="K1343" s="119" t="s">
        <v>26</v>
      </c>
      <c r="L1343" s="119" t="s">
        <v>26</v>
      </c>
      <c r="M1343" s="128">
        <v>0.3</v>
      </c>
      <c r="N1343" s="119" t="s">
        <v>26</v>
      </c>
      <c r="O1343" s="128">
        <v>5.0999999999999996</v>
      </c>
      <c r="P1343" s="128">
        <v>0.6</v>
      </c>
      <c r="Q1343" s="128">
        <v>4.9000000000000004</v>
      </c>
      <c r="R1343" s="128">
        <v>3.1</v>
      </c>
      <c r="S1343" s="128">
        <v>1.8</v>
      </c>
      <c r="T1343" s="121" t="s">
        <v>26</v>
      </c>
      <c r="U1343" s="148">
        <v>152</v>
      </c>
      <c r="V1343" s="149">
        <v>344</v>
      </c>
    </row>
    <row r="1344" spans="1:22">
      <c r="A1344" s="6" t="s">
        <v>1319</v>
      </c>
      <c r="B1344" s="1" t="s">
        <v>21</v>
      </c>
      <c r="C1344" s="29" t="s">
        <v>22</v>
      </c>
      <c r="D1344" s="1" t="s">
        <v>142</v>
      </c>
      <c r="E1344" s="32" t="s">
        <v>29</v>
      </c>
      <c r="F1344" s="31" t="s">
        <v>1321</v>
      </c>
      <c r="G1344" s="142">
        <v>45</v>
      </c>
      <c r="H1344" s="128">
        <v>7.8</v>
      </c>
      <c r="I1344" s="128">
        <v>12.4</v>
      </c>
      <c r="J1344" s="128">
        <v>7.2</v>
      </c>
      <c r="K1344" s="128">
        <v>0.4</v>
      </c>
      <c r="L1344" s="119" t="s">
        <v>26</v>
      </c>
      <c r="M1344" s="119" t="s">
        <v>26</v>
      </c>
      <c r="N1344" s="119" t="s">
        <v>26</v>
      </c>
      <c r="O1344" s="128">
        <v>5.6</v>
      </c>
      <c r="P1344" s="128">
        <v>0.8</v>
      </c>
      <c r="Q1344" s="128">
        <v>5.0999999999999996</v>
      </c>
      <c r="R1344" s="128">
        <v>1.8</v>
      </c>
      <c r="S1344" s="128">
        <v>2.6</v>
      </c>
      <c r="T1344" s="121" t="s">
        <v>26</v>
      </c>
      <c r="U1344" s="148">
        <v>2723</v>
      </c>
      <c r="V1344" s="147">
        <v>100</v>
      </c>
    </row>
    <row r="1345" spans="1:22">
      <c r="A1345" s="6" t="s">
        <v>1319</v>
      </c>
      <c r="B1345" s="1" t="s">
        <v>21</v>
      </c>
      <c r="C1345" s="29" t="s">
        <v>22</v>
      </c>
      <c r="D1345" s="1" t="s">
        <v>142</v>
      </c>
      <c r="E1345" s="32" t="s">
        <v>31</v>
      </c>
      <c r="F1345" s="31" t="s">
        <v>1322</v>
      </c>
      <c r="G1345" s="142">
        <v>24</v>
      </c>
      <c r="H1345" s="146" t="s">
        <v>26</v>
      </c>
      <c r="I1345" s="128">
        <v>11.6</v>
      </c>
      <c r="J1345" s="128">
        <v>25.6</v>
      </c>
      <c r="K1345" s="119" t="s">
        <v>26</v>
      </c>
      <c r="L1345" s="119" t="s">
        <v>26</v>
      </c>
      <c r="M1345" s="119" t="s">
        <v>26</v>
      </c>
      <c r="N1345" s="119" t="s">
        <v>26</v>
      </c>
      <c r="O1345" s="128">
        <v>2.9</v>
      </c>
      <c r="P1345" s="128">
        <v>0.7</v>
      </c>
      <c r="Q1345" s="119" t="s">
        <v>26</v>
      </c>
      <c r="R1345" s="119" t="s">
        <v>26</v>
      </c>
      <c r="S1345" s="128">
        <v>3.5</v>
      </c>
      <c r="T1345" s="121" t="s">
        <v>26</v>
      </c>
      <c r="U1345" s="148">
        <v>377</v>
      </c>
      <c r="V1345" s="147">
        <v>120</v>
      </c>
    </row>
    <row r="1346" spans="1:22">
      <c r="A1346" s="6" t="s">
        <v>1319</v>
      </c>
      <c r="B1346" s="1" t="s">
        <v>1294</v>
      </c>
      <c r="C1346" s="29" t="s">
        <v>22</v>
      </c>
      <c r="D1346" s="8" t="s">
        <v>109</v>
      </c>
      <c r="E1346" s="32" t="s">
        <v>27</v>
      </c>
      <c r="F1346" s="31" t="s">
        <v>1075</v>
      </c>
      <c r="G1346" s="142">
        <v>125</v>
      </c>
      <c r="H1346" s="128">
        <v>34.5</v>
      </c>
      <c r="I1346" s="128">
        <v>20.5</v>
      </c>
      <c r="J1346" s="128">
        <v>0.8</v>
      </c>
      <c r="K1346" s="128">
        <v>0.5</v>
      </c>
      <c r="L1346" s="128">
        <v>0.4</v>
      </c>
      <c r="M1346" s="128">
        <v>0.5</v>
      </c>
      <c r="N1346" s="119" t="s">
        <v>26</v>
      </c>
      <c r="O1346" s="128">
        <v>4</v>
      </c>
      <c r="P1346" s="128">
        <v>1.2</v>
      </c>
      <c r="Q1346" s="128">
        <v>3.8</v>
      </c>
      <c r="R1346" s="128">
        <v>2.1</v>
      </c>
      <c r="S1346" s="128">
        <v>2.4</v>
      </c>
      <c r="T1346" s="121" t="s">
        <v>26</v>
      </c>
      <c r="U1346" s="130">
        <v>1273</v>
      </c>
      <c r="V1346" s="136" t="s">
        <v>26</v>
      </c>
    </row>
    <row r="1347" spans="1:22">
      <c r="A1347" s="6" t="s">
        <v>1319</v>
      </c>
      <c r="B1347" s="1" t="s">
        <v>1294</v>
      </c>
      <c r="C1347" s="29" t="s">
        <v>22</v>
      </c>
      <c r="D1347" s="8" t="s">
        <v>109</v>
      </c>
      <c r="E1347" s="32" t="s">
        <v>29</v>
      </c>
      <c r="F1347" s="31" t="s">
        <v>1323</v>
      </c>
      <c r="G1347" s="142">
        <v>52</v>
      </c>
      <c r="H1347" s="128">
        <v>3.4</v>
      </c>
      <c r="I1347" s="128">
        <v>16.5</v>
      </c>
      <c r="J1347" s="128">
        <v>7.8</v>
      </c>
      <c r="K1347" s="119" t="s">
        <v>26</v>
      </c>
      <c r="L1347" s="128">
        <v>0.4</v>
      </c>
      <c r="M1347" s="128">
        <v>0.7</v>
      </c>
      <c r="N1347" s="119" t="s">
        <v>26</v>
      </c>
      <c r="O1347" s="128">
        <v>4.0999999999999996</v>
      </c>
      <c r="P1347" s="128">
        <v>0.5</v>
      </c>
      <c r="Q1347" s="128">
        <v>2.4</v>
      </c>
      <c r="R1347" s="128">
        <v>1.3</v>
      </c>
      <c r="S1347" s="128">
        <v>3.8</v>
      </c>
      <c r="T1347" s="121" t="s">
        <v>26</v>
      </c>
      <c r="U1347" s="130">
        <v>2956</v>
      </c>
      <c r="V1347" s="136" t="s">
        <v>26</v>
      </c>
    </row>
    <row r="1348" spans="1:22">
      <c r="A1348" s="6" t="s">
        <v>1319</v>
      </c>
      <c r="B1348" s="1" t="s">
        <v>1294</v>
      </c>
      <c r="C1348" s="29" t="s">
        <v>22</v>
      </c>
      <c r="D1348" s="8" t="s">
        <v>109</v>
      </c>
      <c r="E1348" s="32" t="s">
        <v>31</v>
      </c>
      <c r="F1348" s="31" t="s">
        <v>1324</v>
      </c>
      <c r="G1348" s="142">
        <v>23</v>
      </c>
      <c r="H1348" s="146" t="s">
        <v>26</v>
      </c>
      <c r="I1348" s="128">
        <v>8.8000000000000007</v>
      </c>
      <c r="J1348" s="128">
        <v>20.5</v>
      </c>
      <c r="K1348" s="119" t="s">
        <v>26</v>
      </c>
      <c r="L1348" s="119" t="s">
        <v>26</v>
      </c>
      <c r="M1348" s="119" t="s">
        <v>26</v>
      </c>
      <c r="N1348" s="119" t="s">
        <v>26</v>
      </c>
      <c r="O1348" s="128">
        <v>3.1</v>
      </c>
      <c r="P1348" s="119" t="s">
        <v>26</v>
      </c>
      <c r="Q1348" s="119" t="s">
        <v>26</v>
      </c>
      <c r="R1348" s="119" t="s">
        <v>26</v>
      </c>
      <c r="S1348" s="128">
        <v>35.5</v>
      </c>
      <c r="T1348" s="121" t="s">
        <v>26</v>
      </c>
      <c r="U1348" s="130">
        <v>1263</v>
      </c>
      <c r="V1348" s="136" t="s">
        <v>26</v>
      </c>
    </row>
    <row r="1349" spans="1:22">
      <c r="A1349" s="6" t="s">
        <v>1319</v>
      </c>
      <c r="B1349" s="1" t="s">
        <v>1325</v>
      </c>
      <c r="C1349" s="29" t="s">
        <v>22</v>
      </c>
      <c r="D1349" s="1" t="s">
        <v>142</v>
      </c>
      <c r="E1349" s="32" t="s">
        <v>27</v>
      </c>
      <c r="F1349" s="31" t="s">
        <v>1326</v>
      </c>
      <c r="G1349" s="142">
        <v>126</v>
      </c>
      <c r="H1349" s="128">
        <v>30.5</v>
      </c>
      <c r="I1349" s="128">
        <v>22.5</v>
      </c>
      <c r="J1349" s="128">
        <v>0.7</v>
      </c>
      <c r="K1349" s="128">
        <v>0.3</v>
      </c>
      <c r="L1349" s="128">
        <v>0.3</v>
      </c>
      <c r="M1349" s="128">
        <v>0.4</v>
      </c>
      <c r="N1349" s="119" t="s">
        <v>26</v>
      </c>
      <c r="O1349" s="128">
        <v>4.5</v>
      </c>
      <c r="P1349" s="128">
        <v>0.8</v>
      </c>
      <c r="Q1349" s="128">
        <v>5.0999999999999996</v>
      </c>
      <c r="R1349" s="128">
        <v>2.4</v>
      </c>
      <c r="S1349" s="128">
        <v>2.6</v>
      </c>
      <c r="T1349" s="121" t="s">
        <v>26</v>
      </c>
      <c r="U1349" s="89">
        <v>1330</v>
      </c>
      <c r="V1349" s="136" t="s">
        <v>26</v>
      </c>
    </row>
    <row r="1350" spans="1:22">
      <c r="A1350" s="6" t="s">
        <v>1319</v>
      </c>
      <c r="B1350" s="1" t="s">
        <v>1325</v>
      </c>
      <c r="C1350" s="29" t="s">
        <v>22</v>
      </c>
      <c r="D1350" s="1" t="s">
        <v>142</v>
      </c>
      <c r="E1350" s="32" t="s">
        <v>29</v>
      </c>
      <c r="F1350" s="31" t="s">
        <v>1327</v>
      </c>
      <c r="G1350" s="142">
        <v>50</v>
      </c>
      <c r="H1350" s="128">
        <v>4.5</v>
      </c>
      <c r="I1350" s="128">
        <v>10.8</v>
      </c>
      <c r="J1350" s="128">
        <v>8.8000000000000007</v>
      </c>
      <c r="K1350" s="119" t="s">
        <v>26</v>
      </c>
      <c r="L1350" s="119" t="s">
        <v>26</v>
      </c>
      <c r="M1350" s="119" t="s">
        <v>26</v>
      </c>
      <c r="N1350" s="119" t="s">
        <v>26</v>
      </c>
      <c r="O1350" s="128">
        <v>3.9</v>
      </c>
      <c r="P1350" s="128">
        <v>1.1000000000000001</v>
      </c>
      <c r="Q1350" s="128">
        <v>2.6</v>
      </c>
      <c r="R1350" s="128">
        <v>1.8</v>
      </c>
      <c r="S1350" s="128">
        <v>3.5</v>
      </c>
      <c r="T1350" s="121" t="s">
        <v>26</v>
      </c>
      <c r="U1350" s="123" t="s">
        <v>26</v>
      </c>
      <c r="V1350" s="136" t="s">
        <v>26</v>
      </c>
    </row>
    <row r="1351" spans="1:22">
      <c r="A1351" s="6" t="s">
        <v>1319</v>
      </c>
      <c r="B1351" s="1" t="s">
        <v>1325</v>
      </c>
      <c r="C1351" s="29" t="s">
        <v>22</v>
      </c>
      <c r="D1351" s="1" t="s">
        <v>142</v>
      </c>
      <c r="E1351" s="32" t="s">
        <v>31</v>
      </c>
      <c r="F1351" s="31" t="s">
        <v>1328</v>
      </c>
      <c r="G1351" s="142">
        <v>22</v>
      </c>
      <c r="H1351" s="146" t="s">
        <v>26</v>
      </c>
      <c r="I1351" s="128">
        <v>9.5</v>
      </c>
      <c r="J1351" s="128">
        <v>28.5</v>
      </c>
      <c r="K1351" s="119" t="s">
        <v>26</v>
      </c>
      <c r="L1351" s="119" t="s">
        <v>26</v>
      </c>
      <c r="M1351" s="119" t="s">
        <v>26</v>
      </c>
      <c r="N1351" s="119" t="s">
        <v>26</v>
      </c>
      <c r="O1351" s="128">
        <v>2.1</v>
      </c>
      <c r="P1351" s="119" t="s">
        <v>26</v>
      </c>
      <c r="Q1351" s="119" t="s">
        <v>26</v>
      </c>
      <c r="R1351" s="119" t="s">
        <v>26</v>
      </c>
      <c r="S1351" s="128">
        <v>30.8</v>
      </c>
      <c r="T1351" s="121" t="s">
        <v>26</v>
      </c>
      <c r="U1351" s="123" t="s">
        <v>26</v>
      </c>
      <c r="V1351" s="136" t="s">
        <v>26</v>
      </c>
    </row>
    <row r="1352" spans="1:22">
      <c r="A1352" s="6" t="s">
        <v>1319</v>
      </c>
      <c r="B1352" s="1" t="s">
        <v>1329</v>
      </c>
      <c r="C1352" s="29" t="s">
        <v>22</v>
      </c>
      <c r="D1352" s="3" t="s">
        <v>33</v>
      </c>
      <c r="E1352" s="32" t="s">
        <v>27</v>
      </c>
      <c r="F1352" s="31" t="s">
        <v>1330</v>
      </c>
      <c r="G1352" s="142">
        <v>112</v>
      </c>
      <c r="H1352" s="128">
        <v>36.799999999999997</v>
      </c>
      <c r="I1352" s="128">
        <v>14.5</v>
      </c>
      <c r="J1352" s="128">
        <v>1.2</v>
      </c>
      <c r="K1352" s="128">
        <v>0.4</v>
      </c>
      <c r="L1352" s="119" t="s">
        <v>26</v>
      </c>
      <c r="M1352" s="128">
        <v>0.6</v>
      </c>
      <c r="N1352" s="119" t="s">
        <v>26</v>
      </c>
      <c r="O1352" s="128">
        <v>5.6</v>
      </c>
      <c r="P1352" s="128">
        <v>1.1000000000000001</v>
      </c>
      <c r="Q1352" s="128">
        <v>3.5</v>
      </c>
      <c r="R1352" s="128">
        <v>2.6</v>
      </c>
      <c r="S1352" s="128">
        <v>1.9</v>
      </c>
      <c r="T1352" s="121" t="s">
        <v>26</v>
      </c>
      <c r="U1352" s="123" t="s">
        <v>26</v>
      </c>
      <c r="V1352" s="136" t="s">
        <v>26</v>
      </c>
    </row>
    <row r="1353" spans="1:22">
      <c r="A1353" s="6" t="s">
        <v>1319</v>
      </c>
      <c r="B1353" s="1" t="s">
        <v>1329</v>
      </c>
      <c r="C1353" s="29" t="s">
        <v>22</v>
      </c>
      <c r="D1353" s="3" t="s">
        <v>33</v>
      </c>
      <c r="E1353" s="32" t="s">
        <v>29</v>
      </c>
      <c r="F1353" s="31" t="s">
        <v>1331</v>
      </c>
      <c r="G1353" s="142">
        <v>48</v>
      </c>
      <c r="H1353" s="128">
        <v>4.0999999999999996</v>
      </c>
      <c r="I1353" s="128">
        <v>11.5</v>
      </c>
      <c r="J1353" s="128">
        <v>6.9</v>
      </c>
      <c r="K1353" s="128">
        <v>0.8</v>
      </c>
      <c r="L1353" s="119" t="s">
        <v>26</v>
      </c>
      <c r="M1353" s="119" t="s">
        <v>26</v>
      </c>
      <c r="N1353" s="119" t="s">
        <v>26</v>
      </c>
      <c r="O1353" s="128">
        <v>4.9000000000000004</v>
      </c>
      <c r="P1353" s="128">
        <v>1.2</v>
      </c>
      <c r="Q1353" s="119" t="s">
        <v>26</v>
      </c>
      <c r="R1353" s="128">
        <v>1.5</v>
      </c>
      <c r="S1353" s="128">
        <v>2.4</v>
      </c>
      <c r="T1353" s="121" t="s">
        <v>26</v>
      </c>
      <c r="U1353" s="123" t="s">
        <v>26</v>
      </c>
      <c r="V1353" s="136" t="s">
        <v>26</v>
      </c>
    </row>
    <row r="1354" spans="1:22">
      <c r="A1354" s="6" t="s">
        <v>1319</v>
      </c>
      <c r="B1354" s="1" t="s">
        <v>1329</v>
      </c>
      <c r="C1354" s="29" t="s">
        <v>22</v>
      </c>
      <c r="D1354" s="3" t="s">
        <v>33</v>
      </c>
      <c r="E1354" s="32" t="s">
        <v>31</v>
      </c>
      <c r="F1354" s="31" t="s">
        <v>1332</v>
      </c>
      <c r="G1354" s="142">
        <v>23</v>
      </c>
      <c r="H1354" s="146" t="s">
        <v>26</v>
      </c>
      <c r="I1354" s="128">
        <v>10.5</v>
      </c>
      <c r="J1354" s="128">
        <v>23.6</v>
      </c>
      <c r="K1354" s="128">
        <v>0.5</v>
      </c>
      <c r="L1354" s="119" t="s">
        <v>26</v>
      </c>
      <c r="M1354" s="119" t="s">
        <v>26</v>
      </c>
      <c r="N1354" s="119" t="s">
        <v>26</v>
      </c>
      <c r="O1354" s="128">
        <v>3.1</v>
      </c>
      <c r="P1354" s="119" t="s">
        <v>26</v>
      </c>
      <c r="Q1354" s="119" t="s">
        <v>26</v>
      </c>
      <c r="R1354" s="119" t="s">
        <v>26</v>
      </c>
      <c r="S1354" s="128">
        <v>3.5</v>
      </c>
      <c r="T1354" s="121" t="s">
        <v>26</v>
      </c>
      <c r="U1354" s="123" t="s">
        <v>26</v>
      </c>
      <c r="V1354" s="136" t="s">
        <v>26</v>
      </c>
    </row>
    <row r="1355" spans="1:22">
      <c r="A1355" s="6" t="s">
        <v>1333</v>
      </c>
      <c r="B1355" s="1" t="s">
        <v>68</v>
      </c>
      <c r="C1355" s="29" t="s">
        <v>22</v>
      </c>
      <c r="D1355" s="8" t="s">
        <v>109</v>
      </c>
      <c r="E1355" s="32" t="s">
        <v>27</v>
      </c>
      <c r="F1355" s="31" t="s">
        <v>1334</v>
      </c>
      <c r="G1355" s="142">
        <v>134</v>
      </c>
      <c r="H1355" s="128">
        <v>31</v>
      </c>
      <c r="I1355" s="128">
        <v>12.2</v>
      </c>
      <c r="J1355" s="119" t="s">
        <v>26</v>
      </c>
      <c r="K1355" s="119" t="s">
        <v>26</v>
      </c>
      <c r="L1355" s="119" t="s">
        <v>26</v>
      </c>
      <c r="M1355" s="119" t="s">
        <v>26</v>
      </c>
      <c r="N1355" s="119" t="s">
        <v>26</v>
      </c>
      <c r="O1355" s="128">
        <v>3.2</v>
      </c>
      <c r="P1355" s="119" t="s">
        <v>26</v>
      </c>
      <c r="Q1355" s="128">
        <v>12.2</v>
      </c>
      <c r="R1355" s="119" t="s">
        <v>26</v>
      </c>
      <c r="S1355" s="120" t="s">
        <v>26</v>
      </c>
      <c r="T1355" s="121" t="s">
        <v>26</v>
      </c>
      <c r="U1355" s="123" t="s">
        <v>26</v>
      </c>
      <c r="V1355" s="149">
        <v>125</v>
      </c>
    </row>
    <row r="1356" spans="1:22">
      <c r="A1356" s="6" t="s">
        <v>1333</v>
      </c>
      <c r="B1356" s="1" t="s">
        <v>68</v>
      </c>
      <c r="C1356" s="29" t="s">
        <v>22</v>
      </c>
      <c r="D1356" s="8" t="s">
        <v>109</v>
      </c>
      <c r="E1356" s="32" t="s">
        <v>29</v>
      </c>
      <c r="F1356" s="31" t="s">
        <v>1335</v>
      </c>
      <c r="G1356" s="142">
        <v>47</v>
      </c>
      <c r="H1356" s="128">
        <v>12.3</v>
      </c>
      <c r="I1356" s="128">
        <v>14.2</v>
      </c>
      <c r="J1356" s="128">
        <v>5.5</v>
      </c>
      <c r="K1356" s="119" t="s">
        <v>26</v>
      </c>
      <c r="L1356" s="119" t="s">
        <v>26</v>
      </c>
      <c r="M1356" s="119" t="s">
        <v>26</v>
      </c>
      <c r="N1356" s="119" t="s">
        <v>26</v>
      </c>
      <c r="O1356" s="128">
        <v>4.5</v>
      </c>
      <c r="P1356" s="119" t="s">
        <v>26</v>
      </c>
      <c r="Q1356" s="119" t="s">
        <v>26</v>
      </c>
      <c r="R1356" s="119" t="s">
        <v>26</v>
      </c>
      <c r="S1356" s="120" t="s">
        <v>26</v>
      </c>
      <c r="T1356" s="121" t="s">
        <v>26</v>
      </c>
      <c r="U1356" s="143">
        <v>3073</v>
      </c>
      <c r="V1356" s="147">
        <v>185</v>
      </c>
    </row>
    <row r="1357" spans="1:22">
      <c r="A1357" s="6" t="s">
        <v>1333</v>
      </c>
      <c r="B1357" s="1" t="s">
        <v>68</v>
      </c>
      <c r="C1357" s="29" t="s">
        <v>22</v>
      </c>
      <c r="D1357" s="8" t="s">
        <v>109</v>
      </c>
      <c r="E1357" s="32" t="s">
        <v>31</v>
      </c>
      <c r="F1357" s="31" t="s">
        <v>386</v>
      </c>
      <c r="G1357" s="142">
        <v>17</v>
      </c>
      <c r="H1357" s="146" t="s">
        <v>26</v>
      </c>
      <c r="I1357" s="119" t="s">
        <v>26</v>
      </c>
      <c r="J1357" s="128">
        <v>7</v>
      </c>
      <c r="K1357" s="119" t="s">
        <v>26</v>
      </c>
      <c r="L1357" s="119" t="s">
        <v>26</v>
      </c>
      <c r="M1357" s="119" t="s">
        <v>26</v>
      </c>
      <c r="N1357" s="119" t="s">
        <v>26</v>
      </c>
      <c r="O1357" s="125" t="s">
        <v>26</v>
      </c>
      <c r="P1357" s="119" t="s">
        <v>26</v>
      </c>
      <c r="Q1357" s="119" t="s">
        <v>26</v>
      </c>
      <c r="R1357" s="119" t="s">
        <v>26</v>
      </c>
      <c r="S1357" s="120" t="s">
        <v>26</v>
      </c>
      <c r="T1357" s="121" t="s">
        <v>26</v>
      </c>
      <c r="U1357" s="143">
        <v>812</v>
      </c>
      <c r="V1357" s="147">
        <v>50</v>
      </c>
    </row>
    <row r="1358" spans="1:22">
      <c r="A1358" s="6" t="s">
        <v>1333</v>
      </c>
      <c r="B1358" s="1" t="s">
        <v>63</v>
      </c>
      <c r="C1358" s="29" t="s">
        <v>22</v>
      </c>
      <c r="D1358" s="1" t="s">
        <v>142</v>
      </c>
      <c r="E1358" s="32" t="s">
        <v>27</v>
      </c>
      <c r="F1358" s="31" t="s">
        <v>1336</v>
      </c>
      <c r="G1358" s="142">
        <v>106</v>
      </c>
      <c r="H1358" s="128">
        <v>50.3</v>
      </c>
      <c r="I1358" s="128">
        <v>4.8</v>
      </c>
      <c r="J1358" s="119" t="s">
        <v>26</v>
      </c>
      <c r="K1358" s="119" t="s">
        <v>26</v>
      </c>
      <c r="L1358" s="119" t="s">
        <v>26</v>
      </c>
      <c r="M1358" s="119" t="s">
        <v>26</v>
      </c>
      <c r="N1358" s="119" t="s">
        <v>26</v>
      </c>
      <c r="O1358" s="128">
        <v>3.2</v>
      </c>
      <c r="P1358" s="119" t="s">
        <v>26</v>
      </c>
      <c r="Q1358" s="128">
        <v>10</v>
      </c>
      <c r="R1358" s="119" t="s">
        <v>26</v>
      </c>
      <c r="S1358" s="120" t="s">
        <v>26</v>
      </c>
      <c r="T1358" s="121" t="s">
        <v>26</v>
      </c>
      <c r="U1358" s="123" t="s">
        <v>26</v>
      </c>
      <c r="V1358" s="136" t="s">
        <v>26</v>
      </c>
    </row>
    <row r="1359" spans="1:22">
      <c r="A1359" s="6" t="s">
        <v>1333</v>
      </c>
      <c r="B1359" s="1" t="s">
        <v>63</v>
      </c>
      <c r="C1359" s="29" t="s">
        <v>22</v>
      </c>
      <c r="D1359" s="1" t="s">
        <v>142</v>
      </c>
      <c r="E1359" s="32" t="s">
        <v>29</v>
      </c>
      <c r="F1359" s="31" t="s">
        <v>1337</v>
      </c>
      <c r="G1359" s="142">
        <v>45</v>
      </c>
      <c r="H1359" s="128">
        <v>14.7</v>
      </c>
      <c r="I1359" s="128">
        <v>10.199999999999999</v>
      </c>
      <c r="J1359" s="128">
        <v>8.5</v>
      </c>
      <c r="K1359" s="119" t="s">
        <v>26</v>
      </c>
      <c r="L1359" s="119" t="s">
        <v>26</v>
      </c>
      <c r="M1359" s="119" t="s">
        <v>26</v>
      </c>
      <c r="N1359" s="119" t="s">
        <v>26</v>
      </c>
      <c r="O1359" s="128">
        <v>6.1</v>
      </c>
      <c r="P1359" s="119" t="s">
        <v>26</v>
      </c>
      <c r="Q1359" s="119" t="s">
        <v>26</v>
      </c>
      <c r="R1359" s="119" t="s">
        <v>26</v>
      </c>
      <c r="S1359" s="120" t="s">
        <v>26</v>
      </c>
      <c r="T1359" s="121" t="s">
        <v>26</v>
      </c>
      <c r="U1359" s="123" t="s">
        <v>26</v>
      </c>
      <c r="V1359" s="136" t="s">
        <v>26</v>
      </c>
    </row>
    <row r="1360" spans="1:22">
      <c r="A1360" s="6" t="s">
        <v>1333</v>
      </c>
      <c r="B1360" s="1" t="s">
        <v>63</v>
      </c>
      <c r="C1360" s="29" t="s">
        <v>22</v>
      </c>
      <c r="D1360" s="1" t="s">
        <v>142</v>
      </c>
      <c r="E1360" s="32" t="s">
        <v>31</v>
      </c>
      <c r="F1360" s="31" t="s">
        <v>1213</v>
      </c>
      <c r="G1360" s="142">
        <v>19</v>
      </c>
      <c r="H1360" s="146" t="s">
        <v>26</v>
      </c>
      <c r="I1360" s="119" t="s">
        <v>26</v>
      </c>
      <c r="J1360" s="128">
        <v>19.899999999999999</v>
      </c>
      <c r="K1360" s="119" t="s">
        <v>26</v>
      </c>
      <c r="L1360" s="119" t="s">
        <v>26</v>
      </c>
      <c r="M1360" s="119" t="s">
        <v>26</v>
      </c>
      <c r="N1360" s="119" t="s">
        <v>26</v>
      </c>
      <c r="O1360" s="125" t="s">
        <v>26</v>
      </c>
      <c r="P1360" s="119" t="s">
        <v>26</v>
      </c>
      <c r="Q1360" s="119" t="s">
        <v>26</v>
      </c>
      <c r="R1360" s="119" t="s">
        <v>26</v>
      </c>
      <c r="S1360" s="120" t="s">
        <v>26</v>
      </c>
      <c r="T1360" s="121" t="s">
        <v>26</v>
      </c>
      <c r="U1360" s="123" t="s">
        <v>26</v>
      </c>
      <c r="V1360" s="136" t="s">
        <v>26</v>
      </c>
    </row>
    <row r="1361" spans="1:22">
      <c r="A1361" s="6" t="s">
        <v>1333</v>
      </c>
      <c r="B1361" s="1" t="s">
        <v>320</v>
      </c>
      <c r="C1361" s="29" t="s">
        <v>22</v>
      </c>
      <c r="D1361" s="3" t="s">
        <v>33</v>
      </c>
      <c r="E1361" s="32" t="s">
        <v>27</v>
      </c>
      <c r="F1361" s="31" t="s">
        <v>235</v>
      </c>
      <c r="G1361" s="142">
        <v>126</v>
      </c>
      <c r="H1361" s="128">
        <v>31.8</v>
      </c>
      <c r="I1361" s="119" t="s">
        <v>26</v>
      </c>
      <c r="J1361" s="119" t="s">
        <v>26</v>
      </c>
      <c r="K1361" s="119" t="s">
        <v>26</v>
      </c>
      <c r="L1361" s="119" t="s">
        <v>26</v>
      </c>
      <c r="M1361" s="119" t="s">
        <v>26</v>
      </c>
      <c r="N1361" s="119" t="s">
        <v>26</v>
      </c>
      <c r="O1361" s="128">
        <v>7.9</v>
      </c>
      <c r="P1361" s="119" t="s">
        <v>26</v>
      </c>
      <c r="Q1361" s="119" t="s">
        <v>26</v>
      </c>
      <c r="R1361" s="119" t="s">
        <v>26</v>
      </c>
      <c r="S1361" s="120" t="s">
        <v>26</v>
      </c>
      <c r="T1361" s="121" t="s">
        <v>26</v>
      </c>
      <c r="U1361" s="123" t="s">
        <v>26</v>
      </c>
      <c r="V1361" s="136" t="s">
        <v>26</v>
      </c>
    </row>
    <row r="1362" spans="1:22">
      <c r="A1362" s="6" t="s">
        <v>1333</v>
      </c>
      <c r="B1362" s="1" t="s">
        <v>320</v>
      </c>
      <c r="C1362" s="29" t="s">
        <v>22</v>
      </c>
      <c r="D1362" s="3" t="s">
        <v>33</v>
      </c>
      <c r="E1362" s="32" t="s">
        <v>29</v>
      </c>
      <c r="F1362" s="31" t="s">
        <v>1338</v>
      </c>
      <c r="G1362" s="142">
        <v>47</v>
      </c>
      <c r="H1362" s="128">
        <v>12.2</v>
      </c>
      <c r="I1362" s="128">
        <v>16.3</v>
      </c>
      <c r="J1362" s="128">
        <v>10</v>
      </c>
      <c r="K1362" s="119" t="s">
        <v>26</v>
      </c>
      <c r="L1362" s="119" t="s">
        <v>26</v>
      </c>
      <c r="M1362" s="119" t="s">
        <v>26</v>
      </c>
      <c r="N1362" s="119" t="s">
        <v>26</v>
      </c>
      <c r="O1362" s="128">
        <v>13.2</v>
      </c>
      <c r="P1362" s="119" t="s">
        <v>26</v>
      </c>
      <c r="Q1362" s="119" t="s">
        <v>26</v>
      </c>
      <c r="R1362" s="119" t="s">
        <v>26</v>
      </c>
      <c r="S1362" s="120" t="s">
        <v>26</v>
      </c>
      <c r="T1362" s="121" t="s">
        <v>26</v>
      </c>
      <c r="U1362" s="123" t="s">
        <v>26</v>
      </c>
      <c r="V1362" s="136" t="s">
        <v>26</v>
      </c>
    </row>
    <row r="1363" spans="1:22">
      <c r="A1363" s="6" t="s">
        <v>1333</v>
      </c>
      <c r="B1363" s="1" t="s">
        <v>320</v>
      </c>
      <c r="C1363" s="29" t="s">
        <v>22</v>
      </c>
      <c r="D1363" s="3" t="s">
        <v>33</v>
      </c>
      <c r="E1363" s="32" t="s">
        <v>31</v>
      </c>
      <c r="F1363" s="31" t="s">
        <v>1339</v>
      </c>
      <c r="G1363" s="142">
        <v>18</v>
      </c>
      <c r="H1363" s="146" t="s">
        <v>26</v>
      </c>
      <c r="I1363" s="119" t="s">
        <v>26</v>
      </c>
      <c r="J1363" s="128">
        <v>20.6</v>
      </c>
      <c r="K1363" s="119" t="s">
        <v>26</v>
      </c>
      <c r="L1363" s="119" t="s">
        <v>26</v>
      </c>
      <c r="M1363" s="119" t="s">
        <v>26</v>
      </c>
      <c r="N1363" s="119" t="s">
        <v>26</v>
      </c>
      <c r="O1363" s="128">
        <v>4.8</v>
      </c>
      <c r="P1363" s="119" t="s">
        <v>26</v>
      </c>
      <c r="Q1363" s="119" t="s">
        <v>26</v>
      </c>
      <c r="R1363" s="119" t="s">
        <v>26</v>
      </c>
      <c r="S1363" s="120" t="s">
        <v>26</v>
      </c>
      <c r="T1363" s="121" t="s">
        <v>26</v>
      </c>
      <c r="U1363" s="123" t="s">
        <v>26</v>
      </c>
      <c r="V1363" s="136" t="s">
        <v>26</v>
      </c>
    </row>
    <row r="1364" spans="1:22">
      <c r="A1364" s="6" t="s">
        <v>1333</v>
      </c>
      <c r="B1364" s="1" t="s">
        <v>1340</v>
      </c>
      <c r="C1364" s="29" t="s">
        <v>22</v>
      </c>
      <c r="D1364" s="1" t="s">
        <v>1341</v>
      </c>
      <c r="E1364" s="32" t="s">
        <v>27</v>
      </c>
      <c r="F1364" s="31" t="s">
        <v>649</v>
      </c>
      <c r="G1364" s="142">
        <v>112</v>
      </c>
      <c r="H1364" s="128">
        <v>49.1</v>
      </c>
      <c r="I1364" s="119" t="s">
        <v>26</v>
      </c>
      <c r="J1364" s="119" t="s">
        <v>26</v>
      </c>
      <c r="K1364" s="119" t="s">
        <v>26</v>
      </c>
      <c r="L1364" s="119" t="s">
        <v>26</v>
      </c>
      <c r="M1364" s="119" t="s">
        <v>26</v>
      </c>
      <c r="N1364" s="119" t="s">
        <v>26</v>
      </c>
      <c r="O1364" s="128">
        <v>3.8</v>
      </c>
      <c r="P1364" s="119" t="s">
        <v>26</v>
      </c>
      <c r="Q1364" s="119" t="s">
        <v>26</v>
      </c>
      <c r="R1364" s="119" t="s">
        <v>26</v>
      </c>
      <c r="S1364" s="120" t="s">
        <v>26</v>
      </c>
      <c r="T1364" s="121" t="s">
        <v>26</v>
      </c>
      <c r="U1364" s="123" t="s">
        <v>26</v>
      </c>
      <c r="V1364" s="136" t="s">
        <v>26</v>
      </c>
    </row>
    <row r="1365" spans="1:22">
      <c r="A1365" s="6" t="s">
        <v>1333</v>
      </c>
      <c r="B1365" s="1" t="s">
        <v>1340</v>
      </c>
      <c r="C1365" s="29" t="s">
        <v>22</v>
      </c>
      <c r="D1365" s="1" t="s">
        <v>1341</v>
      </c>
      <c r="E1365" s="32" t="s">
        <v>29</v>
      </c>
      <c r="F1365" s="31" t="s">
        <v>1342</v>
      </c>
      <c r="G1365" s="142">
        <v>40</v>
      </c>
      <c r="H1365" s="128">
        <v>19.7</v>
      </c>
      <c r="I1365" s="128">
        <v>8.6</v>
      </c>
      <c r="J1365" s="128">
        <v>7.3</v>
      </c>
      <c r="K1365" s="119" t="s">
        <v>26</v>
      </c>
      <c r="L1365" s="119" t="s">
        <v>26</v>
      </c>
      <c r="M1365" s="119" t="s">
        <v>26</v>
      </c>
      <c r="N1365" s="119" t="s">
        <v>26</v>
      </c>
      <c r="O1365" s="125" t="s">
        <v>26</v>
      </c>
      <c r="P1365" s="119" t="s">
        <v>26</v>
      </c>
      <c r="Q1365" s="119" t="s">
        <v>26</v>
      </c>
      <c r="R1365" s="119" t="s">
        <v>26</v>
      </c>
      <c r="S1365" s="120" t="s">
        <v>26</v>
      </c>
      <c r="T1365" s="121" t="s">
        <v>26</v>
      </c>
      <c r="U1365" s="123" t="s">
        <v>26</v>
      </c>
      <c r="V1365" s="136" t="s">
        <v>26</v>
      </c>
    </row>
    <row r="1366" spans="1:22">
      <c r="A1366" s="6" t="s">
        <v>1333</v>
      </c>
      <c r="B1366" s="1" t="s">
        <v>1340</v>
      </c>
      <c r="C1366" s="29" t="s">
        <v>22</v>
      </c>
      <c r="D1366" s="1" t="s">
        <v>1341</v>
      </c>
      <c r="E1366" s="32" t="s">
        <v>31</v>
      </c>
      <c r="F1366" s="31" t="s">
        <v>1152</v>
      </c>
      <c r="G1366" s="142">
        <v>16</v>
      </c>
      <c r="H1366" s="146" t="s">
        <v>26</v>
      </c>
      <c r="I1366" s="119" t="s">
        <v>26</v>
      </c>
      <c r="J1366" s="128">
        <v>12.1</v>
      </c>
      <c r="K1366" s="119" t="s">
        <v>26</v>
      </c>
      <c r="L1366" s="119" t="s">
        <v>26</v>
      </c>
      <c r="M1366" s="119" t="s">
        <v>26</v>
      </c>
      <c r="N1366" s="119" t="s">
        <v>26</v>
      </c>
      <c r="O1366" s="125" t="s">
        <v>26</v>
      </c>
      <c r="P1366" s="119" t="s">
        <v>26</v>
      </c>
      <c r="Q1366" s="119" t="s">
        <v>26</v>
      </c>
      <c r="R1366" s="119" t="s">
        <v>26</v>
      </c>
      <c r="S1366" s="120" t="s">
        <v>26</v>
      </c>
      <c r="T1366" s="121" t="s">
        <v>26</v>
      </c>
      <c r="U1366" s="123" t="s">
        <v>26</v>
      </c>
      <c r="V1366" s="136" t="s">
        <v>26</v>
      </c>
    </row>
    <row r="1367" spans="1:22">
      <c r="A1367" s="6" t="s">
        <v>1343</v>
      </c>
      <c r="B1367" s="1" t="s">
        <v>1344</v>
      </c>
      <c r="C1367" s="29" t="s">
        <v>22</v>
      </c>
      <c r="D1367" s="8" t="s">
        <v>109</v>
      </c>
      <c r="E1367" s="32" t="s">
        <v>27</v>
      </c>
      <c r="F1367" s="31" t="s">
        <v>1345</v>
      </c>
      <c r="G1367" s="142">
        <v>138</v>
      </c>
      <c r="H1367" s="128">
        <v>32.5</v>
      </c>
      <c r="I1367" s="128">
        <v>16.899999999999999</v>
      </c>
      <c r="J1367" s="119" t="s">
        <v>26</v>
      </c>
      <c r="K1367" s="119" t="s">
        <v>26</v>
      </c>
      <c r="L1367" s="119" t="s">
        <v>26</v>
      </c>
      <c r="M1367" s="119" t="s">
        <v>26</v>
      </c>
      <c r="N1367" s="119" t="s">
        <v>26</v>
      </c>
      <c r="O1367" s="125" t="s">
        <v>26</v>
      </c>
      <c r="P1367" s="119" t="s">
        <v>26</v>
      </c>
      <c r="Q1367" s="128">
        <v>11.5</v>
      </c>
      <c r="R1367" s="128">
        <v>1.8</v>
      </c>
      <c r="S1367" s="120" t="s">
        <v>26</v>
      </c>
      <c r="T1367" s="121" t="s">
        <v>26</v>
      </c>
      <c r="U1367" s="123" t="s">
        <v>26</v>
      </c>
      <c r="V1367" s="149">
        <v>41</v>
      </c>
    </row>
    <row r="1368" spans="1:22">
      <c r="A1368" s="6" t="s">
        <v>1343</v>
      </c>
      <c r="B1368" s="1" t="s">
        <v>1344</v>
      </c>
      <c r="C1368" s="29" t="s">
        <v>22</v>
      </c>
      <c r="D1368" s="8" t="s">
        <v>109</v>
      </c>
      <c r="E1368" s="32" t="s">
        <v>29</v>
      </c>
      <c r="F1368" s="31" t="s">
        <v>776</v>
      </c>
      <c r="G1368" s="142">
        <v>49</v>
      </c>
      <c r="H1368" s="128">
        <v>15.42</v>
      </c>
      <c r="I1368" s="128">
        <v>17.2</v>
      </c>
      <c r="J1368" s="128">
        <v>3.44</v>
      </c>
      <c r="K1368" s="119" t="s">
        <v>26</v>
      </c>
      <c r="L1368" s="119" t="s">
        <v>26</v>
      </c>
      <c r="M1368" s="119" t="s">
        <v>26</v>
      </c>
      <c r="N1368" s="119" t="s">
        <v>26</v>
      </c>
      <c r="O1368" s="128">
        <v>13.8</v>
      </c>
      <c r="P1368" s="119" t="s">
        <v>26</v>
      </c>
      <c r="Q1368" s="119" t="s">
        <v>26</v>
      </c>
      <c r="R1368" s="119" t="s">
        <v>26</v>
      </c>
      <c r="S1368" s="120" t="s">
        <v>26</v>
      </c>
      <c r="T1368" s="121" t="s">
        <v>26</v>
      </c>
      <c r="U1368" s="143">
        <v>2547</v>
      </c>
      <c r="V1368" s="147">
        <v>72</v>
      </c>
    </row>
    <row r="1369" spans="1:22">
      <c r="A1369" s="6" t="s">
        <v>1343</v>
      </c>
      <c r="B1369" s="1" t="s">
        <v>1344</v>
      </c>
      <c r="C1369" s="29" t="s">
        <v>22</v>
      </c>
      <c r="D1369" s="8" t="s">
        <v>109</v>
      </c>
      <c r="E1369" s="32" t="s">
        <v>31</v>
      </c>
      <c r="F1369" s="31" t="s">
        <v>1346</v>
      </c>
      <c r="G1369" s="142">
        <v>18</v>
      </c>
      <c r="H1369" s="146" t="s">
        <v>26</v>
      </c>
      <c r="I1369" s="128">
        <v>5.8</v>
      </c>
      <c r="J1369" s="128">
        <v>14.3</v>
      </c>
      <c r="K1369" s="119" t="s">
        <v>26</v>
      </c>
      <c r="L1369" s="119" t="s">
        <v>26</v>
      </c>
      <c r="M1369" s="119" t="s">
        <v>26</v>
      </c>
      <c r="N1369" s="119" t="s">
        <v>26</v>
      </c>
      <c r="O1369" s="125" t="s">
        <v>26</v>
      </c>
      <c r="P1369" s="119" t="s">
        <v>26</v>
      </c>
      <c r="Q1369" s="119" t="s">
        <v>26</v>
      </c>
      <c r="R1369" s="119" t="s">
        <v>26</v>
      </c>
      <c r="S1369" s="120" t="s">
        <v>26</v>
      </c>
      <c r="T1369" s="121" t="s">
        <v>26</v>
      </c>
      <c r="U1369" s="143">
        <v>358</v>
      </c>
      <c r="V1369" s="147">
        <v>85</v>
      </c>
    </row>
    <row r="1370" spans="1:22">
      <c r="A1370" s="6" t="s">
        <v>1343</v>
      </c>
      <c r="B1370" s="1" t="s">
        <v>1096</v>
      </c>
      <c r="C1370" s="29" t="s">
        <v>22</v>
      </c>
      <c r="D1370" s="1" t="s">
        <v>142</v>
      </c>
      <c r="E1370" s="32" t="s">
        <v>27</v>
      </c>
      <c r="F1370" s="31" t="s">
        <v>1347</v>
      </c>
      <c r="G1370" s="142">
        <v>142</v>
      </c>
      <c r="H1370" s="128">
        <v>28.5</v>
      </c>
      <c r="I1370" s="128">
        <v>21.4</v>
      </c>
      <c r="J1370" s="128">
        <v>0.7</v>
      </c>
      <c r="K1370" s="119" t="s">
        <v>26</v>
      </c>
      <c r="L1370" s="119" t="s">
        <v>26</v>
      </c>
      <c r="M1370" s="119" t="s">
        <v>26</v>
      </c>
      <c r="N1370" s="119" t="s">
        <v>26</v>
      </c>
      <c r="O1370" s="128">
        <v>2.9</v>
      </c>
      <c r="P1370" s="119" t="s">
        <v>26</v>
      </c>
      <c r="Q1370" s="128">
        <v>14.2</v>
      </c>
      <c r="R1370" s="128">
        <v>2.2000000000000002</v>
      </c>
      <c r="S1370" s="120" t="s">
        <v>26</v>
      </c>
      <c r="T1370" s="121" t="s">
        <v>26</v>
      </c>
      <c r="U1370" s="123" t="s">
        <v>26</v>
      </c>
      <c r="V1370" s="136" t="s">
        <v>26</v>
      </c>
    </row>
    <row r="1371" spans="1:22">
      <c r="A1371" s="6" t="s">
        <v>1343</v>
      </c>
      <c r="B1371" s="1" t="s">
        <v>1096</v>
      </c>
      <c r="C1371" s="29" t="s">
        <v>22</v>
      </c>
      <c r="D1371" s="1" t="s">
        <v>142</v>
      </c>
      <c r="E1371" s="32" t="s">
        <v>29</v>
      </c>
      <c r="F1371" s="31" t="s">
        <v>1348</v>
      </c>
      <c r="G1371" s="142">
        <v>46</v>
      </c>
      <c r="H1371" s="128">
        <v>29.5</v>
      </c>
      <c r="I1371" s="128">
        <v>18.399999999999999</v>
      </c>
      <c r="J1371" s="128">
        <v>2.38</v>
      </c>
      <c r="K1371" s="119" t="s">
        <v>26</v>
      </c>
      <c r="L1371" s="119" t="s">
        <v>26</v>
      </c>
      <c r="M1371" s="119" t="s">
        <v>26</v>
      </c>
      <c r="N1371" s="119" t="s">
        <v>26</v>
      </c>
      <c r="O1371" s="128">
        <v>4.5</v>
      </c>
      <c r="P1371" s="119" t="s">
        <v>26</v>
      </c>
      <c r="Q1371" s="119" t="s">
        <v>26</v>
      </c>
      <c r="R1371" s="119" t="s">
        <v>26</v>
      </c>
      <c r="S1371" s="120" t="s">
        <v>26</v>
      </c>
      <c r="T1371" s="121" t="s">
        <v>26</v>
      </c>
      <c r="U1371" s="123" t="s">
        <v>26</v>
      </c>
      <c r="V1371" s="136" t="s">
        <v>26</v>
      </c>
    </row>
    <row r="1372" spans="1:22">
      <c r="A1372" s="6" t="s">
        <v>1343</v>
      </c>
      <c r="B1372" s="1" t="s">
        <v>1096</v>
      </c>
      <c r="C1372" s="29" t="s">
        <v>22</v>
      </c>
      <c r="D1372" s="1" t="s">
        <v>142</v>
      </c>
      <c r="E1372" s="32" t="s">
        <v>31</v>
      </c>
      <c r="F1372" s="31" t="s">
        <v>1349</v>
      </c>
      <c r="G1372" s="142">
        <v>18</v>
      </c>
      <c r="H1372" s="146" t="s">
        <v>26</v>
      </c>
      <c r="I1372" s="128">
        <v>5.4</v>
      </c>
      <c r="J1372" s="128">
        <v>11.51</v>
      </c>
      <c r="K1372" s="119" t="s">
        <v>26</v>
      </c>
      <c r="L1372" s="119" t="s">
        <v>26</v>
      </c>
      <c r="M1372" s="119" t="s">
        <v>26</v>
      </c>
      <c r="N1372" s="119" t="s">
        <v>26</v>
      </c>
      <c r="O1372" s="125" t="s">
        <v>26</v>
      </c>
      <c r="P1372" s="119" t="s">
        <v>26</v>
      </c>
      <c r="Q1372" s="119" t="s">
        <v>26</v>
      </c>
      <c r="R1372" s="119" t="s">
        <v>26</v>
      </c>
      <c r="S1372" s="120" t="s">
        <v>26</v>
      </c>
      <c r="T1372" s="121" t="s">
        <v>26</v>
      </c>
      <c r="U1372" s="123" t="s">
        <v>26</v>
      </c>
      <c r="V1372" s="136" t="s">
        <v>26</v>
      </c>
    </row>
    <row r="1373" spans="1:22">
      <c r="A1373" s="6" t="s">
        <v>1350</v>
      </c>
      <c r="B1373" s="1" t="s">
        <v>1263</v>
      </c>
      <c r="C1373" s="29" t="s">
        <v>22</v>
      </c>
      <c r="D1373" s="8" t="s">
        <v>109</v>
      </c>
      <c r="E1373" s="32" t="s">
        <v>27</v>
      </c>
      <c r="F1373" s="31" t="s">
        <v>1351</v>
      </c>
      <c r="G1373" s="142">
        <v>135</v>
      </c>
      <c r="H1373" s="128">
        <v>18.7</v>
      </c>
      <c r="I1373" s="128">
        <v>5.2</v>
      </c>
      <c r="J1373" s="119" t="s">
        <v>26</v>
      </c>
      <c r="K1373" s="119" t="s">
        <v>26</v>
      </c>
      <c r="L1373" s="119" t="s">
        <v>26</v>
      </c>
      <c r="M1373" s="119" t="s">
        <v>26</v>
      </c>
      <c r="N1373" s="119" t="s">
        <v>26</v>
      </c>
      <c r="O1373" s="128">
        <v>3.9</v>
      </c>
      <c r="P1373" s="119" t="s">
        <v>26</v>
      </c>
      <c r="Q1373" s="128">
        <v>5.2</v>
      </c>
      <c r="R1373" s="128">
        <v>0.4</v>
      </c>
      <c r="S1373" s="120" t="s">
        <v>26</v>
      </c>
      <c r="T1373" s="151">
        <v>1</v>
      </c>
      <c r="U1373" s="123" t="s">
        <v>26</v>
      </c>
      <c r="V1373" s="149">
        <v>305</v>
      </c>
    </row>
    <row r="1374" spans="1:22">
      <c r="A1374" s="6" t="s">
        <v>1350</v>
      </c>
      <c r="B1374" s="1" t="s">
        <v>1263</v>
      </c>
      <c r="C1374" s="29" t="s">
        <v>22</v>
      </c>
      <c r="D1374" s="8" t="s">
        <v>109</v>
      </c>
      <c r="E1374" s="32" t="s">
        <v>29</v>
      </c>
      <c r="F1374" s="31" t="s">
        <v>1352</v>
      </c>
      <c r="G1374" s="142">
        <v>45</v>
      </c>
      <c r="H1374" s="128">
        <v>16.399999999999999</v>
      </c>
      <c r="I1374" s="128">
        <v>24.6</v>
      </c>
      <c r="J1374" s="128">
        <v>4.8</v>
      </c>
      <c r="K1374" s="119" t="s">
        <v>26</v>
      </c>
      <c r="L1374" s="119" t="s">
        <v>26</v>
      </c>
      <c r="M1374" s="119" t="s">
        <v>26</v>
      </c>
      <c r="N1374" s="119" t="s">
        <v>26</v>
      </c>
      <c r="O1374" s="128">
        <v>4.2</v>
      </c>
      <c r="P1374" s="119" t="s">
        <v>26</v>
      </c>
      <c r="Q1374" s="119" t="s">
        <v>26</v>
      </c>
      <c r="R1374" s="128">
        <v>0.7</v>
      </c>
      <c r="S1374" s="120" t="s">
        <v>26</v>
      </c>
      <c r="T1374" s="121" t="s">
        <v>26</v>
      </c>
      <c r="U1374" s="143">
        <v>2808</v>
      </c>
      <c r="V1374" s="147">
        <v>215</v>
      </c>
    </row>
    <row r="1375" spans="1:22">
      <c r="A1375" s="6" t="s">
        <v>1350</v>
      </c>
      <c r="B1375" s="1" t="s">
        <v>1263</v>
      </c>
      <c r="C1375" s="29" t="s">
        <v>22</v>
      </c>
      <c r="D1375" s="8" t="s">
        <v>109</v>
      </c>
      <c r="E1375" s="32" t="s">
        <v>31</v>
      </c>
      <c r="F1375" s="31" t="s">
        <v>1353</v>
      </c>
      <c r="G1375" s="142">
        <v>16</v>
      </c>
      <c r="H1375" s="128">
        <v>4.2</v>
      </c>
      <c r="I1375" s="128">
        <v>6.5</v>
      </c>
      <c r="J1375" s="128">
        <v>13.6</v>
      </c>
      <c r="K1375" s="119" t="s">
        <v>26</v>
      </c>
      <c r="L1375" s="119" t="s">
        <v>26</v>
      </c>
      <c r="M1375" s="119" t="s">
        <v>26</v>
      </c>
      <c r="N1375" s="119" t="s">
        <v>26</v>
      </c>
      <c r="O1375" s="128">
        <v>2.9</v>
      </c>
      <c r="P1375" s="119" t="s">
        <v>26</v>
      </c>
      <c r="Q1375" s="119" t="s">
        <v>26</v>
      </c>
      <c r="R1375" s="119" t="s">
        <v>26</v>
      </c>
      <c r="S1375" s="128">
        <v>3.7</v>
      </c>
      <c r="T1375" s="121" t="s">
        <v>26</v>
      </c>
      <c r="U1375" s="143">
        <v>218</v>
      </c>
      <c r="V1375" s="147">
        <v>15</v>
      </c>
    </row>
    <row r="1376" spans="1:22">
      <c r="A1376" s="6" t="s">
        <v>1350</v>
      </c>
      <c r="B1376" s="1" t="s">
        <v>68</v>
      </c>
      <c r="C1376" s="29" t="s">
        <v>22</v>
      </c>
      <c r="D1376" s="1" t="s">
        <v>142</v>
      </c>
      <c r="E1376" s="32" t="s">
        <v>27</v>
      </c>
      <c r="F1376" s="31" t="s">
        <v>1354</v>
      </c>
      <c r="G1376" s="142">
        <v>110</v>
      </c>
      <c r="H1376" s="128">
        <v>45.6</v>
      </c>
      <c r="I1376" s="128">
        <v>15.7</v>
      </c>
      <c r="J1376" s="119" t="s">
        <v>26</v>
      </c>
      <c r="K1376" s="119" t="s">
        <v>26</v>
      </c>
      <c r="L1376" s="119" t="s">
        <v>26</v>
      </c>
      <c r="M1376" s="119" t="s">
        <v>26</v>
      </c>
      <c r="N1376" s="119" t="s">
        <v>26</v>
      </c>
      <c r="O1376" s="128">
        <v>4.7</v>
      </c>
      <c r="P1376" s="119" t="s">
        <v>26</v>
      </c>
      <c r="Q1376" s="128">
        <v>3.4</v>
      </c>
      <c r="R1376" s="128">
        <v>0.9</v>
      </c>
      <c r="S1376" s="120" t="s">
        <v>26</v>
      </c>
      <c r="T1376" s="121" t="s">
        <v>26</v>
      </c>
      <c r="U1376" s="123" t="s">
        <v>26</v>
      </c>
      <c r="V1376" s="136" t="s">
        <v>26</v>
      </c>
    </row>
    <row r="1377" spans="1:22">
      <c r="A1377" s="6" t="s">
        <v>1350</v>
      </c>
      <c r="B1377" s="1" t="s">
        <v>68</v>
      </c>
      <c r="C1377" s="29" t="s">
        <v>22</v>
      </c>
      <c r="D1377" s="1" t="s">
        <v>142</v>
      </c>
      <c r="E1377" s="32" t="s">
        <v>29</v>
      </c>
      <c r="F1377" s="31" t="s">
        <v>1355</v>
      </c>
      <c r="G1377" s="142">
        <v>41</v>
      </c>
      <c r="H1377" s="128">
        <v>31.4</v>
      </c>
      <c r="I1377" s="128">
        <v>8.5</v>
      </c>
      <c r="J1377" s="128">
        <v>3.1</v>
      </c>
      <c r="K1377" s="119" t="s">
        <v>26</v>
      </c>
      <c r="L1377" s="119" t="s">
        <v>26</v>
      </c>
      <c r="M1377" s="119" t="s">
        <v>26</v>
      </c>
      <c r="N1377" s="119" t="s">
        <v>26</v>
      </c>
      <c r="O1377" s="128">
        <v>4.3</v>
      </c>
      <c r="P1377" s="119" t="s">
        <v>26</v>
      </c>
      <c r="Q1377" s="119" t="s">
        <v>26</v>
      </c>
      <c r="R1377" s="119" t="s">
        <v>26</v>
      </c>
      <c r="S1377" s="120" t="s">
        <v>26</v>
      </c>
      <c r="T1377" s="121" t="s">
        <v>26</v>
      </c>
      <c r="U1377" s="143">
        <v>2495</v>
      </c>
      <c r="V1377" s="136" t="s">
        <v>26</v>
      </c>
    </row>
    <row r="1378" spans="1:22">
      <c r="A1378" s="6" t="s">
        <v>1350</v>
      </c>
      <c r="B1378" s="1" t="s">
        <v>68</v>
      </c>
      <c r="C1378" s="29" t="s">
        <v>22</v>
      </c>
      <c r="D1378" s="1" t="s">
        <v>142</v>
      </c>
      <c r="E1378" s="32" t="s">
        <v>31</v>
      </c>
      <c r="F1378" s="31" t="s">
        <v>1356</v>
      </c>
      <c r="G1378" s="142">
        <v>14</v>
      </c>
      <c r="H1378" s="128">
        <v>4.5</v>
      </c>
      <c r="I1378" s="119" t="s">
        <v>26</v>
      </c>
      <c r="J1378" s="128">
        <v>17.399999999999999</v>
      </c>
      <c r="K1378" s="119" t="s">
        <v>26</v>
      </c>
      <c r="L1378" s="119" t="s">
        <v>26</v>
      </c>
      <c r="M1378" s="119" t="s">
        <v>26</v>
      </c>
      <c r="N1378" s="119" t="s">
        <v>26</v>
      </c>
      <c r="O1378" s="128">
        <v>3.2</v>
      </c>
      <c r="P1378" s="119" t="s">
        <v>26</v>
      </c>
      <c r="Q1378" s="119" t="s">
        <v>26</v>
      </c>
      <c r="R1378" s="119" t="s">
        <v>26</v>
      </c>
      <c r="S1378" s="120" t="s">
        <v>26</v>
      </c>
      <c r="T1378" s="121" t="s">
        <v>26</v>
      </c>
      <c r="U1378" s="143">
        <v>263</v>
      </c>
      <c r="V1378" s="136" t="s">
        <v>26</v>
      </c>
    </row>
    <row r="1379" spans="1:22">
      <c r="A1379" s="6" t="s">
        <v>1350</v>
      </c>
      <c r="B1379" s="1" t="s">
        <v>1294</v>
      </c>
      <c r="C1379" s="29" t="s">
        <v>22</v>
      </c>
      <c r="D1379" s="3" t="s">
        <v>23</v>
      </c>
      <c r="E1379" s="30" t="s">
        <v>131</v>
      </c>
      <c r="F1379" s="31" t="s">
        <v>949</v>
      </c>
      <c r="G1379" s="142">
        <v>11</v>
      </c>
      <c r="H1379" s="128">
        <v>18.2</v>
      </c>
      <c r="I1379" s="128">
        <v>5.2</v>
      </c>
      <c r="J1379" s="128">
        <v>0.6</v>
      </c>
      <c r="K1379" s="119" t="s">
        <v>26</v>
      </c>
      <c r="L1379" s="119" t="s">
        <v>26</v>
      </c>
      <c r="M1379" s="119" t="s">
        <v>26</v>
      </c>
      <c r="N1379" s="119" t="s">
        <v>26</v>
      </c>
      <c r="O1379" s="125" t="s">
        <v>26</v>
      </c>
      <c r="P1379" s="119" t="s">
        <v>26</v>
      </c>
      <c r="Q1379" s="119" t="s">
        <v>26</v>
      </c>
      <c r="R1379" s="119" t="s">
        <v>26</v>
      </c>
      <c r="S1379" s="128">
        <v>2.1</v>
      </c>
      <c r="T1379" s="121" t="s">
        <v>26</v>
      </c>
      <c r="U1379" s="123" t="s">
        <v>26</v>
      </c>
      <c r="V1379" s="136" t="s">
        <v>26</v>
      </c>
    </row>
    <row r="1380" spans="1:22">
      <c r="A1380" s="6" t="s">
        <v>1357</v>
      </c>
      <c r="B1380" s="1" t="s">
        <v>83</v>
      </c>
      <c r="C1380" s="29" t="s">
        <v>22</v>
      </c>
      <c r="D1380" s="1" t="s">
        <v>142</v>
      </c>
      <c r="E1380" s="32" t="s">
        <v>27</v>
      </c>
      <c r="F1380" s="31" t="s">
        <v>1358</v>
      </c>
      <c r="G1380" s="142">
        <v>110</v>
      </c>
      <c r="H1380" s="128">
        <v>43.8</v>
      </c>
      <c r="I1380" s="128">
        <v>12.4</v>
      </c>
      <c r="J1380" s="128">
        <v>0.5</v>
      </c>
      <c r="K1380" s="119" t="s">
        <v>26</v>
      </c>
      <c r="L1380" s="128">
        <v>0.5</v>
      </c>
      <c r="M1380" s="128">
        <v>0.5</v>
      </c>
      <c r="N1380" s="128">
        <v>0.7</v>
      </c>
      <c r="O1380" s="128">
        <v>3.1</v>
      </c>
      <c r="P1380" s="128">
        <v>1.4</v>
      </c>
      <c r="Q1380" s="128">
        <v>2.6</v>
      </c>
      <c r="R1380" s="128">
        <v>2.6</v>
      </c>
      <c r="S1380" s="128">
        <v>0.4</v>
      </c>
      <c r="T1380" s="121" t="s">
        <v>26</v>
      </c>
      <c r="U1380" s="89">
        <v>297</v>
      </c>
      <c r="V1380" s="149">
        <v>215</v>
      </c>
    </row>
    <row r="1381" spans="1:22">
      <c r="A1381" s="6" t="s">
        <v>1357</v>
      </c>
      <c r="B1381" s="1" t="s">
        <v>83</v>
      </c>
      <c r="C1381" s="29" t="s">
        <v>22</v>
      </c>
      <c r="D1381" s="1" t="s">
        <v>142</v>
      </c>
      <c r="E1381" s="32" t="s">
        <v>29</v>
      </c>
      <c r="F1381" s="31" t="s">
        <v>1359</v>
      </c>
      <c r="G1381" s="142">
        <v>38</v>
      </c>
      <c r="H1381" s="128">
        <v>36.5</v>
      </c>
      <c r="I1381" s="128">
        <v>6.8</v>
      </c>
      <c r="J1381" s="128">
        <v>3.88</v>
      </c>
      <c r="K1381" s="128">
        <v>0.6</v>
      </c>
      <c r="L1381" s="119" t="s">
        <v>26</v>
      </c>
      <c r="M1381" s="119" t="s">
        <v>26</v>
      </c>
      <c r="N1381" s="128">
        <v>0.6</v>
      </c>
      <c r="O1381" s="128">
        <v>3</v>
      </c>
      <c r="P1381" s="128">
        <v>1.1000000000000001</v>
      </c>
      <c r="Q1381" s="128">
        <v>1.5</v>
      </c>
      <c r="R1381" s="128">
        <v>1.8</v>
      </c>
      <c r="S1381" s="128">
        <v>0.6</v>
      </c>
      <c r="T1381" s="121" t="s">
        <v>26</v>
      </c>
      <c r="U1381" s="148">
        <v>2530</v>
      </c>
      <c r="V1381" s="147">
        <v>84</v>
      </c>
    </row>
    <row r="1382" spans="1:22">
      <c r="A1382" s="6" t="s">
        <v>1357</v>
      </c>
      <c r="B1382" s="1" t="s">
        <v>83</v>
      </c>
      <c r="C1382" s="29" t="s">
        <v>22</v>
      </c>
      <c r="D1382" s="1" t="s">
        <v>142</v>
      </c>
      <c r="E1382" s="32" t="s">
        <v>31</v>
      </c>
      <c r="F1382" s="31" t="s">
        <v>135</v>
      </c>
      <c r="G1382" s="142">
        <v>25</v>
      </c>
      <c r="H1382" s="146" t="s">
        <v>26</v>
      </c>
      <c r="I1382" s="128">
        <v>16.5</v>
      </c>
      <c r="J1382" s="128">
        <v>26.2</v>
      </c>
      <c r="K1382" s="119" t="s">
        <v>26</v>
      </c>
      <c r="L1382" s="119" t="s">
        <v>26</v>
      </c>
      <c r="M1382" s="119" t="s">
        <v>26</v>
      </c>
      <c r="N1382" s="119" t="s">
        <v>26</v>
      </c>
      <c r="O1382" s="128">
        <v>1.8</v>
      </c>
      <c r="P1382" s="128">
        <v>0.8</v>
      </c>
      <c r="Q1382" s="119" t="s">
        <v>26</v>
      </c>
      <c r="R1382" s="119" t="s">
        <v>26</v>
      </c>
      <c r="S1382" s="128">
        <v>1.1000000000000001</v>
      </c>
      <c r="T1382" s="121" t="s">
        <v>26</v>
      </c>
      <c r="U1382" s="148">
        <v>394</v>
      </c>
      <c r="V1382" s="147">
        <v>21</v>
      </c>
    </row>
    <row r="1383" spans="1:22">
      <c r="A1383" s="6" t="s">
        <v>1357</v>
      </c>
      <c r="B1383" s="1" t="s">
        <v>119</v>
      </c>
      <c r="C1383" s="29" t="s">
        <v>22</v>
      </c>
      <c r="D1383" s="8" t="s">
        <v>109</v>
      </c>
      <c r="E1383" s="32" t="s">
        <v>27</v>
      </c>
      <c r="F1383" s="30">
        <v>3296</v>
      </c>
      <c r="G1383" s="142">
        <v>111</v>
      </c>
      <c r="H1383" s="128">
        <v>37.799999999999997</v>
      </c>
      <c r="I1383" s="128">
        <v>15.8</v>
      </c>
      <c r="J1383" s="128">
        <v>0.45</v>
      </c>
      <c r="K1383" s="119" t="s">
        <v>26</v>
      </c>
      <c r="L1383" s="119" t="s">
        <v>26</v>
      </c>
      <c r="M1383" s="119" t="s">
        <v>26</v>
      </c>
      <c r="N1383" s="119" t="s">
        <v>26</v>
      </c>
      <c r="O1383" s="128">
        <v>2.8</v>
      </c>
      <c r="P1383" s="128">
        <v>0.7</v>
      </c>
      <c r="Q1383" s="128">
        <v>2.4</v>
      </c>
      <c r="R1383" s="128">
        <v>2.2999999999999998</v>
      </c>
      <c r="S1383" s="128">
        <v>0.9</v>
      </c>
      <c r="T1383" s="121" t="s">
        <v>26</v>
      </c>
      <c r="U1383" s="130">
        <v>322</v>
      </c>
      <c r="V1383" s="136" t="s">
        <v>26</v>
      </c>
    </row>
    <row r="1384" spans="1:22">
      <c r="A1384" s="6" t="s">
        <v>1357</v>
      </c>
      <c r="B1384" s="1" t="s">
        <v>119</v>
      </c>
      <c r="C1384" s="29" t="s">
        <v>22</v>
      </c>
      <c r="D1384" s="8" t="s">
        <v>109</v>
      </c>
      <c r="E1384" s="32" t="s">
        <v>29</v>
      </c>
      <c r="F1384" s="30">
        <v>3092</v>
      </c>
      <c r="G1384" s="142">
        <v>51</v>
      </c>
      <c r="H1384" s="128">
        <v>3.1</v>
      </c>
      <c r="I1384" s="128">
        <v>17.5</v>
      </c>
      <c r="J1384" s="128">
        <v>4.5</v>
      </c>
      <c r="K1384" s="119" t="s">
        <v>26</v>
      </c>
      <c r="L1384" s="119" t="s">
        <v>26</v>
      </c>
      <c r="M1384" s="128">
        <v>0.6</v>
      </c>
      <c r="N1384" s="119" t="s">
        <v>26</v>
      </c>
      <c r="O1384" s="128">
        <v>3.5</v>
      </c>
      <c r="P1384" s="128">
        <v>0.8</v>
      </c>
      <c r="Q1384" s="128">
        <v>1.6</v>
      </c>
      <c r="R1384" s="128">
        <v>1.5</v>
      </c>
      <c r="S1384" s="128">
        <v>1.4</v>
      </c>
      <c r="T1384" s="121" t="s">
        <v>26</v>
      </c>
      <c r="U1384" s="122">
        <v>3092</v>
      </c>
      <c r="V1384" s="136" t="s">
        <v>26</v>
      </c>
    </row>
    <row r="1385" spans="1:22">
      <c r="A1385" s="6" t="s">
        <v>1357</v>
      </c>
      <c r="B1385" s="1" t="s">
        <v>119</v>
      </c>
      <c r="C1385" s="29" t="s">
        <v>22</v>
      </c>
      <c r="D1385" s="8" t="s">
        <v>109</v>
      </c>
      <c r="E1385" s="32" t="s">
        <v>31</v>
      </c>
      <c r="F1385" s="31" t="s">
        <v>1360</v>
      </c>
      <c r="G1385" s="142">
        <v>24</v>
      </c>
      <c r="H1385" s="146" t="s">
        <v>26</v>
      </c>
      <c r="I1385" s="128">
        <v>13.8</v>
      </c>
      <c r="J1385" s="128">
        <v>16</v>
      </c>
      <c r="K1385" s="119" t="s">
        <v>26</v>
      </c>
      <c r="L1385" s="119" t="s">
        <v>26</v>
      </c>
      <c r="M1385" s="119" t="s">
        <v>26</v>
      </c>
      <c r="N1385" s="119" t="s">
        <v>26</v>
      </c>
      <c r="O1385" s="128">
        <v>2.4</v>
      </c>
      <c r="P1385" s="119" t="s">
        <v>26</v>
      </c>
      <c r="Q1385" s="119" t="s">
        <v>26</v>
      </c>
      <c r="R1385" s="119" t="s">
        <v>26</v>
      </c>
      <c r="S1385" s="128">
        <v>2.8</v>
      </c>
      <c r="T1385" s="121" t="s">
        <v>26</v>
      </c>
      <c r="U1385" s="143">
        <v>722</v>
      </c>
      <c r="V1385" s="136" t="s">
        <v>26</v>
      </c>
    </row>
    <row r="1386" spans="1:22">
      <c r="A1386" s="6" t="s">
        <v>1361</v>
      </c>
      <c r="B1386" s="1" t="s">
        <v>1362</v>
      </c>
      <c r="C1386" s="29" t="s">
        <v>22</v>
      </c>
      <c r="D1386" s="3" t="s">
        <v>33</v>
      </c>
      <c r="E1386" s="32" t="s">
        <v>27</v>
      </c>
      <c r="F1386" s="31" t="s">
        <v>1363</v>
      </c>
      <c r="G1386" s="142">
        <v>111</v>
      </c>
      <c r="H1386" s="128">
        <v>30.8</v>
      </c>
      <c r="I1386" s="128">
        <v>14.9</v>
      </c>
      <c r="J1386" s="128">
        <v>2</v>
      </c>
      <c r="K1386" s="128">
        <v>0.6</v>
      </c>
      <c r="L1386" s="128">
        <v>2.9</v>
      </c>
      <c r="M1386" s="128">
        <v>0.4</v>
      </c>
      <c r="N1386" s="128">
        <v>0.6</v>
      </c>
      <c r="O1386" s="128">
        <v>9.65</v>
      </c>
      <c r="P1386" s="128">
        <v>1.8</v>
      </c>
      <c r="Q1386" s="119" t="s">
        <v>26</v>
      </c>
      <c r="R1386" s="128">
        <v>3.4</v>
      </c>
      <c r="S1386" s="128">
        <v>2.2999999999999998</v>
      </c>
      <c r="T1386" s="121">
        <v>2</v>
      </c>
      <c r="U1386" s="130">
        <v>2615</v>
      </c>
      <c r="V1386" s="136" t="s">
        <v>26</v>
      </c>
    </row>
    <row r="1387" spans="1:22">
      <c r="A1387" s="6" t="s">
        <v>1361</v>
      </c>
      <c r="B1387" s="1" t="s">
        <v>1362</v>
      </c>
      <c r="C1387" s="29" t="s">
        <v>22</v>
      </c>
      <c r="D1387" s="3" t="s">
        <v>33</v>
      </c>
      <c r="E1387" s="32" t="s">
        <v>29</v>
      </c>
      <c r="F1387" s="31" t="s">
        <v>1364</v>
      </c>
      <c r="G1387" s="142">
        <v>48</v>
      </c>
      <c r="H1387" s="128">
        <v>3.6</v>
      </c>
      <c r="I1387" s="128">
        <v>12.5</v>
      </c>
      <c r="J1387" s="128">
        <v>6</v>
      </c>
      <c r="K1387" s="128">
        <v>1.2</v>
      </c>
      <c r="L1387" s="128">
        <v>3.1</v>
      </c>
      <c r="M1387" s="128">
        <v>0.6</v>
      </c>
      <c r="N1387" s="128">
        <v>0.8</v>
      </c>
      <c r="O1387" s="128">
        <v>11.6</v>
      </c>
      <c r="P1387" s="128">
        <v>2.2000000000000002</v>
      </c>
      <c r="Q1387" s="119" t="s">
        <v>26</v>
      </c>
      <c r="R1387" s="128">
        <v>2.9</v>
      </c>
      <c r="S1387" s="128">
        <v>3.8</v>
      </c>
      <c r="T1387" s="121" t="s">
        <v>26</v>
      </c>
      <c r="U1387" s="130">
        <v>3173</v>
      </c>
      <c r="V1387" s="136" t="s">
        <v>26</v>
      </c>
    </row>
    <row r="1388" spans="1:22">
      <c r="A1388" s="6" t="s">
        <v>1361</v>
      </c>
      <c r="B1388" s="1" t="s">
        <v>1362</v>
      </c>
      <c r="C1388" s="29" t="s">
        <v>22</v>
      </c>
      <c r="D1388" s="3" t="s">
        <v>33</v>
      </c>
      <c r="E1388" s="32" t="s">
        <v>31</v>
      </c>
      <c r="F1388" s="31" t="s">
        <v>553</v>
      </c>
      <c r="G1388" s="142">
        <v>26</v>
      </c>
      <c r="H1388" s="146" t="s">
        <v>26</v>
      </c>
      <c r="I1388" s="128">
        <v>18.5</v>
      </c>
      <c r="J1388" s="128">
        <v>33.6</v>
      </c>
      <c r="K1388" s="128">
        <v>1.6</v>
      </c>
      <c r="L1388" s="128">
        <v>2.8</v>
      </c>
      <c r="M1388" s="119" t="s">
        <v>26</v>
      </c>
      <c r="N1388" s="119" t="s">
        <v>26</v>
      </c>
      <c r="O1388" s="128">
        <v>8.9</v>
      </c>
      <c r="P1388" s="128">
        <v>2.1</v>
      </c>
      <c r="Q1388" s="119" t="s">
        <v>26</v>
      </c>
      <c r="R1388" s="119" t="s">
        <v>26</v>
      </c>
      <c r="S1388" s="128">
        <v>6.5</v>
      </c>
      <c r="T1388" s="121" t="s">
        <v>26</v>
      </c>
      <c r="U1388" s="130">
        <v>1529</v>
      </c>
      <c r="V1388" s="136" t="s">
        <v>26</v>
      </c>
    </row>
    <row r="1389" spans="1:22">
      <c r="A1389" s="6" t="s">
        <v>1361</v>
      </c>
      <c r="B1389" s="1" t="s">
        <v>1285</v>
      </c>
      <c r="C1389" s="29" t="s">
        <v>22</v>
      </c>
      <c r="D1389" s="3" t="s">
        <v>33</v>
      </c>
      <c r="E1389" s="32" t="s">
        <v>27</v>
      </c>
      <c r="F1389" s="31" t="s">
        <v>355</v>
      </c>
      <c r="G1389" s="142">
        <v>111</v>
      </c>
      <c r="H1389" s="128">
        <v>35.1</v>
      </c>
      <c r="I1389" s="128">
        <v>13.6</v>
      </c>
      <c r="J1389" s="119" t="s">
        <v>26</v>
      </c>
      <c r="K1389" s="119" t="s">
        <v>26</v>
      </c>
      <c r="L1389" s="119" t="s">
        <v>26</v>
      </c>
      <c r="M1389" s="119" t="s">
        <v>26</v>
      </c>
      <c r="N1389" s="119" t="s">
        <v>26</v>
      </c>
      <c r="O1389" s="128">
        <v>3.8</v>
      </c>
      <c r="P1389" s="128">
        <v>1.5</v>
      </c>
      <c r="Q1389" s="119" t="s">
        <v>26</v>
      </c>
      <c r="R1389" s="128">
        <v>2.6</v>
      </c>
      <c r="S1389" s="128">
        <v>0.8</v>
      </c>
      <c r="T1389" s="121" t="s">
        <v>26</v>
      </c>
      <c r="U1389" s="130">
        <v>667</v>
      </c>
      <c r="V1389" s="149">
        <v>208</v>
      </c>
    </row>
    <row r="1390" spans="1:22">
      <c r="A1390" s="6" t="s">
        <v>1361</v>
      </c>
      <c r="B1390" s="1" t="s">
        <v>1285</v>
      </c>
      <c r="C1390" s="29" t="s">
        <v>22</v>
      </c>
      <c r="D1390" s="3" t="s">
        <v>33</v>
      </c>
      <c r="E1390" s="32" t="s">
        <v>29</v>
      </c>
      <c r="F1390" s="31" t="s">
        <v>564</v>
      </c>
      <c r="G1390" s="142">
        <v>43</v>
      </c>
      <c r="H1390" s="128">
        <v>16.7</v>
      </c>
      <c r="I1390" s="128">
        <v>12.5</v>
      </c>
      <c r="J1390" s="128">
        <v>0.6</v>
      </c>
      <c r="K1390" s="119" t="s">
        <v>26</v>
      </c>
      <c r="L1390" s="128">
        <v>0.4</v>
      </c>
      <c r="M1390" s="119" t="s">
        <v>26</v>
      </c>
      <c r="N1390" s="119" t="s">
        <v>26</v>
      </c>
      <c r="O1390" s="128">
        <v>4.8</v>
      </c>
      <c r="P1390" s="128">
        <v>1.6</v>
      </c>
      <c r="Q1390" s="119" t="s">
        <v>26</v>
      </c>
      <c r="R1390" s="128">
        <v>1.8</v>
      </c>
      <c r="S1390" s="128">
        <v>1.8</v>
      </c>
      <c r="T1390" s="121" t="s">
        <v>26</v>
      </c>
      <c r="U1390" s="130">
        <v>817</v>
      </c>
      <c r="V1390" s="147">
        <v>101</v>
      </c>
    </row>
    <row r="1391" spans="1:22">
      <c r="A1391" s="6" t="s">
        <v>1361</v>
      </c>
      <c r="B1391" s="1" t="s">
        <v>1285</v>
      </c>
      <c r="C1391" s="29" t="s">
        <v>22</v>
      </c>
      <c r="D1391" s="3" t="s">
        <v>33</v>
      </c>
      <c r="E1391" s="32" t="s">
        <v>31</v>
      </c>
      <c r="F1391" s="31" t="s">
        <v>1043</v>
      </c>
      <c r="G1391" s="142">
        <v>23</v>
      </c>
      <c r="H1391" s="146" t="s">
        <v>26</v>
      </c>
      <c r="I1391" s="128">
        <v>8.5</v>
      </c>
      <c r="J1391" s="128">
        <v>0.8</v>
      </c>
      <c r="K1391" s="119" t="s">
        <v>26</v>
      </c>
      <c r="L1391" s="119" t="s">
        <v>26</v>
      </c>
      <c r="M1391" s="119" t="s">
        <v>26</v>
      </c>
      <c r="N1391" s="119" t="s">
        <v>26</v>
      </c>
      <c r="O1391" s="128">
        <v>3.9</v>
      </c>
      <c r="P1391" s="119" t="s">
        <v>26</v>
      </c>
      <c r="Q1391" s="119" t="s">
        <v>26</v>
      </c>
      <c r="R1391" s="119" t="s">
        <v>26</v>
      </c>
      <c r="S1391" s="128">
        <v>1.9</v>
      </c>
      <c r="T1391" s="121" t="s">
        <v>26</v>
      </c>
      <c r="U1391" s="130">
        <v>88</v>
      </c>
      <c r="V1391" s="147">
        <v>22</v>
      </c>
    </row>
    <row r="1392" spans="1:22">
      <c r="A1392" s="6" t="s">
        <v>1361</v>
      </c>
      <c r="B1392" s="1" t="s">
        <v>1285</v>
      </c>
      <c r="C1392" s="29" t="s">
        <v>22</v>
      </c>
      <c r="D1392" s="3" t="s">
        <v>23</v>
      </c>
      <c r="E1392" s="32" t="s">
        <v>27</v>
      </c>
      <c r="F1392" s="31" t="s">
        <v>1147</v>
      </c>
      <c r="G1392" s="142">
        <v>112</v>
      </c>
      <c r="H1392" s="128">
        <v>34.5</v>
      </c>
      <c r="I1392" s="128">
        <v>13.8</v>
      </c>
      <c r="J1392" s="119" t="s">
        <v>26</v>
      </c>
      <c r="K1392" s="128">
        <v>0.5</v>
      </c>
      <c r="L1392" s="119" t="s">
        <v>26</v>
      </c>
      <c r="M1392" s="119" t="s">
        <v>26</v>
      </c>
      <c r="N1392" s="119" t="s">
        <v>26</v>
      </c>
      <c r="O1392" s="128">
        <v>3.9</v>
      </c>
      <c r="P1392" s="119" t="s">
        <v>26</v>
      </c>
      <c r="Q1392" s="119" t="s">
        <v>26</v>
      </c>
      <c r="R1392" s="128">
        <v>2.4</v>
      </c>
      <c r="S1392" s="128">
        <v>3.5</v>
      </c>
      <c r="T1392" s="121" t="s">
        <v>26</v>
      </c>
      <c r="U1392" s="89">
        <v>18</v>
      </c>
      <c r="V1392" s="136" t="s">
        <v>26</v>
      </c>
    </row>
    <row r="1393" spans="1:22">
      <c r="A1393" s="6" t="s">
        <v>1361</v>
      </c>
      <c r="B1393" s="1" t="s">
        <v>1285</v>
      </c>
      <c r="C1393" s="29" t="s">
        <v>22</v>
      </c>
      <c r="D1393" s="3" t="s">
        <v>23</v>
      </c>
      <c r="E1393" s="32" t="s">
        <v>29</v>
      </c>
      <c r="F1393" s="31" t="s">
        <v>1365</v>
      </c>
      <c r="G1393" s="142">
        <v>44</v>
      </c>
      <c r="H1393" s="128">
        <v>5.6</v>
      </c>
      <c r="I1393" s="128">
        <v>8.9</v>
      </c>
      <c r="J1393" s="128">
        <v>1</v>
      </c>
      <c r="K1393" s="119" t="s">
        <v>26</v>
      </c>
      <c r="L1393" s="119" t="s">
        <v>26</v>
      </c>
      <c r="M1393" s="119" t="s">
        <v>26</v>
      </c>
      <c r="N1393" s="119" t="s">
        <v>26</v>
      </c>
      <c r="O1393" s="128">
        <v>5.0999999999999996</v>
      </c>
      <c r="P1393" s="119" t="s">
        <v>26</v>
      </c>
      <c r="Q1393" s="119" t="s">
        <v>26</v>
      </c>
      <c r="R1393" s="119" t="s">
        <v>26</v>
      </c>
      <c r="S1393" s="128">
        <v>4.0999999999999996</v>
      </c>
      <c r="T1393" s="121" t="s">
        <v>26</v>
      </c>
      <c r="U1393" s="123" t="s">
        <v>26</v>
      </c>
      <c r="V1393" s="136" t="s">
        <v>26</v>
      </c>
    </row>
    <row r="1394" spans="1:22">
      <c r="A1394" s="6" t="s">
        <v>1361</v>
      </c>
      <c r="B1394" s="1" t="s">
        <v>1285</v>
      </c>
      <c r="C1394" s="29" t="s">
        <v>22</v>
      </c>
      <c r="D1394" s="3" t="s">
        <v>23</v>
      </c>
      <c r="E1394" s="30" t="s">
        <v>131</v>
      </c>
      <c r="F1394" s="31" t="s">
        <v>1366</v>
      </c>
      <c r="G1394" s="142">
        <v>11</v>
      </c>
      <c r="H1394" s="128">
        <v>30.5</v>
      </c>
      <c r="I1394" s="128">
        <v>3.2</v>
      </c>
      <c r="J1394" s="128">
        <v>8.48</v>
      </c>
      <c r="K1394" s="119" t="s">
        <v>26</v>
      </c>
      <c r="L1394" s="119" t="s">
        <v>26</v>
      </c>
      <c r="M1394" s="119" t="s">
        <v>26</v>
      </c>
      <c r="N1394" s="119" t="s">
        <v>26</v>
      </c>
      <c r="O1394" s="128">
        <v>1.2</v>
      </c>
      <c r="P1394" s="119" t="s">
        <v>26</v>
      </c>
      <c r="Q1394" s="119" t="s">
        <v>26</v>
      </c>
      <c r="R1394" s="119" t="s">
        <v>26</v>
      </c>
      <c r="S1394" s="128">
        <v>15.5</v>
      </c>
      <c r="T1394" s="121" t="s">
        <v>26</v>
      </c>
      <c r="U1394" s="143">
        <v>290</v>
      </c>
      <c r="V1394" s="136" t="s">
        <v>26</v>
      </c>
    </row>
    <row r="1395" spans="1:22">
      <c r="A1395" s="6" t="s">
        <v>1361</v>
      </c>
      <c r="B1395" s="1" t="s">
        <v>1285</v>
      </c>
      <c r="C1395" s="29" t="s">
        <v>22</v>
      </c>
      <c r="D1395" s="1" t="s">
        <v>1367</v>
      </c>
      <c r="E1395" s="32" t="s">
        <v>27</v>
      </c>
      <c r="F1395" s="31" t="s">
        <v>634</v>
      </c>
      <c r="G1395" s="142">
        <v>91</v>
      </c>
      <c r="H1395" s="146" t="s">
        <v>26</v>
      </c>
      <c r="I1395" s="119" t="s">
        <v>26</v>
      </c>
      <c r="J1395" s="119" t="s">
        <v>26</v>
      </c>
      <c r="K1395" s="119" t="s">
        <v>26</v>
      </c>
      <c r="L1395" s="119" t="s">
        <v>26</v>
      </c>
      <c r="M1395" s="119" t="s">
        <v>26</v>
      </c>
      <c r="N1395" s="119" t="s">
        <v>26</v>
      </c>
      <c r="O1395" s="125" t="s">
        <v>26</v>
      </c>
      <c r="P1395" s="119" t="s">
        <v>26</v>
      </c>
      <c r="Q1395" s="119" t="s">
        <v>26</v>
      </c>
      <c r="R1395" s="119" t="s">
        <v>26</v>
      </c>
      <c r="S1395" s="120" t="s">
        <v>26</v>
      </c>
      <c r="T1395" s="121" t="s">
        <v>26</v>
      </c>
      <c r="U1395" s="130">
        <v>222</v>
      </c>
      <c r="V1395" s="136" t="s">
        <v>26</v>
      </c>
    </row>
    <row r="1396" spans="1:22">
      <c r="A1396" s="6" t="s">
        <v>1361</v>
      </c>
      <c r="B1396" s="1" t="s">
        <v>1285</v>
      </c>
      <c r="C1396" s="29" t="s">
        <v>22</v>
      </c>
      <c r="D1396" s="1" t="s">
        <v>1367</v>
      </c>
      <c r="E1396" s="32" t="s">
        <v>29</v>
      </c>
      <c r="F1396" s="31" t="s">
        <v>1368</v>
      </c>
      <c r="G1396" s="142">
        <v>33</v>
      </c>
      <c r="H1396" s="146" t="s">
        <v>26</v>
      </c>
      <c r="I1396" s="119" t="s">
        <v>26</v>
      </c>
      <c r="J1396" s="119" t="s">
        <v>26</v>
      </c>
      <c r="K1396" s="119" t="s">
        <v>26</v>
      </c>
      <c r="L1396" s="119" t="s">
        <v>26</v>
      </c>
      <c r="M1396" s="119" t="s">
        <v>26</v>
      </c>
      <c r="N1396" s="119" t="s">
        <v>26</v>
      </c>
      <c r="O1396" s="125" t="s">
        <v>26</v>
      </c>
      <c r="P1396" s="119" t="s">
        <v>26</v>
      </c>
      <c r="Q1396" s="119" t="s">
        <v>26</v>
      </c>
      <c r="R1396" s="119" t="s">
        <v>26</v>
      </c>
      <c r="S1396" s="120" t="s">
        <v>26</v>
      </c>
      <c r="T1396" s="121" t="s">
        <v>26</v>
      </c>
      <c r="U1396" s="130">
        <v>3222</v>
      </c>
      <c r="V1396" s="136" t="s">
        <v>26</v>
      </c>
    </row>
    <row r="1397" spans="1:22">
      <c r="A1397" s="6" t="s">
        <v>1361</v>
      </c>
      <c r="B1397" s="1" t="s">
        <v>1285</v>
      </c>
      <c r="C1397" s="29" t="s">
        <v>22</v>
      </c>
      <c r="D1397" s="1" t="s">
        <v>1367</v>
      </c>
      <c r="E1397" s="32" t="s">
        <v>31</v>
      </c>
      <c r="F1397" s="31" t="s">
        <v>1369</v>
      </c>
      <c r="G1397" s="142">
        <v>15</v>
      </c>
      <c r="H1397" s="146" t="s">
        <v>26</v>
      </c>
      <c r="I1397" s="119" t="s">
        <v>26</v>
      </c>
      <c r="J1397" s="119" t="s">
        <v>26</v>
      </c>
      <c r="K1397" s="119" t="s">
        <v>26</v>
      </c>
      <c r="L1397" s="119" t="s">
        <v>26</v>
      </c>
      <c r="M1397" s="119" t="s">
        <v>26</v>
      </c>
      <c r="N1397" s="119" t="s">
        <v>26</v>
      </c>
      <c r="O1397" s="125" t="s">
        <v>26</v>
      </c>
      <c r="P1397" s="119" t="s">
        <v>26</v>
      </c>
      <c r="Q1397" s="119" t="s">
        <v>26</v>
      </c>
      <c r="R1397" s="119" t="s">
        <v>26</v>
      </c>
      <c r="S1397" s="120" t="s">
        <v>26</v>
      </c>
      <c r="T1397" s="121" t="s">
        <v>26</v>
      </c>
      <c r="U1397" s="130">
        <v>94</v>
      </c>
      <c r="V1397" s="136" t="s">
        <v>26</v>
      </c>
    </row>
    <row r="1398" spans="1:22">
      <c r="A1398" s="6" t="s">
        <v>1361</v>
      </c>
      <c r="B1398" s="1" t="s">
        <v>1285</v>
      </c>
      <c r="C1398" s="29" t="s">
        <v>22</v>
      </c>
      <c r="D1398" s="1" t="s">
        <v>1367</v>
      </c>
      <c r="E1398" s="32" t="s">
        <v>27</v>
      </c>
      <c r="F1398" s="31" t="s">
        <v>634</v>
      </c>
      <c r="G1398" s="142">
        <v>91</v>
      </c>
      <c r="H1398" s="128">
        <v>48.5</v>
      </c>
      <c r="I1398" s="128">
        <v>3.3</v>
      </c>
      <c r="J1398" s="128">
        <v>0.4</v>
      </c>
      <c r="K1398" s="128">
        <v>0.3</v>
      </c>
      <c r="L1398" s="128">
        <v>0.5</v>
      </c>
      <c r="M1398" s="128">
        <v>0.6</v>
      </c>
      <c r="N1398" s="128">
        <v>0.8</v>
      </c>
      <c r="O1398" s="128">
        <v>4.8</v>
      </c>
      <c r="P1398" s="119" t="s">
        <v>26</v>
      </c>
      <c r="Q1398" s="119" t="s">
        <v>26</v>
      </c>
      <c r="R1398" s="128">
        <v>2.5</v>
      </c>
      <c r="S1398" s="128">
        <v>3.8</v>
      </c>
      <c r="T1398" s="121" t="s">
        <v>26</v>
      </c>
      <c r="U1398" s="130">
        <v>228</v>
      </c>
      <c r="V1398" s="136" t="s">
        <v>26</v>
      </c>
    </row>
    <row r="1399" spans="1:22">
      <c r="A1399" s="6" t="s">
        <v>1361</v>
      </c>
      <c r="B1399" s="1" t="s">
        <v>1285</v>
      </c>
      <c r="C1399" s="29" t="s">
        <v>22</v>
      </c>
      <c r="D1399" s="1" t="s">
        <v>1367</v>
      </c>
      <c r="E1399" s="32" t="s">
        <v>29</v>
      </c>
      <c r="F1399" s="31" t="s">
        <v>1368</v>
      </c>
      <c r="G1399" s="142">
        <v>33</v>
      </c>
      <c r="H1399" s="128">
        <v>38.5</v>
      </c>
      <c r="I1399" s="128">
        <v>5.6</v>
      </c>
      <c r="J1399" s="128">
        <v>3.2</v>
      </c>
      <c r="K1399" s="119" t="s">
        <v>26</v>
      </c>
      <c r="L1399" s="128">
        <v>0.8</v>
      </c>
      <c r="M1399" s="128">
        <v>1.4</v>
      </c>
      <c r="N1399" s="128">
        <v>1.2</v>
      </c>
      <c r="O1399" s="128">
        <v>4.8</v>
      </c>
      <c r="P1399" s="119" t="s">
        <v>26</v>
      </c>
      <c r="Q1399" s="119" t="s">
        <v>26</v>
      </c>
      <c r="R1399" s="128">
        <v>1.1000000000000001</v>
      </c>
      <c r="S1399" s="128">
        <v>4.0999999999999996</v>
      </c>
      <c r="T1399" s="121" t="s">
        <v>26</v>
      </c>
      <c r="U1399" s="130">
        <v>300</v>
      </c>
      <c r="V1399" s="136" t="s">
        <v>26</v>
      </c>
    </row>
    <row r="1400" spans="1:22">
      <c r="A1400" s="6" t="s">
        <v>1361</v>
      </c>
      <c r="B1400" s="1" t="s">
        <v>1285</v>
      </c>
      <c r="C1400" s="29" t="s">
        <v>22</v>
      </c>
      <c r="D1400" s="1" t="s">
        <v>1367</v>
      </c>
      <c r="E1400" s="32" t="s">
        <v>31</v>
      </c>
      <c r="F1400" s="31" t="s">
        <v>1369</v>
      </c>
      <c r="G1400" s="142">
        <v>15</v>
      </c>
      <c r="H1400" s="146" t="s">
        <v>26</v>
      </c>
      <c r="I1400" s="128">
        <v>3.2</v>
      </c>
      <c r="J1400" s="128">
        <v>14.1</v>
      </c>
      <c r="K1400" s="119" t="s">
        <v>26</v>
      </c>
      <c r="L1400" s="128">
        <v>1.2</v>
      </c>
      <c r="M1400" s="119" t="s">
        <v>26</v>
      </c>
      <c r="N1400" s="119" t="s">
        <v>26</v>
      </c>
      <c r="O1400" s="128">
        <v>1.1000000000000001</v>
      </c>
      <c r="P1400" s="119" t="s">
        <v>26</v>
      </c>
      <c r="Q1400" s="119" t="s">
        <v>26</v>
      </c>
      <c r="R1400" s="119" t="s">
        <v>26</v>
      </c>
      <c r="S1400" s="128">
        <v>6.4</v>
      </c>
      <c r="T1400" s="121" t="s">
        <v>26</v>
      </c>
      <c r="U1400" s="123" t="s">
        <v>26</v>
      </c>
      <c r="V1400" s="136" t="s">
        <v>26</v>
      </c>
    </row>
    <row r="1401" spans="1:22">
      <c r="A1401" s="6" t="s">
        <v>1361</v>
      </c>
      <c r="B1401" s="1" t="s">
        <v>320</v>
      </c>
      <c r="C1401" s="29" t="s">
        <v>22</v>
      </c>
      <c r="D1401" s="3" t="s">
        <v>23</v>
      </c>
      <c r="E1401" s="32" t="s">
        <v>27</v>
      </c>
      <c r="F1401" s="7" t="s">
        <v>1370</v>
      </c>
      <c r="G1401" s="128">
        <v>130</v>
      </c>
      <c r="H1401" s="128">
        <v>28.5</v>
      </c>
      <c r="I1401" s="128">
        <v>21.4</v>
      </c>
      <c r="J1401" s="119" t="s">
        <v>26</v>
      </c>
      <c r="K1401" s="119" t="s">
        <v>26</v>
      </c>
      <c r="L1401" s="119" t="s">
        <v>26</v>
      </c>
      <c r="M1401" s="119" t="s">
        <v>26</v>
      </c>
      <c r="N1401" s="119" t="s">
        <v>26</v>
      </c>
      <c r="O1401" s="128">
        <v>2.2000000000000002</v>
      </c>
      <c r="P1401" s="119" t="s">
        <v>26</v>
      </c>
      <c r="Q1401" s="119" t="s">
        <v>26</v>
      </c>
      <c r="R1401" s="119" t="s">
        <v>26</v>
      </c>
      <c r="S1401" s="128">
        <v>0.5</v>
      </c>
      <c r="T1401" s="121" t="s">
        <v>26</v>
      </c>
      <c r="U1401" s="89">
        <v>54</v>
      </c>
      <c r="V1401" s="136" t="s">
        <v>26</v>
      </c>
    </row>
    <row r="1402" spans="1:22">
      <c r="A1402" s="6" t="s">
        <v>1361</v>
      </c>
      <c r="B1402" s="1" t="s">
        <v>320</v>
      </c>
      <c r="C1402" s="29" t="s">
        <v>22</v>
      </c>
      <c r="D1402" s="3" t="s">
        <v>23</v>
      </c>
      <c r="E1402" s="32" t="s">
        <v>29</v>
      </c>
      <c r="F1402" s="7" t="s">
        <v>1371</v>
      </c>
      <c r="G1402" s="128">
        <v>55</v>
      </c>
      <c r="H1402" s="146" t="s">
        <v>26</v>
      </c>
      <c r="I1402" s="128">
        <v>25.5</v>
      </c>
      <c r="J1402" s="128">
        <v>0.6</v>
      </c>
      <c r="K1402" s="119" t="s">
        <v>26</v>
      </c>
      <c r="L1402" s="119" t="s">
        <v>26</v>
      </c>
      <c r="M1402" s="119" t="s">
        <v>26</v>
      </c>
      <c r="N1402" s="119" t="s">
        <v>26</v>
      </c>
      <c r="O1402" s="128">
        <v>1.1000000000000001</v>
      </c>
      <c r="P1402" s="119" t="s">
        <v>26</v>
      </c>
      <c r="Q1402" s="119" t="s">
        <v>26</v>
      </c>
      <c r="R1402" s="119" t="s">
        <v>26</v>
      </c>
      <c r="S1402" s="128">
        <v>1.5</v>
      </c>
      <c r="T1402" s="121" t="s">
        <v>26</v>
      </c>
      <c r="U1402" s="123" t="s">
        <v>26</v>
      </c>
      <c r="V1402" s="136" t="s">
        <v>26</v>
      </c>
    </row>
    <row r="1403" spans="1:22">
      <c r="A1403" s="6" t="s">
        <v>1361</v>
      </c>
      <c r="B1403" s="1" t="s">
        <v>320</v>
      </c>
      <c r="C1403" s="29" t="s">
        <v>22</v>
      </c>
      <c r="D1403" s="3" t="s">
        <v>23</v>
      </c>
      <c r="E1403" s="32" t="s">
        <v>31</v>
      </c>
      <c r="F1403" s="7" t="s">
        <v>1150</v>
      </c>
      <c r="G1403" s="128">
        <v>26</v>
      </c>
      <c r="H1403" s="146" t="s">
        <v>26</v>
      </c>
      <c r="I1403" s="128">
        <v>25.5</v>
      </c>
      <c r="J1403" s="128">
        <v>2.2000000000000002</v>
      </c>
      <c r="K1403" s="119" t="s">
        <v>26</v>
      </c>
      <c r="L1403" s="119" t="s">
        <v>26</v>
      </c>
      <c r="M1403" s="119" t="s">
        <v>26</v>
      </c>
      <c r="N1403" s="119" t="s">
        <v>26</v>
      </c>
      <c r="O1403" s="128">
        <v>1.8</v>
      </c>
      <c r="P1403" s="119" t="s">
        <v>26</v>
      </c>
      <c r="Q1403" s="119" t="s">
        <v>26</v>
      </c>
      <c r="R1403" s="128">
        <v>0.4</v>
      </c>
      <c r="S1403" s="128">
        <v>3.8</v>
      </c>
      <c r="T1403" s="121" t="s">
        <v>26</v>
      </c>
      <c r="U1403" s="123" t="s">
        <v>26</v>
      </c>
      <c r="V1403" s="136" t="s">
        <v>26</v>
      </c>
    </row>
    <row r="1404" spans="1:22">
      <c r="A1404" s="6" t="s">
        <v>1361</v>
      </c>
      <c r="B1404" s="1" t="s">
        <v>320</v>
      </c>
      <c r="C1404" s="29" t="s">
        <v>22</v>
      </c>
      <c r="D1404" s="3" t="s">
        <v>23</v>
      </c>
      <c r="E1404" s="1" t="s">
        <v>131</v>
      </c>
      <c r="F1404" s="7" t="s">
        <v>1372</v>
      </c>
      <c r="G1404" s="128">
        <v>11</v>
      </c>
      <c r="H1404" s="128">
        <v>15.2</v>
      </c>
      <c r="I1404" s="128">
        <v>3.8</v>
      </c>
      <c r="J1404" s="128">
        <v>6.8</v>
      </c>
      <c r="K1404" s="119" t="s">
        <v>26</v>
      </c>
      <c r="L1404" s="119" t="s">
        <v>26</v>
      </c>
      <c r="M1404" s="119" t="s">
        <v>26</v>
      </c>
      <c r="N1404" s="119" t="s">
        <v>26</v>
      </c>
      <c r="O1404" s="125" t="s">
        <v>26</v>
      </c>
      <c r="P1404" s="119" t="s">
        <v>26</v>
      </c>
      <c r="Q1404" s="119" t="s">
        <v>26</v>
      </c>
      <c r="R1404" s="119" t="s">
        <v>26</v>
      </c>
      <c r="S1404" s="128">
        <v>30.8</v>
      </c>
      <c r="T1404" s="121" t="s">
        <v>26</v>
      </c>
      <c r="U1404" s="152">
        <v>716</v>
      </c>
      <c r="V1404" s="136" t="s">
        <v>26</v>
      </c>
    </row>
    <row r="1405" spans="1:22">
      <c r="A1405" s="6" t="s">
        <v>1361</v>
      </c>
      <c r="B1405" s="1" t="s">
        <v>320</v>
      </c>
      <c r="C1405" s="29" t="s">
        <v>22</v>
      </c>
      <c r="D1405" s="1" t="s">
        <v>1367</v>
      </c>
      <c r="E1405" s="32" t="s">
        <v>27</v>
      </c>
      <c r="F1405" s="7" t="s">
        <v>1373</v>
      </c>
      <c r="G1405" s="128">
        <v>90</v>
      </c>
      <c r="H1405" s="128">
        <v>49.6</v>
      </c>
      <c r="I1405" s="128">
        <v>3.8</v>
      </c>
      <c r="J1405" s="128">
        <v>0.6</v>
      </c>
      <c r="K1405" s="128">
        <v>0.3</v>
      </c>
      <c r="L1405" s="128">
        <v>0.7</v>
      </c>
      <c r="M1405" s="128">
        <v>0.6</v>
      </c>
      <c r="N1405" s="128">
        <v>0.8</v>
      </c>
      <c r="O1405" s="128">
        <v>4</v>
      </c>
      <c r="P1405" s="119" t="s">
        <v>26</v>
      </c>
      <c r="Q1405" s="119" t="s">
        <v>26</v>
      </c>
      <c r="R1405" s="119" t="s">
        <v>26</v>
      </c>
      <c r="S1405" s="128">
        <v>2.5</v>
      </c>
      <c r="T1405" s="121" t="s">
        <v>26</v>
      </c>
      <c r="U1405" s="123" t="s">
        <v>26</v>
      </c>
      <c r="V1405" s="136" t="s">
        <v>26</v>
      </c>
    </row>
    <row r="1406" spans="1:22">
      <c r="A1406" s="6" t="s">
        <v>1361</v>
      </c>
      <c r="B1406" s="1" t="s">
        <v>320</v>
      </c>
      <c r="C1406" s="29" t="s">
        <v>22</v>
      </c>
      <c r="D1406" s="1" t="s">
        <v>1367</v>
      </c>
      <c r="E1406" s="32" t="s">
        <v>29</v>
      </c>
      <c r="F1406" s="7" t="s">
        <v>1374</v>
      </c>
      <c r="G1406" s="128">
        <v>34</v>
      </c>
      <c r="H1406" s="128">
        <v>37.6</v>
      </c>
      <c r="I1406" s="128">
        <v>7.5</v>
      </c>
      <c r="J1406" s="128">
        <v>3.1</v>
      </c>
      <c r="K1406" s="128">
        <v>0.4</v>
      </c>
      <c r="L1406" s="128">
        <v>0.6</v>
      </c>
      <c r="M1406" s="128">
        <v>0.9</v>
      </c>
      <c r="N1406" s="128">
        <v>0.5</v>
      </c>
      <c r="O1406" s="128">
        <v>4.0999999999999996</v>
      </c>
      <c r="P1406" s="119" t="s">
        <v>26</v>
      </c>
      <c r="Q1406" s="119" t="s">
        <v>26</v>
      </c>
      <c r="R1406" s="119" t="s">
        <v>26</v>
      </c>
      <c r="S1406" s="128">
        <v>1.8</v>
      </c>
      <c r="T1406" s="121" t="s">
        <v>26</v>
      </c>
      <c r="U1406" s="130">
        <v>4191</v>
      </c>
      <c r="V1406" s="136" t="s">
        <v>26</v>
      </c>
    </row>
    <row r="1407" spans="1:22">
      <c r="A1407" s="6" t="s">
        <v>1361</v>
      </c>
      <c r="B1407" s="1" t="s">
        <v>320</v>
      </c>
      <c r="C1407" s="29" t="s">
        <v>22</v>
      </c>
      <c r="D1407" s="1" t="s">
        <v>1367</v>
      </c>
      <c r="E1407" s="32" t="s">
        <v>31</v>
      </c>
      <c r="F1407" s="7" t="s">
        <v>931</v>
      </c>
      <c r="G1407" s="128">
        <v>20</v>
      </c>
      <c r="H1407" s="146" t="s">
        <v>26</v>
      </c>
      <c r="I1407" s="128">
        <v>4.8</v>
      </c>
      <c r="J1407" s="128">
        <v>15.6</v>
      </c>
      <c r="K1407" s="119" t="s">
        <v>26</v>
      </c>
      <c r="L1407" s="128">
        <v>1.1000000000000001</v>
      </c>
      <c r="M1407" s="119" t="s">
        <v>26</v>
      </c>
      <c r="N1407" s="119" t="s">
        <v>26</v>
      </c>
      <c r="O1407" s="128">
        <v>2.5</v>
      </c>
      <c r="P1407" s="119" t="s">
        <v>26</v>
      </c>
      <c r="Q1407" s="119" t="s">
        <v>26</v>
      </c>
      <c r="R1407" s="119" t="s">
        <v>26</v>
      </c>
      <c r="S1407" s="120" t="s">
        <v>26</v>
      </c>
      <c r="T1407" s="121" t="s">
        <v>26</v>
      </c>
      <c r="U1407" s="130">
        <v>463</v>
      </c>
      <c r="V1407" s="136" t="s">
        <v>26</v>
      </c>
    </row>
    <row r="1408" spans="1:22">
      <c r="A1408" s="1" t="s">
        <v>1375</v>
      </c>
      <c r="B1408" s="1" t="s">
        <v>1294</v>
      </c>
      <c r="C1408" s="29" t="s">
        <v>22</v>
      </c>
      <c r="D1408" s="1" t="s">
        <v>142</v>
      </c>
      <c r="E1408" s="32" t="s">
        <v>27</v>
      </c>
      <c r="F1408" s="7" t="s">
        <v>1376</v>
      </c>
      <c r="G1408" s="128">
        <v>125</v>
      </c>
      <c r="H1408" s="128">
        <v>34.799999999999997</v>
      </c>
      <c r="I1408" s="128">
        <v>16.899999999999999</v>
      </c>
      <c r="J1408" s="128">
        <v>0.8</v>
      </c>
      <c r="K1408" s="128">
        <v>0.5</v>
      </c>
      <c r="L1408" s="119" t="s">
        <v>26</v>
      </c>
      <c r="M1408" s="128">
        <v>0.5</v>
      </c>
      <c r="N1408" s="128">
        <v>0.8</v>
      </c>
      <c r="O1408" s="128">
        <v>6</v>
      </c>
      <c r="P1408" s="128">
        <v>0.7</v>
      </c>
      <c r="Q1408" s="119" t="s">
        <v>26</v>
      </c>
      <c r="R1408" s="128">
        <v>3.4</v>
      </c>
      <c r="S1408" s="128">
        <v>1.1000000000000001</v>
      </c>
      <c r="T1408" s="121" t="s">
        <v>26</v>
      </c>
      <c r="U1408" s="89">
        <v>961</v>
      </c>
      <c r="V1408" s="136" t="s">
        <v>26</v>
      </c>
    </row>
    <row r="1409" spans="1:22">
      <c r="A1409" s="1" t="s">
        <v>1375</v>
      </c>
      <c r="B1409" s="1" t="s">
        <v>1294</v>
      </c>
      <c r="C1409" s="29" t="s">
        <v>22</v>
      </c>
      <c r="D1409" s="1" t="s">
        <v>142</v>
      </c>
      <c r="E1409" s="32" t="s">
        <v>29</v>
      </c>
      <c r="F1409" s="7" t="s">
        <v>1377</v>
      </c>
      <c r="G1409" s="128">
        <v>34</v>
      </c>
      <c r="H1409" s="128">
        <v>35.6</v>
      </c>
      <c r="I1409" s="128">
        <v>7.5</v>
      </c>
      <c r="J1409" s="128">
        <v>8.44</v>
      </c>
      <c r="K1409" s="119" t="s">
        <v>26</v>
      </c>
      <c r="L1409" s="128">
        <v>1.6</v>
      </c>
      <c r="M1409" s="128">
        <v>0.9</v>
      </c>
      <c r="N1409" s="128">
        <v>1.6</v>
      </c>
      <c r="O1409" s="128">
        <v>6.2</v>
      </c>
      <c r="P1409" s="128">
        <v>0.5</v>
      </c>
      <c r="Q1409" s="119" t="s">
        <v>26</v>
      </c>
      <c r="R1409" s="128">
        <v>1.6</v>
      </c>
      <c r="S1409" s="128">
        <v>1.8</v>
      </c>
      <c r="T1409" s="121" t="s">
        <v>26</v>
      </c>
      <c r="U1409" s="152">
        <v>3505</v>
      </c>
      <c r="V1409" s="136" t="s">
        <v>26</v>
      </c>
    </row>
    <row r="1410" spans="1:22">
      <c r="A1410" s="1" t="s">
        <v>1375</v>
      </c>
      <c r="B1410" s="1" t="s">
        <v>1294</v>
      </c>
      <c r="C1410" s="29" t="s">
        <v>22</v>
      </c>
      <c r="D1410" s="1" t="s">
        <v>142</v>
      </c>
      <c r="E1410" s="32" t="s">
        <v>31</v>
      </c>
      <c r="F1410" s="7" t="s">
        <v>1378</v>
      </c>
      <c r="G1410" s="128">
        <v>23</v>
      </c>
      <c r="H1410" s="146" t="s">
        <v>26</v>
      </c>
      <c r="I1410" s="128">
        <v>9.6</v>
      </c>
      <c r="J1410" s="128">
        <v>20</v>
      </c>
      <c r="K1410" s="119" t="s">
        <v>26</v>
      </c>
      <c r="L1410" s="128">
        <v>0.7</v>
      </c>
      <c r="M1410" s="119" t="s">
        <v>26</v>
      </c>
      <c r="N1410" s="119" t="s">
        <v>26</v>
      </c>
      <c r="O1410" s="128">
        <v>3.8</v>
      </c>
      <c r="P1410" s="128">
        <v>0.9</v>
      </c>
      <c r="Q1410" s="119" t="s">
        <v>26</v>
      </c>
      <c r="R1410" s="119" t="s">
        <v>26</v>
      </c>
      <c r="S1410" s="128">
        <v>3.1</v>
      </c>
      <c r="T1410" s="121" t="s">
        <v>26</v>
      </c>
      <c r="U1410" s="152">
        <v>1006</v>
      </c>
      <c r="V1410" s="136" t="s">
        <v>26</v>
      </c>
    </row>
    <row r="1411" spans="1:22">
      <c r="A1411" s="1" t="s">
        <v>1375</v>
      </c>
      <c r="B1411" s="1" t="s">
        <v>68</v>
      </c>
      <c r="C1411" s="29" t="s">
        <v>22</v>
      </c>
      <c r="D1411" s="8" t="s">
        <v>109</v>
      </c>
      <c r="E1411" s="32" t="s">
        <v>27</v>
      </c>
      <c r="F1411" s="7" t="s">
        <v>482</v>
      </c>
      <c r="G1411" s="128">
        <v>108</v>
      </c>
      <c r="H1411" s="128">
        <v>45.9</v>
      </c>
      <c r="I1411" s="128">
        <v>11.8</v>
      </c>
      <c r="J1411" s="128">
        <v>0.5</v>
      </c>
      <c r="K1411" s="128">
        <v>0.3</v>
      </c>
      <c r="L1411" s="119" t="s">
        <v>26</v>
      </c>
      <c r="M1411" s="128">
        <v>0.5</v>
      </c>
      <c r="N1411" s="128">
        <v>0.4</v>
      </c>
      <c r="O1411" s="128">
        <v>5.8</v>
      </c>
      <c r="P1411" s="119" t="s">
        <v>26</v>
      </c>
      <c r="Q1411" s="119" t="s">
        <v>26</v>
      </c>
      <c r="R1411" s="128">
        <v>3.1</v>
      </c>
      <c r="S1411" s="128">
        <v>0.9</v>
      </c>
      <c r="T1411" s="121" t="s">
        <v>26</v>
      </c>
      <c r="U1411" s="130">
        <v>1178</v>
      </c>
      <c r="V1411" s="136" t="s">
        <v>26</v>
      </c>
    </row>
    <row r="1412" spans="1:22">
      <c r="A1412" s="1" t="s">
        <v>1375</v>
      </c>
      <c r="B1412" s="1" t="s">
        <v>68</v>
      </c>
      <c r="C1412" s="29" t="s">
        <v>22</v>
      </c>
      <c r="D1412" s="8" t="s">
        <v>109</v>
      </c>
      <c r="E1412" s="32" t="s">
        <v>29</v>
      </c>
      <c r="F1412" s="7" t="s">
        <v>1379</v>
      </c>
      <c r="G1412" s="128">
        <v>44</v>
      </c>
      <c r="H1412" s="128">
        <v>24.8</v>
      </c>
      <c r="I1412" s="128">
        <v>11.6</v>
      </c>
      <c r="J1412" s="128">
        <v>4.97</v>
      </c>
      <c r="K1412" s="119" t="s">
        <v>26</v>
      </c>
      <c r="L1412" s="128">
        <v>0.8</v>
      </c>
      <c r="M1412" s="128">
        <v>0.7</v>
      </c>
      <c r="N1412" s="119" t="s">
        <v>26</v>
      </c>
      <c r="O1412" s="128">
        <v>4.2</v>
      </c>
      <c r="P1412" s="119" t="s">
        <v>26</v>
      </c>
      <c r="Q1412" s="119" t="s">
        <v>26</v>
      </c>
      <c r="R1412" s="128">
        <v>2.6</v>
      </c>
      <c r="S1412" s="128">
        <v>1.9</v>
      </c>
      <c r="T1412" s="121" t="s">
        <v>26</v>
      </c>
      <c r="U1412" s="130">
        <v>3048</v>
      </c>
      <c r="V1412" s="136" t="s">
        <v>26</v>
      </c>
    </row>
    <row r="1413" spans="1:22">
      <c r="A1413" s="1" t="s">
        <v>1375</v>
      </c>
      <c r="B1413" s="1" t="s">
        <v>68</v>
      </c>
      <c r="C1413" s="29" t="s">
        <v>22</v>
      </c>
      <c r="D1413" s="8" t="s">
        <v>109</v>
      </c>
      <c r="E1413" s="32" t="s">
        <v>31</v>
      </c>
      <c r="F1413" s="7" t="s">
        <v>1380</v>
      </c>
      <c r="G1413" s="128">
        <v>25</v>
      </c>
      <c r="H1413" s="146" t="s">
        <v>26</v>
      </c>
      <c r="I1413" s="128">
        <v>8.9</v>
      </c>
      <c r="J1413" s="128">
        <v>17.8</v>
      </c>
      <c r="K1413" s="119" t="s">
        <v>26</v>
      </c>
      <c r="L1413" s="128">
        <v>0.5</v>
      </c>
      <c r="M1413" s="119" t="s">
        <v>26</v>
      </c>
      <c r="N1413" s="119" t="s">
        <v>26</v>
      </c>
      <c r="O1413" s="128">
        <v>2.8</v>
      </c>
      <c r="P1413" s="119" t="s">
        <v>26</v>
      </c>
      <c r="Q1413" s="119" t="s">
        <v>26</v>
      </c>
      <c r="R1413" s="119" t="s">
        <v>26</v>
      </c>
      <c r="S1413" s="128">
        <v>6.8</v>
      </c>
      <c r="T1413" s="121" t="s">
        <v>26</v>
      </c>
      <c r="U1413" s="130">
        <v>1459</v>
      </c>
      <c r="V1413" s="136" t="s">
        <v>26</v>
      </c>
    </row>
    <row r="1414" spans="1:22">
      <c r="A1414" s="1" t="s">
        <v>1375</v>
      </c>
      <c r="B1414" s="1" t="s">
        <v>83</v>
      </c>
      <c r="C1414" s="29" t="s">
        <v>22</v>
      </c>
      <c r="D1414" s="1" t="s">
        <v>1341</v>
      </c>
      <c r="E1414" s="32" t="s">
        <v>27</v>
      </c>
      <c r="F1414" s="7" t="s">
        <v>628</v>
      </c>
      <c r="G1414" s="128">
        <v>85</v>
      </c>
      <c r="H1414" s="128">
        <v>58.9</v>
      </c>
      <c r="I1414" s="128">
        <v>2.4</v>
      </c>
      <c r="J1414" s="128">
        <v>0.6</v>
      </c>
      <c r="K1414" s="119" t="s">
        <v>26</v>
      </c>
      <c r="L1414" s="119" t="s">
        <v>26</v>
      </c>
      <c r="M1414" s="119" t="s">
        <v>26</v>
      </c>
      <c r="N1414" s="128">
        <v>0.5</v>
      </c>
      <c r="O1414" s="128">
        <v>5.7</v>
      </c>
      <c r="P1414" s="119" t="s">
        <v>26</v>
      </c>
      <c r="Q1414" s="119" t="s">
        <v>26</v>
      </c>
      <c r="R1414" s="128">
        <v>2.1</v>
      </c>
      <c r="S1414" s="128">
        <v>4.5</v>
      </c>
      <c r="T1414" s="121" t="s">
        <v>26</v>
      </c>
      <c r="U1414" s="130">
        <v>756</v>
      </c>
      <c r="V1414" s="136" t="s">
        <v>26</v>
      </c>
    </row>
    <row r="1415" spans="1:22">
      <c r="A1415" s="1" t="s">
        <v>1375</v>
      </c>
      <c r="B1415" s="1" t="s">
        <v>83</v>
      </c>
      <c r="C1415" s="29" t="s">
        <v>22</v>
      </c>
      <c r="D1415" s="1" t="s">
        <v>1341</v>
      </c>
      <c r="E1415" s="32" t="s">
        <v>29</v>
      </c>
      <c r="F1415" s="7" t="s">
        <v>806</v>
      </c>
      <c r="G1415" s="128">
        <v>33</v>
      </c>
      <c r="H1415" s="128">
        <v>38.5</v>
      </c>
      <c r="I1415" s="128">
        <v>6.8</v>
      </c>
      <c r="J1415" s="128">
        <v>4.7</v>
      </c>
      <c r="K1415" s="119" t="s">
        <v>26</v>
      </c>
      <c r="L1415" s="128">
        <v>0.9</v>
      </c>
      <c r="M1415" s="119" t="s">
        <v>26</v>
      </c>
      <c r="N1415" s="119" t="s">
        <v>26</v>
      </c>
      <c r="O1415" s="128">
        <v>4.5</v>
      </c>
      <c r="P1415" s="119" t="s">
        <v>26</v>
      </c>
      <c r="Q1415" s="119" t="s">
        <v>26</v>
      </c>
      <c r="R1415" s="128">
        <v>1.8</v>
      </c>
      <c r="S1415" s="128">
        <v>7.5</v>
      </c>
      <c r="T1415" s="121" t="s">
        <v>26</v>
      </c>
      <c r="U1415" s="130">
        <v>2105</v>
      </c>
      <c r="V1415" s="136" t="s">
        <v>26</v>
      </c>
    </row>
    <row r="1416" spans="1:22">
      <c r="A1416" s="1" t="s">
        <v>1375</v>
      </c>
      <c r="B1416" s="1" t="s">
        <v>83</v>
      </c>
      <c r="C1416" s="29" t="s">
        <v>22</v>
      </c>
      <c r="D1416" s="1" t="s">
        <v>1341</v>
      </c>
      <c r="E1416" s="32" t="s">
        <v>31</v>
      </c>
      <c r="F1416" s="7" t="s">
        <v>1381</v>
      </c>
      <c r="G1416" s="128">
        <v>17</v>
      </c>
      <c r="H1416" s="146" t="s">
        <v>26</v>
      </c>
      <c r="I1416" s="128">
        <v>3.1</v>
      </c>
      <c r="J1416" s="128">
        <v>19.100000000000001</v>
      </c>
      <c r="K1416" s="119" t="s">
        <v>26</v>
      </c>
      <c r="L1416" s="128">
        <v>1.1000000000000001</v>
      </c>
      <c r="M1416" s="119" t="s">
        <v>26</v>
      </c>
      <c r="N1416" s="119" t="s">
        <v>26</v>
      </c>
      <c r="O1416" s="128">
        <v>2.8</v>
      </c>
      <c r="P1416" s="119" t="s">
        <v>26</v>
      </c>
      <c r="Q1416" s="119" t="s">
        <v>26</v>
      </c>
      <c r="R1416" s="119" t="s">
        <v>26</v>
      </c>
      <c r="S1416" s="128">
        <v>19.5</v>
      </c>
      <c r="T1416" s="121" t="s">
        <v>26</v>
      </c>
      <c r="U1416" s="130">
        <v>1217</v>
      </c>
      <c r="V1416" s="136" t="s">
        <v>26</v>
      </c>
    </row>
    <row r="1417" spans="1:22">
      <c r="A1417" s="1" t="s">
        <v>1375</v>
      </c>
      <c r="B1417" s="1" t="s">
        <v>39</v>
      </c>
      <c r="C1417" s="29" t="s">
        <v>22</v>
      </c>
      <c r="D1417" s="1" t="s">
        <v>1341</v>
      </c>
      <c r="E1417" s="32" t="s">
        <v>27</v>
      </c>
      <c r="F1417" s="7" t="s">
        <v>1382</v>
      </c>
      <c r="G1417" s="128">
        <v>102</v>
      </c>
      <c r="H1417" s="128">
        <v>45.8</v>
      </c>
      <c r="I1417" s="128">
        <v>5.6</v>
      </c>
      <c r="J1417" s="128">
        <v>1.3</v>
      </c>
      <c r="K1417" s="119" t="s">
        <v>26</v>
      </c>
      <c r="L1417" s="128">
        <v>15.5</v>
      </c>
      <c r="M1417" s="128">
        <v>4.8</v>
      </c>
      <c r="N1417" s="119" t="s">
        <v>26</v>
      </c>
      <c r="O1417" s="128">
        <v>5.2</v>
      </c>
      <c r="P1417" s="128">
        <v>1.2</v>
      </c>
      <c r="Q1417" s="119" t="s">
        <v>26</v>
      </c>
      <c r="R1417" s="128">
        <v>2.6</v>
      </c>
      <c r="S1417" s="128">
        <v>4.5</v>
      </c>
      <c r="T1417" s="121" t="s">
        <v>26</v>
      </c>
      <c r="U1417" s="123" t="s">
        <v>26</v>
      </c>
      <c r="V1417" s="149">
        <v>228</v>
      </c>
    </row>
    <row r="1418" spans="1:22">
      <c r="A1418" s="1" t="s">
        <v>1375</v>
      </c>
      <c r="B1418" s="1" t="s">
        <v>39</v>
      </c>
      <c r="C1418" s="29" t="s">
        <v>22</v>
      </c>
      <c r="D1418" s="1" t="s">
        <v>1341</v>
      </c>
      <c r="E1418" s="32" t="s">
        <v>29</v>
      </c>
      <c r="F1418" s="7" t="s">
        <v>827</v>
      </c>
      <c r="G1418" s="128">
        <v>33</v>
      </c>
      <c r="H1418" s="128">
        <v>39.5</v>
      </c>
      <c r="I1418" s="128">
        <v>5.6</v>
      </c>
      <c r="J1418" s="128">
        <v>6</v>
      </c>
      <c r="K1418" s="119" t="s">
        <v>26</v>
      </c>
      <c r="L1418" s="128">
        <v>10.5</v>
      </c>
      <c r="M1418" s="128">
        <v>5.4</v>
      </c>
      <c r="N1418" s="119" t="s">
        <v>26</v>
      </c>
      <c r="O1418" s="128">
        <v>3.8</v>
      </c>
      <c r="P1418" s="128">
        <v>0.9</v>
      </c>
      <c r="Q1418" s="119" t="s">
        <v>26</v>
      </c>
      <c r="R1418" s="128">
        <v>1.5</v>
      </c>
      <c r="S1418" s="128">
        <v>9.8000000000000007</v>
      </c>
      <c r="T1418" s="121" t="s">
        <v>26</v>
      </c>
      <c r="U1418" s="130">
        <v>1607</v>
      </c>
      <c r="V1418" s="147">
        <v>74</v>
      </c>
    </row>
    <row r="1419" spans="1:22">
      <c r="A1419" s="1" t="s">
        <v>1375</v>
      </c>
      <c r="B1419" s="1" t="s">
        <v>39</v>
      </c>
      <c r="C1419" s="29" t="s">
        <v>22</v>
      </c>
      <c r="D1419" s="1" t="s">
        <v>1341</v>
      </c>
      <c r="E1419" s="32" t="s">
        <v>27</v>
      </c>
      <c r="F1419" s="7" t="s">
        <v>1383</v>
      </c>
      <c r="G1419" s="128">
        <v>118</v>
      </c>
      <c r="H1419" s="128">
        <v>34.5</v>
      </c>
      <c r="I1419" s="128">
        <v>17.8</v>
      </c>
      <c r="J1419" s="128">
        <v>2.2999999999999998</v>
      </c>
      <c r="K1419" s="128">
        <v>0.6</v>
      </c>
      <c r="L1419" s="128">
        <v>18.5</v>
      </c>
      <c r="M1419" s="128">
        <v>5.8</v>
      </c>
      <c r="N1419" s="119" t="s">
        <v>26</v>
      </c>
      <c r="O1419" s="128">
        <v>4.9000000000000004</v>
      </c>
      <c r="P1419" s="128">
        <v>1.4</v>
      </c>
      <c r="Q1419" s="119" t="s">
        <v>26</v>
      </c>
      <c r="R1419" s="128">
        <v>3.4</v>
      </c>
      <c r="S1419" s="128">
        <v>1.6</v>
      </c>
      <c r="T1419" s="121" t="s">
        <v>26</v>
      </c>
      <c r="U1419" s="130">
        <v>1025</v>
      </c>
      <c r="V1419" s="147">
        <v>35</v>
      </c>
    </row>
    <row r="1420" spans="1:22">
      <c r="A1420" s="1" t="s">
        <v>1375</v>
      </c>
      <c r="B1420" s="1" t="s">
        <v>39</v>
      </c>
      <c r="C1420" s="29" t="s">
        <v>22</v>
      </c>
      <c r="D1420" s="1" t="s">
        <v>1341</v>
      </c>
      <c r="E1420" s="32" t="s">
        <v>29</v>
      </c>
      <c r="F1420" s="7" t="s">
        <v>721</v>
      </c>
      <c r="G1420" s="128">
        <v>45</v>
      </c>
      <c r="H1420" s="128">
        <v>5.6</v>
      </c>
      <c r="I1420" s="128">
        <v>13.5</v>
      </c>
      <c r="J1420" s="128">
        <v>4.3</v>
      </c>
      <c r="K1420" s="128">
        <v>0.7</v>
      </c>
      <c r="L1420" s="128">
        <v>10.6</v>
      </c>
      <c r="M1420" s="128">
        <v>7.5</v>
      </c>
      <c r="N1420" s="119" t="s">
        <v>26</v>
      </c>
      <c r="O1420" s="128">
        <v>6.5</v>
      </c>
      <c r="P1420" s="128">
        <v>1.8</v>
      </c>
      <c r="Q1420" s="119" t="s">
        <v>26</v>
      </c>
      <c r="R1420" s="128">
        <v>1.5</v>
      </c>
      <c r="S1420" s="128">
        <v>1.4</v>
      </c>
      <c r="T1420" s="121" t="s">
        <v>26</v>
      </c>
      <c r="U1420" s="130">
        <v>931</v>
      </c>
      <c r="V1420" s="136" t="s">
        <v>26</v>
      </c>
    </row>
    <row r="1421" spans="1:22">
      <c r="A1421" s="1" t="s">
        <v>1375</v>
      </c>
      <c r="B1421" s="1" t="s">
        <v>39</v>
      </c>
      <c r="C1421" s="29" t="s">
        <v>22</v>
      </c>
      <c r="D1421" s="1" t="s">
        <v>1341</v>
      </c>
      <c r="E1421" s="32" t="s">
        <v>31</v>
      </c>
      <c r="F1421" s="7" t="s">
        <v>1384</v>
      </c>
      <c r="G1421" s="128">
        <v>26</v>
      </c>
      <c r="H1421" s="146" t="s">
        <v>26</v>
      </c>
      <c r="I1421" s="128">
        <v>14.5</v>
      </c>
      <c r="J1421" s="128">
        <v>14.3</v>
      </c>
      <c r="K1421" s="128">
        <v>0.4</v>
      </c>
      <c r="L1421" s="128">
        <v>5.6</v>
      </c>
      <c r="M1421" s="128">
        <v>8.1</v>
      </c>
      <c r="N1421" s="119" t="s">
        <v>26</v>
      </c>
      <c r="O1421" s="128">
        <v>4.5</v>
      </c>
      <c r="P1421" s="119" t="s">
        <v>26</v>
      </c>
      <c r="Q1421" s="119" t="s">
        <v>26</v>
      </c>
      <c r="R1421" s="119" t="s">
        <v>26</v>
      </c>
      <c r="S1421" s="128">
        <v>3.2</v>
      </c>
      <c r="T1421" s="121" t="s">
        <v>26</v>
      </c>
      <c r="U1421" s="130">
        <v>430</v>
      </c>
      <c r="V1421" s="136" t="s">
        <v>26</v>
      </c>
    </row>
    <row r="1422" spans="1:22">
      <c r="A1422" s="1" t="s">
        <v>1385</v>
      </c>
      <c r="B1422" s="1" t="s">
        <v>320</v>
      </c>
      <c r="C1422" s="29" t="s">
        <v>22</v>
      </c>
      <c r="D1422" s="1" t="s">
        <v>142</v>
      </c>
      <c r="E1422" s="32" t="s">
        <v>27</v>
      </c>
      <c r="F1422" s="7" t="s">
        <v>1244</v>
      </c>
      <c r="G1422" s="128">
        <v>118</v>
      </c>
      <c r="H1422" s="128">
        <v>34.5</v>
      </c>
      <c r="I1422" s="128">
        <v>16.899999999999999</v>
      </c>
      <c r="J1422" s="128">
        <v>0.4</v>
      </c>
      <c r="K1422" s="119" t="s">
        <v>26</v>
      </c>
      <c r="L1422" s="128">
        <v>0.3</v>
      </c>
      <c r="M1422" s="128">
        <v>0.9</v>
      </c>
      <c r="N1422" s="119" t="s">
        <v>26</v>
      </c>
      <c r="O1422" s="128">
        <v>1.6</v>
      </c>
      <c r="P1422" s="119" t="s">
        <v>26</v>
      </c>
      <c r="Q1422" s="119" t="s">
        <v>26</v>
      </c>
      <c r="R1422" s="128">
        <v>2.4</v>
      </c>
      <c r="S1422" s="128">
        <v>3.1</v>
      </c>
      <c r="T1422" s="121" t="s">
        <v>26</v>
      </c>
      <c r="U1422" s="130">
        <v>190</v>
      </c>
      <c r="V1422" s="149">
        <v>225</v>
      </c>
    </row>
    <row r="1423" spans="1:22">
      <c r="A1423" s="1" t="s">
        <v>1385</v>
      </c>
      <c r="B1423" s="1" t="s">
        <v>320</v>
      </c>
      <c r="C1423" s="29" t="s">
        <v>22</v>
      </c>
      <c r="D1423" s="1" t="s">
        <v>142</v>
      </c>
      <c r="E1423" s="32" t="s">
        <v>29</v>
      </c>
      <c r="F1423" s="7" t="s">
        <v>264</v>
      </c>
      <c r="G1423" s="128">
        <v>45</v>
      </c>
      <c r="H1423" s="128">
        <v>4.5</v>
      </c>
      <c r="I1423" s="128">
        <v>6.5</v>
      </c>
      <c r="J1423" s="128">
        <v>3.76</v>
      </c>
      <c r="K1423" s="119" t="s">
        <v>26</v>
      </c>
      <c r="L1423" s="128">
        <v>0.8</v>
      </c>
      <c r="M1423" s="128">
        <v>1.5</v>
      </c>
      <c r="N1423" s="119" t="s">
        <v>26</v>
      </c>
      <c r="O1423" s="128">
        <v>1.8</v>
      </c>
      <c r="P1423" s="119" t="s">
        <v>26</v>
      </c>
      <c r="Q1423" s="119" t="s">
        <v>26</v>
      </c>
      <c r="R1423" s="128">
        <v>1.2</v>
      </c>
      <c r="S1423" s="128">
        <v>4.0999999999999996</v>
      </c>
      <c r="T1423" s="121" t="s">
        <v>26</v>
      </c>
      <c r="U1423" s="130">
        <v>823</v>
      </c>
      <c r="V1423" s="147">
        <v>65</v>
      </c>
    </row>
    <row r="1424" spans="1:22">
      <c r="A1424" s="1" t="s">
        <v>1385</v>
      </c>
      <c r="B1424" s="1" t="s">
        <v>320</v>
      </c>
      <c r="C1424" s="29" t="s">
        <v>22</v>
      </c>
      <c r="D1424" s="1" t="s">
        <v>142</v>
      </c>
      <c r="E1424" s="32" t="s">
        <v>31</v>
      </c>
      <c r="F1424" s="7" t="s">
        <v>1386</v>
      </c>
      <c r="G1424" s="128">
        <v>25</v>
      </c>
      <c r="H1424" s="146" t="s">
        <v>26</v>
      </c>
      <c r="I1424" s="128">
        <v>15.5</v>
      </c>
      <c r="J1424" s="128">
        <v>20.100000000000001</v>
      </c>
      <c r="K1424" s="119" t="s">
        <v>26</v>
      </c>
      <c r="L1424" s="128">
        <v>0.6</v>
      </c>
      <c r="M1424" s="128">
        <v>4.5</v>
      </c>
      <c r="N1424" s="119" t="s">
        <v>26</v>
      </c>
      <c r="O1424" s="125" t="s">
        <v>26</v>
      </c>
      <c r="P1424" s="119" t="s">
        <v>26</v>
      </c>
      <c r="Q1424" s="119" t="s">
        <v>26</v>
      </c>
      <c r="R1424" s="119" t="s">
        <v>26</v>
      </c>
      <c r="S1424" s="128">
        <v>15.8</v>
      </c>
      <c r="T1424" s="121" t="s">
        <v>26</v>
      </c>
      <c r="U1424" s="130">
        <v>352</v>
      </c>
      <c r="V1424" s="147">
        <v>620</v>
      </c>
    </row>
    <row r="1425" spans="1:22">
      <c r="A1425" s="1" t="s">
        <v>1385</v>
      </c>
      <c r="B1425" s="1" t="s">
        <v>320</v>
      </c>
      <c r="C1425" s="29" t="s">
        <v>22</v>
      </c>
      <c r="D1425" s="1" t="s">
        <v>1367</v>
      </c>
      <c r="E1425" s="32" t="s">
        <v>27</v>
      </c>
      <c r="F1425" s="7" t="s">
        <v>996</v>
      </c>
      <c r="G1425" s="128">
        <v>88</v>
      </c>
      <c r="H1425" s="128">
        <v>53.5</v>
      </c>
      <c r="I1425" s="128">
        <v>2.4</v>
      </c>
      <c r="J1425" s="128">
        <v>0.5</v>
      </c>
      <c r="K1425" s="119" t="s">
        <v>26</v>
      </c>
      <c r="L1425" s="128">
        <v>0.3</v>
      </c>
      <c r="M1425" s="128">
        <v>0.9</v>
      </c>
      <c r="N1425" s="119" t="s">
        <v>26</v>
      </c>
      <c r="O1425" s="128">
        <v>1.9</v>
      </c>
      <c r="P1425" s="119" t="s">
        <v>26</v>
      </c>
      <c r="Q1425" s="119" t="s">
        <v>26</v>
      </c>
      <c r="R1425" s="128">
        <v>2.5</v>
      </c>
      <c r="S1425" s="128">
        <v>3.6</v>
      </c>
      <c r="T1425" s="121" t="s">
        <v>26</v>
      </c>
      <c r="U1425" s="130">
        <v>500</v>
      </c>
      <c r="V1425" s="136" t="s">
        <v>26</v>
      </c>
    </row>
    <row r="1426" spans="1:22">
      <c r="A1426" s="1" t="s">
        <v>1385</v>
      </c>
      <c r="B1426" s="1" t="s">
        <v>320</v>
      </c>
      <c r="C1426" s="29" t="s">
        <v>22</v>
      </c>
      <c r="D1426" s="1" t="s">
        <v>1367</v>
      </c>
      <c r="E1426" s="32" t="s">
        <v>29</v>
      </c>
      <c r="F1426" s="7" t="s">
        <v>1387</v>
      </c>
      <c r="G1426" s="128">
        <v>33</v>
      </c>
      <c r="H1426" s="128">
        <v>40.1</v>
      </c>
      <c r="I1426" s="128">
        <v>2.4</v>
      </c>
      <c r="J1426" s="128">
        <v>4.2</v>
      </c>
      <c r="K1426" s="119" t="s">
        <v>26</v>
      </c>
      <c r="L1426" s="119" t="s">
        <v>26</v>
      </c>
      <c r="M1426" s="128">
        <v>0.9</v>
      </c>
      <c r="N1426" s="119" t="s">
        <v>26</v>
      </c>
      <c r="O1426" s="128">
        <v>2</v>
      </c>
      <c r="P1426" s="119" t="s">
        <v>26</v>
      </c>
      <c r="Q1426" s="119" t="s">
        <v>26</v>
      </c>
      <c r="R1426" s="128">
        <v>1.1000000000000001</v>
      </c>
      <c r="S1426" s="128">
        <v>4.0999999999999996</v>
      </c>
      <c r="T1426" s="121" t="s">
        <v>26</v>
      </c>
      <c r="U1426" s="130">
        <v>1719</v>
      </c>
      <c r="V1426" s="136" t="s">
        <v>26</v>
      </c>
    </row>
    <row r="1427" spans="1:22">
      <c r="A1427" s="1" t="s">
        <v>1385</v>
      </c>
      <c r="B1427" s="1" t="s">
        <v>320</v>
      </c>
      <c r="C1427" s="29" t="s">
        <v>22</v>
      </c>
      <c r="D1427" s="1" t="s">
        <v>1367</v>
      </c>
      <c r="E1427" s="32" t="s">
        <v>31</v>
      </c>
      <c r="F1427" s="7" t="s">
        <v>1388</v>
      </c>
      <c r="G1427" s="128">
        <v>18</v>
      </c>
      <c r="H1427" s="146" t="s">
        <v>26</v>
      </c>
      <c r="I1427" s="128">
        <v>2.1</v>
      </c>
      <c r="J1427" s="128">
        <v>18.5</v>
      </c>
      <c r="K1427" s="119" t="s">
        <v>26</v>
      </c>
      <c r="L1427" s="128">
        <v>2.1</v>
      </c>
      <c r="M1427" s="128">
        <v>1.8</v>
      </c>
      <c r="N1427" s="119" t="s">
        <v>26</v>
      </c>
      <c r="O1427" s="125" t="s">
        <v>26</v>
      </c>
      <c r="P1427" s="119" t="s">
        <v>26</v>
      </c>
      <c r="Q1427" s="119" t="s">
        <v>26</v>
      </c>
      <c r="R1427" s="119" t="s">
        <v>26</v>
      </c>
      <c r="S1427" s="128">
        <v>9.1</v>
      </c>
      <c r="T1427" s="121" t="s">
        <v>26</v>
      </c>
      <c r="U1427" s="130">
        <v>307</v>
      </c>
      <c r="V1427" s="136" t="s">
        <v>26</v>
      </c>
    </row>
    <row r="1428" spans="1:22">
      <c r="A1428" s="1" t="s">
        <v>1385</v>
      </c>
      <c r="B1428" s="1" t="s">
        <v>1285</v>
      </c>
      <c r="C1428" s="29" t="s">
        <v>22</v>
      </c>
      <c r="D1428" s="1" t="s">
        <v>1367</v>
      </c>
      <c r="E1428" s="32" t="s">
        <v>27</v>
      </c>
      <c r="F1428" s="35">
        <v>958</v>
      </c>
      <c r="G1428" s="128">
        <v>89</v>
      </c>
      <c r="H1428" s="128">
        <v>1.6</v>
      </c>
      <c r="I1428" s="128">
        <v>4.4000000000000004</v>
      </c>
      <c r="J1428" s="128">
        <v>4.8</v>
      </c>
      <c r="K1428" s="119" t="s">
        <v>26</v>
      </c>
      <c r="L1428" s="128">
        <v>0.5</v>
      </c>
      <c r="M1428" s="128">
        <v>0.6</v>
      </c>
      <c r="N1428" s="119" t="s">
        <v>26</v>
      </c>
      <c r="O1428" s="125" t="s">
        <v>26</v>
      </c>
      <c r="P1428" s="119" t="s">
        <v>26</v>
      </c>
      <c r="Q1428" s="119" t="s">
        <v>26</v>
      </c>
      <c r="R1428" s="128">
        <v>2.6</v>
      </c>
      <c r="S1428" s="128">
        <v>4.0999999999999996</v>
      </c>
      <c r="T1428" s="121" t="s">
        <v>26</v>
      </c>
      <c r="U1428" s="130">
        <v>805</v>
      </c>
      <c r="V1428" s="136" t="s">
        <v>26</v>
      </c>
    </row>
    <row r="1429" spans="1:22">
      <c r="A1429" s="1" t="s">
        <v>1385</v>
      </c>
      <c r="B1429" s="1" t="s">
        <v>1285</v>
      </c>
      <c r="C1429" s="29" t="s">
        <v>22</v>
      </c>
      <c r="D1429" s="1" t="s">
        <v>1367</v>
      </c>
      <c r="E1429" s="32" t="s">
        <v>29</v>
      </c>
      <c r="F1429" s="35">
        <v>2371</v>
      </c>
      <c r="G1429" s="128">
        <v>32</v>
      </c>
      <c r="H1429" s="128">
        <v>3.1</v>
      </c>
      <c r="I1429" s="128">
        <v>5.8</v>
      </c>
      <c r="J1429" s="128">
        <v>3.38</v>
      </c>
      <c r="K1429" s="119" t="s">
        <v>26</v>
      </c>
      <c r="L1429" s="128">
        <v>2.4</v>
      </c>
      <c r="M1429" s="128">
        <v>1.8</v>
      </c>
      <c r="N1429" s="119" t="s">
        <v>26</v>
      </c>
      <c r="O1429" s="125" t="s">
        <v>26</v>
      </c>
      <c r="P1429" s="119" t="s">
        <v>26</v>
      </c>
      <c r="Q1429" s="119" t="s">
        <v>26</v>
      </c>
      <c r="R1429" s="119" t="s">
        <v>26</v>
      </c>
      <c r="S1429" s="128">
        <v>16.8</v>
      </c>
      <c r="T1429" s="121" t="s">
        <v>26</v>
      </c>
      <c r="U1429" s="130">
        <v>2877</v>
      </c>
      <c r="V1429" s="136" t="s">
        <v>26</v>
      </c>
    </row>
    <row r="1430" spans="1:22">
      <c r="A1430" s="1" t="s">
        <v>1385</v>
      </c>
      <c r="B1430" s="1" t="s">
        <v>119</v>
      </c>
      <c r="C1430" s="29" t="s">
        <v>22</v>
      </c>
      <c r="D1430" s="3" t="s">
        <v>23</v>
      </c>
      <c r="E1430" s="32" t="s">
        <v>27</v>
      </c>
      <c r="F1430" s="7" t="s">
        <v>1389</v>
      </c>
      <c r="G1430" s="128">
        <v>140</v>
      </c>
      <c r="H1430" s="128">
        <v>15.6</v>
      </c>
      <c r="I1430" s="128">
        <v>24.6</v>
      </c>
      <c r="J1430" s="119" t="s">
        <v>26</v>
      </c>
      <c r="K1430" s="119" t="s">
        <v>26</v>
      </c>
      <c r="L1430" s="119" t="s">
        <v>26</v>
      </c>
      <c r="M1430" s="119" t="s">
        <v>26</v>
      </c>
      <c r="N1430" s="119" t="s">
        <v>26</v>
      </c>
      <c r="O1430" s="128">
        <v>21.6</v>
      </c>
      <c r="P1430" s="119" t="s">
        <v>26</v>
      </c>
      <c r="Q1430" s="119" t="s">
        <v>26</v>
      </c>
      <c r="R1430" s="128">
        <v>1.4</v>
      </c>
      <c r="S1430" s="120" t="s">
        <v>26</v>
      </c>
      <c r="T1430" s="121" t="s">
        <v>26</v>
      </c>
      <c r="U1430" s="123" t="s">
        <v>26</v>
      </c>
      <c r="V1430" s="136" t="s">
        <v>26</v>
      </c>
    </row>
    <row r="1431" spans="1:22">
      <c r="A1431" s="1" t="s">
        <v>1385</v>
      </c>
      <c r="B1431" s="1" t="s">
        <v>119</v>
      </c>
      <c r="C1431" s="29" t="s">
        <v>22</v>
      </c>
      <c r="D1431" s="3" t="s">
        <v>23</v>
      </c>
      <c r="E1431" s="32" t="s">
        <v>29</v>
      </c>
      <c r="F1431" s="7" t="s">
        <v>1390</v>
      </c>
      <c r="G1431" s="128">
        <v>43</v>
      </c>
      <c r="H1431" s="128">
        <v>11.2</v>
      </c>
      <c r="I1431" s="128">
        <v>17.399999999999999</v>
      </c>
      <c r="J1431" s="128">
        <v>3.1</v>
      </c>
      <c r="K1431" s="119" t="s">
        <v>26</v>
      </c>
      <c r="L1431" s="119" t="s">
        <v>26</v>
      </c>
      <c r="M1431" s="119" t="s">
        <v>26</v>
      </c>
      <c r="N1431" s="119" t="s">
        <v>26</v>
      </c>
      <c r="O1431" s="128">
        <v>7.4</v>
      </c>
      <c r="P1431" s="119" t="s">
        <v>26</v>
      </c>
      <c r="Q1431" s="119" t="s">
        <v>26</v>
      </c>
      <c r="R1431" s="119" t="s">
        <v>26</v>
      </c>
      <c r="S1431" s="120" t="s">
        <v>26</v>
      </c>
      <c r="T1431" s="121" t="s">
        <v>26</v>
      </c>
      <c r="U1431" s="148">
        <v>320</v>
      </c>
      <c r="V1431" s="136" t="s">
        <v>26</v>
      </c>
    </row>
    <row r="1432" spans="1:22">
      <c r="A1432" s="1" t="s">
        <v>1385</v>
      </c>
      <c r="B1432" s="1" t="s">
        <v>119</v>
      </c>
      <c r="C1432" s="29" t="s">
        <v>22</v>
      </c>
      <c r="D1432" s="3" t="s">
        <v>23</v>
      </c>
      <c r="E1432" s="32" t="s">
        <v>31</v>
      </c>
      <c r="F1432" s="7" t="s">
        <v>1151</v>
      </c>
      <c r="G1432" s="128">
        <v>21</v>
      </c>
      <c r="H1432" s="146" t="s">
        <v>26</v>
      </c>
      <c r="I1432" s="128">
        <v>6.5</v>
      </c>
      <c r="J1432" s="128">
        <v>7.5</v>
      </c>
      <c r="K1432" s="119" t="s">
        <v>26</v>
      </c>
      <c r="L1432" s="119" t="s">
        <v>26</v>
      </c>
      <c r="M1432" s="119" t="s">
        <v>26</v>
      </c>
      <c r="N1432" s="119" t="s">
        <v>26</v>
      </c>
      <c r="O1432" s="128">
        <v>4.2</v>
      </c>
      <c r="P1432" s="119" t="s">
        <v>26</v>
      </c>
      <c r="Q1432" s="119" t="s">
        <v>26</v>
      </c>
      <c r="R1432" s="119" t="s">
        <v>26</v>
      </c>
      <c r="S1432" s="120" t="s">
        <v>26</v>
      </c>
      <c r="T1432" s="121" t="s">
        <v>26</v>
      </c>
      <c r="U1432" s="148">
        <v>287</v>
      </c>
      <c r="V1432" s="136" t="s">
        <v>26</v>
      </c>
    </row>
    <row r="1433" spans="1:22">
      <c r="A1433" s="1" t="s">
        <v>1385</v>
      </c>
      <c r="B1433" s="1" t="s">
        <v>119</v>
      </c>
      <c r="C1433" s="29" t="s">
        <v>22</v>
      </c>
      <c r="D1433" s="3" t="s">
        <v>33</v>
      </c>
      <c r="E1433" s="32" t="s">
        <v>27</v>
      </c>
      <c r="F1433" s="7" t="s">
        <v>1391</v>
      </c>
      <c r="G1433" s="128">
        <v>118</v>
      </c>
      <c r="H1433" s="128">
        <v>33.799999999999997</v>
      </c>
      <c r="I1433" s="128">
        <v>15.8</v>
      </c>
      <c r="J1433" s="128">
        <v>2</v>
      </c>
      <c r="K1433" s="128">
        <v>0.5</v>
      </c>
      <c r="L1433" s="119" t="s">
        <v>26</v>
      </c>
      <c r="M1433" s="119" t="s">
        <v>26</v>
      </c>
      <c r="N1433" s="119" t="s">
        <v>26</v>
      </c>
      <c r="O1433" s="128">
        <v>8.8000000000000007</v>
      </c>
      <c r="P1433" s="128">
        <v>1.4</v>
      </c>
      <c r="Q1433" s="119" t="s">
        <v>26</v>
      </c>
      <c r="R1433" s="128">
        <v>2.9</v>
      </c>
      <c r="S1433" s="128">
        <v>2.1</v>
      </c>
      <c r="T1433" s="121" t="s">
        <v>26</v>
      </c>
      <c r="U1433" s="152">
        <v>1439</v>
      </c>
      <c r="V1433" s="136" t="s">
        <v>26</v>
      </c>
    </row>
    <row r="1434" spans="1:22">
      <c r="A1434" s="1" t="s">
        <v>1385</v>
      </c>
      <c r="B1434" s="1" t="s">
        <v>119</v>
      </c>
      <c r="C1434" s="29" t="s">
        <v>22</v>
      </c>
      <c r="D1434" s="3" t="s">
        <v>33</v>
      </c>
      <c r="E1434" s="32" t="s">
        <v>29</v>
      </c>
      <c r="F1434" s="7" t="s">
        <v>1392</v>
      </c>
      <c r="G1434" s="128">
        <v>44</v>
      </c>
      <c r="H1434" s="128">
        <v>5.0999999999999996</v>
      </c>
      <c r="I1434" s="128">
        <v>13.9</v>
      </c>
      <c r="J1434" s="128">
        <v>7.8</v>
      </c>
      <c r="K1434" s="128">
        <v>0.6</v>
      </c>
      <c r="L1434" s="119" t="s">
        <v>26</v>
      </c>
      <c r="M1434" s="119" t="s">
        <v>26</v>
      </c>
      <c r="N1434" s="119" t="s">
        <v>26</v>
      </c>
      <c r="O1434" s="128">
        <v>11.8</v>
      </c>
      <c r="P1434" s="128">
        <v>1.8</v>
      </c>
      <c r="Q1434" s="119" t="s">
        <v>26</v>
      </c>
      <c r="R1434" s="128">
        <v>2.4</v>
      </c>
      <c r="S1434" s="128">
        <v>3.1</v>
      </c>
      <c r="T1434" s="121" t="s">
        <v>26</v>
      </c>
      <c r="U1434" s="152">
        <v>1115</v>
      </c>
      <c r="V1434" s="136" t="s">
        <v>26</v>
      </c>
    </row>
    <row r="1435" spans="1:22">
      <c r="A1435" s="1" t="s">
        <v>1385</v>
      </c>
      <c r="B1435" s="1" t="s">
        <v>119</v>
      </c>
      <c r="C1435" s="29" t="s">
        <v>22</v>
      </c>
      <c r="D1435" s="3" t="s">
        <v>33</v>
      </c>
      <c r="E1435" s="32" t="s">
        <v>31</v>
      </c>
      <c r="F1435" s="7" t="s">
        <v>1393</v>
      </c>
      <c r="G1435" s="128">
        <v>26</v>
      </c>
      <c r="H1435" s="146" t="s">
        <v>26</v>
      </c>
      <c r="I1435" s="128">
        <v>16.5</v>
      </c>
      <c r="J1435" s="128">
        <v>31.1</v>
      </c>
      <c r="K1435" s="119" t="s">
        <v>26</v>
      </c>
      <c r="L1435" s="119" t="s">
        <v>26</v>
      </c>
      <c r="M1435" s="119" t="s">
        <v>26</v>
      </c>
      <c r="N1435" s="119" t="s">
        <v>26</v>
      </c>
      <c r="O1435" s="128">
        <v>5.6</v>
      </c>
      <c r="P1435" s="128">
        <v>1.3</v>
      </c>
      <c r="Q1435" s="119" t="s">
        <v>26</v>
      </c>
      <c r="R1435" s="119" t="s">
        <v>26</v>
      </c>
      <c r="S1435" s="128">
        <v>3.4</v>
      </c>
      <c r="T1435" s="121" t="s">
        <v>26</v>
      </c>
      <c r="U1435" s="153" t="s">
        <v>1393</v>
      </c>
      <c r="V1435" s="136" t="s">
        <v>26</v>
      </c>
    </row>
    <row r="1436" spans="1:22">
      <c r="A1436" s="1" t="s">
        <v>1385</v>
      </c>
      <c r="B1436" s="1" t="s">
        <v>373</v>
      </c>
      <c r="C1436" s="29" t="s">
        <v>22</v>
      </c>
      <c r="D1436" s="1" t="s">
        <v>142</v>
      </c>
      <c r="E1436" s="32" t="s">
        <v>27</v>
      </c>
      <c r="F1436" s="7" t="s">
        <v>1394</v>
      </c>
      <c r="G1436" s="128">
        <v>121</v>
      </c>
      <c r="H1436" s="128">
        <v>43.6</v>
      </c>
      <c r="I1436" s="128">
        <v>15.5</v>
      </c>
      <c r="J1436" s="128">
        <v>1.77</v>
      </c>
      <c r="K1436" s="128">
        <v>0.4</v>
      </c>
      <c r="L1436" s="119" t="s">
        <v>26</v>
      </c>
      <c r="M1436" s="128">
        <v>0.6</v>
      </c>
      <c r="N1436" s="119" t="s">
        <v>26</v>
      </c>
      <c r="O1436" s="128">
        <v>3.9</v>
      </c>
      <c r="P1436" s="128">
        <v>0.9</v>
      </c>
      <c r="Q1436" s="119" t="s">
        <v>26</v>
      </c>
      <c r="R1436" s="128">
        <v>2.6</v>
      </c>
      <c r="S1436" s="128">
        <v>0.8</v>
      </c>
      <c r="T1436" s="121" t="s">
        <v>26</v>
      </c>
      <c r="U1436" s="148">
        <v>2023</v>
      </c>
      <c r="V1436" s="136" t="s">
        <v>26</v>
      </c>
    </row>
    <row r="1437" spans="1:22">
      <c r="A1437" s="1" t="s">
        <v>1385</v>
      </c>
      <c r="B1437" s="1" t="s">
        <v>373</v>
      </c>
      <c r="C1437" s="29" t="s">
        <v>22</v>
      </c>
      <c r="D1437" s="1" t="s">
        <v>142</v>
      </c>
      <c r="E1437" s="32" t="s">
        <v>29</v>
      </c>
      <c r="F1437" s="7" t="s">
        <v>1395</v>
      </c>
      <c r="G1437" s="128">
        <v>45</v>
      </c>
      <c r="H1437" s="128">
        <v>17.8</v>
      </c>
      <c r="I1437" s="128">
        <v>5.6</v>
      </c>
      <c r="J1437" s="128">
        <v>7.5</v>
      </c>
      <c r="K1437" s="128">
        <v>0.6</v>
      </c>
      <c r="L1437" s="119" t="s">
        <v>26</v>
      </c>
      <c r="M1437" s="128">
        <v>2</v>
      </c>
      <c r="N1437" s="119" t="s">
        <v>26</v>
      </c>
      <c r="O1437" s="128">
        <v>5.4</v>
      </c>
      <c r="P1437" s="128">
        <v>1.8</v>
      </c>
      <c r="Q1437" s="119" t="s">
        <v>26</v>
      </c>
      <c r="R1437" s="128">
        <v>1.4</v>
      </c>
      <c r="S1437" s="128">
        <v>1.2</v>
      </c>
      <c r="T1437" s="121" t="s">
        <v>26</v>
      </c>
      <c r="U1437" s="148">
        <v>2883</v>
      </c>
      <c r="V1437" s="136" t="s">
        <v>26</v>
      </c>
    </row>
    <row r="1438" spans="1:22">
      <c r="A1438" s="1" t="s">
        <v>1385</v>
      </c>
      <c r="B1438" s="1" t="s">
        <v>373</v>
      </c>
      <c r="C1438" s="29" t="s">
        <v>22</v>
      </c>
      <c r="D1438" s="1" t="s">
        <v>142</v>
      </c>
      <c r="E1438" s="32" t="s">
        <v>31</v>
      </c>
      <c r="F1438" s="7" t="s">
        <v>568</v>
      </c>
      <c r="G1438" s="128">
        <v>21</v>
      </c>
      <c r="H1438" s="146" t="s">
        <v>26</v>
      </c>
      <c r="I1438" s="128">
        <v>3.8</v>
      </c>
      <c r="J1438" s="128">
        <v>24.1</v>
      </c>
      <c r="K1438" s="128">
        <v>0.9</v>
      </c>
      <c r="L1438" s="119" t="s">
        <v>26</v>
      </c>
      <c r="M1438" s="128">
        <v>1.6</v>
      </c>
      <c r="N1438" s="119" t="s">
        <v>26</v>
      </c>
      <c r="O1438" s="128">
        <v>2.6</v>
      </c>
      <c r="P1438" s="128">
        <v>1.4</v>
      </c>
      <c r="Q1438" s="119" t="s">
        <v>26</v>
      </c>
      <c r="R1438" s="119" t="s">
        <v>26</v>
      </c>
      <c r="S1438" s="128">
        <v>2.9</v>
      </c>
      <c r="T1438" s="121" t="s">
        <v>26</v>
      </c>
      <c r="U1438" s="148">
        <v>1070</v>
      </c>
      <c r="V1438" s="136" t="s">
        <v>26</v>
      </c>
    </row>
    <row r="1439" spans="1:22">
      <c r="A1439" s="1" t="s">
        <v>1385</v>
      </c>
      <c r="B1439" s="1" t="s">
        <v>623</v>
      </c>
      <c r="C1439" s="29" t="s">
        <v>22</v>
      </c>
      <c r="D1439" s="8" t="s">
        <v>109</v>
      </c>
      <c r="E1439" s="32" t="s">
        <v>27</v>
      </c>
      <c r="F1439" s="7" t="s">
        <v>1396</v>
      </c>
      <c r="G1439" s="128">
        <v>130</v>
      </c>
      <c r="H1439" s="128">
        <v>34.5</v>
      </c>
      <c r="I1439" s="128">
        <v>20.5</v>
      </c>
      <c r="J1439" s="128">
        <v>0.6</v>
      </c>
      <c r="K1439" s="128">
        <v>0.3</v>
      </c>
      <c r="L1439" s="128">
        <v>0.4</v>
      </c>
      <c r="M1439" s="128">
        <v>0.4</v>
      </c>
      <c r="N1439" s="119" t="s">
        <v>26</v>
      </c>
      <c r="O1439" s="128">
        <v>5.6</v>
      </c>
      <c r="P1439" s="119" t="s">
        <v>26</v>
      </c>
      <c r="Q1439" s="119" t="s">
        <v>26</v>
      </c>
      <c r="R1439" s="128">
        <v>3.1</v>
      </c>
      <c r="S1439" s="128">
        <v>0.8</v>
      </c>
      <c r="T1439" s="121" t="s">
        <v>26</v>
      </c>
      <c r="U1439" s="130">
        <v>957</v>
      </c>
      <c r="V1439" s="136" t="s">
        <v>26</v>
      </c>
    </row>
    <row r="1440" spans="1:22">
      <c r="A1440" s="1" t="s">
        <v>1385</v>
      </c>
      <c r="B1440" s="1" t="s">
        <v>623</v>
      </c>
      <c r="C1440" s="29" t="s">
        <v>22</v>
      </c>
      <c r="D1440" s="8" t="s">
        <v>109</v>
      </c>
      <c r="E1440" s="32" t="s">
        <v>29</v>
      </c>
      <c r="F1440" s="7" t="s">
        <v>251</v>
      </c>
      <c r="G1440" s="128">
        <v>35</v>
      </c>
      <c r="H1440" s="128">
        <v>33.799999999999997</v>
      </c>
      <c r="I1440" s="128">
        <v>5.6</v>
      </c>
      <c r="J1440" s="128">
        <v>6.7</v>
      </c>
      <c r="K1440" s="119" t="s">
        <v>26</v>
      </c>
      <c r="L1440" s="128">
        <v>0.6</v>
      </c>
      <c r="M1440" s="128">
        <v>0.6</v>
      </c>
      <c r="N1440" s="119" t="s">
        <v>26</v>
      </c>
      <c r="O1440" s="128">
        <v>5.0999999999999996</v>
      </c>
      <c r="P1440" s="119" t="s">
        <v>26</v>
      </c>
      <c r="Q1440" s="119" t="s">
        <v>26</v>
      </c>
      <c r="R1440" s="128">
        <v>2.4</v>
      </c>
      <c r="S1440" s="128">
        <v>1.8</v>
      </c>
      <c r="T1440" s="121" t="s">
        <v>26</v>
      </c>
      <c r="U1440" s="152">
        <v>2422</v>
      </c>
      <c r="V1440" s="136" t="s">
        <v>26</v>
      </c>
    </row>
    <row r="1441" spans="1:22">
      <c r="A1441" s="1" t="s">
        <v>1385</v>
      </c>
      <c r="B1441" s="1" t="s">
        <v>623</v>
      </c>
      <c r="C1441" s="29" t="s">
        <v>22</v>
      </c>
      <c r="D1441" s="8" t="s">
        <v>109</v>
      </c>
      <c r="E1441" s="32" t="s">
        <v>31</v>
      </c>
      <c r="F1441" s="7" t="s">
        <v>1397</v>
      </c>
      <c r="G1441" s="128">
        <v>20</v>
      </c>
      <c r="H1441" s="146" t="s">
        <v>26</v>
      </c>
      <c r="I1441" s="128">
        <v>5.0999999999999996</v>
      </c>
      <c r="J1441" s="128">
        <v>18.7</v>
      </c>
      <c r="K1441" s="119" t="s">
        <v>26</v>
      </c>
      <c r="L1441" s="128">
        <v>0.5</v>
      </c>
      <c r="M1441" s="128">
        <v>1.2</v>
      </c>
      <c r="N1441" s="119" t="s">
        <v>26</v>
      </c>
      <c r="O1441" s="128">
        <v>2.9</v>
      </c>
      <c r="P1441" s="119" t="s">
        <v>26</v>
      </c>
      <c r="Q1441" s="119" t="s">
        <v>26</v>
      </c>
      <c r="R1441" s="119" t="s">
        <v>26</v>
      </c>
      <c r="S1441" s="128">
        <v>2.6</v>
      </c>
      <c r="T1441" s="121" t="s">
        <v>26</v>
      </c>
      <c r="U1441" s="152">
        <v>951</v>
      </c>
      <c r="V1441" s="136" t="s">
        <v>26</v>
      </c>
    </row>
    <row r="1442" spans="1:22">
      <c r="A1442" s="1" t="s">
        <v>1398</v>
      </c>
      <c r="B1442" s="1" t="s">
        <v>1399</v>
      </c>
      <c r="C1442" s="29" t="s">
        <v>22</v>
      </c>
      <c r="D1442" s="1" t="s">
        <v>1341</v>
      </c>
      <c r="E1442" s="32" t="s">
        <v>27</v>
      </c>
      <c r="F1442" s="7" t="s">
        <v>417</v>
      </c>
      <c r="G1442" s="128">
        <v>96</v>
      </c>
      <c r="H1442" s="128">
        <v>43.8</v>
      </c>
      <c r="I1442" s="128">
        <v>4.5</v>
      </c>
      <c r="J1442" s="128">
        <v>1.6</v>
      </c>
      <c r="K1442" s="128">
        <v>2.6</v>
      </c>
      <c r="L1442" s="128">
        <v>2.5</v>
      </c>
      <c r="M1442" s="128">
        <v>0.5</v>
      </c>
      <c r="N1442" s="119" t="s">
        <v>26</v>
      </c>
      <c r="O1442" s="128">
        <v>4.9000000000000004</v>
      </c>
      <c r="P1442" s="128">
        <v>0.4</v>
      </c>
      <c r="Q1442" s="119" t="s">
        <v>26</v>
      </c>
      <c r="R1442" s="128">
        <v>2.4</v>
      </c>
      <c r="S1442" s="128">
        <v>1.2</v>
      </c>
      <c r="T1442" s="121" t="s">
        <v>26</v>
      </c>
      <c r="U1442" s="130">
        <v>1045</v>
      </c>
      <c r="V1442" s="136" t="s">
        <v>26</v>
      </c>
    </row>
    <row r="1443" spans="1:22">
      <c r="A1443" s="1" t="s">
        <v>1398</v>
      </c>
      <c r="B1443" s="1" t="s">
        <v>1399</v>
      </c>
      <c r="C1443" s="29" t="s">
        <v>22</v>
      </c>
      <c r="D1443" s="1" t="s">
        <v>1341</v>
      </c>
      <c r="E1443" s="32" t="s">
        <v>29</v>
      </c>
      <c r="F1443" s="7" t="s">
        <v>1400</v>
      </c>
      <c r="G1443" s="128">
        <v>39</v>
      </c>
      <c r="H1443" s="128">
        <v>29.5</v>
      </c>
      <c r="I1443" s="128">
        <v>4.0999999999999996</v>
      </c>
      <c r="J1443" s="128">
        <v>5.6</v>
      </c>
      <c r="K1443" s="128">
        <v>1.4</v>
      </c>
      <c r="L1443" s="128">
        <v>1.6</v>
      </c>
      <c r="M1443" s="128">
        <v>1.8</v>
      </c>
      <c r="N1443" s="119" t="s">
        <v>26</v>
      </c>
      <c r="O1443" s="128">
        <v>5.8</v>
      </c>
      <c r="P1443" s="128">
        <v>0.6</v>
      </c>
      <c r="Q1443" s="119" t="s">
        <v>26</v>
      </c>
      <c r="R1443" s="128">
        <v>1.1000000000000001</v>
      </c>
      <c r="S1443" s="128">
        <v>3.8</v>
      </c>
      <c r="T1443" s="121" t="s">
        <v>26</v>
      </c>
      <c r="U1443" s="130">
        <v>2618</v>
      </c>
      <c r="V1443" s="136" t="s">
        <v>26</v>
      </c>
    </row>
    <row r="1444" spans="1:22">
      <c r="A1444" s="1" t="s">
        <v>1398</v>
      </c>
      <c r="B1444" s="1" t="s">
        <v>1399</v>
      </c>
      <c r="C1444" s="29" t="s">
        <v>22</v>
      </c>
      <c r="D1444" s="1" t="s">
        <v>1341</v>
      </c>
      <c r="E1444" s="32" t="s">
        <v>31</v>
      </c>
      <c r="F1444" s="7" t="s">
        <v>1401</v>
      </c>
      <c r="G1444" s="128">
        <v>19</v>
      </c>
      <c r="H1444" s="146" t="s">
        <v>26</v>
      </c>
      <c r="I1444" s="128">
        <v>2.6</v>
      </c>
      <c r="J1444" s="128">
        <v>40.5</v>
      </c>
      <c r="K1444" s="128">
        <v>1.6</v>
      </c>
      <c r="L1444" s="119" t="s">
        <v>26</v>
      </c>
      <c r="M1444" s="128">
        <v>1.4</v>
      </c>
      <c r="N1444" s="119" t="s">
        <v>26</v>
      </c>
      <c r="O1444" s="128">
        <v>2.4</v>
      </c>
      <c r="P1444" s="128">
        <v>0.7</v>
      </c>
      <c r="Q1444" s="119" t="s">
        <v>26</v>
      </c>
      <c r="R1444" s="119" t="s">
        <v>26</v>
      </c>
      <c r="S1444" s="128">
        <v>5.8</v>
      </c>
      <c r="T1444" s="121" t="s">
        <v>26</v>
      </c>
      <c r="U1444" s="130">
        <v>169</v>
      </c>
      <c r="V1444" s="136" t="s">
        <v>26</v>
      </c>
    </row>
    <row r="1445" spans="1:22">
      <c r="A1445" s="1" t="s">
        <v>1398</v>
      </c>
      <c r="B1445" s="1" t="s">
        <v>1263</v>
      </c>
      <c r="C1445" s="29" t="s">
        <v>22</v>
      </c>
      <c r="D1445" s="8" t="s">
        <v>109</v>
      </c>
      <c r="E1445" s="32" t="s">
        <v>27</v>
      </c>
      <c r="F1445" s="7" t="s">
        <v>1402</v>
      </c>
      <c r="G1445" s="128">
        <v>123</v>
      </c>
      <c r="H1445" s="128">
        <v>33.6</v>
      </c>
      <c r="I1445" s="128">
        <v>16.5</v>
      </c>
      <c r="J1445" s="128">
        <v>0.8</v>
      </c>
      <c r="K1445" s="128">
        <v>0.3</v>
      </c>
      <c r="L1445" s="128">
        <v>0.3</v>
      </c>
      <c r="M1445" s="128">
        <v>0.6</v>
      </c>
      <c r="N1445" s="119" t="s">
        <v>26</v>
      </c>
      <c r="O1445" s="128">
        <v>3.9</v>
      </c>
      <c r="P1445" s="128">
        <v>0.5</v>
      </c>
      <c r="Q1445" s="128">
        <v>4.5</v>
      </c>
      <c r="R1445" s="128">
        <v>2.1</v>
      </c>
      <c r="S1445" s="128">
        <v>1.3</v>
      </c>
      <c r="T1445" s="128">
        <v>8</v>
      </c>
      <c r="U1445" s="130">
        <v>1287</v>
      </c>
      <c r="V1445" s="149">
        <v>125</v>
      </c>
    </row>
    <row r="1446" spans="1:22">
      <c r="A1446" s="1" t="s">
        <v>1398</v>
      </c>
      <c r="B1446" s="1" t="s">
        <v>1263</v>
      </c>
      <c r="C1446" s="29" t="s">
        <v>22</v>
      </c>
      <c r="D1446" s="8" t="s">
        <v>109</v>
      </c>
      <c r="E1446" s="32" t="s">
        <v>29</v>
      </c>
      <c r="F1446" s="7" t="s">
        <v>1403</v>
      </c>
      <c r="G1446" s="128">
        <v>34</v>
      </c>
      <c r="H1446" s="128">
        <v>34.5</v>
      </c>
      <c r="I1446" s="128">
        <v>4.4000000000000004</v>
      </c>
      <c r="J1446" s="128">
        <v>10.3</v>
      </c>
      <c r="K1446" s="119" t="s">
        <v>26</v>
      </c>
      <c r="L1446" s="128">
        <v>0.6</v>
      </c>
      <c r="M1446" s="128">
        <v>1.4</v>
      </c>
      <c r="N1446" s="119" t="s">
        <v>26</v>
      </c>
      <c r="O1446" s="128">
        <v>4.8</v>
      </c>
      <c r="P1446" s="128">
        <v>0.7</v>
      </c>
      <c r="Q1446" s="119" t="s">
        <v>26</v>
      </c>
      <c r="R1446" s="128">
        <v>0.8</v>
      </c>
      <c r="S1446" s="128">
        <v>3</v>
      </c>
      <c r="T1446" s="121" t="s">
        <v>26</v>
      </c>
      <c r="U1446" s="130">
        <v>2238</v>
      </c>
      <c r="V1446" s="147">
        <v>85</v>
      </c>
    </row>
    <row r="1447" spans="1:22">
      <c r="A1447" s="1" t="s">
        <v>1398</v>
      </c>
      <c r="B1447" s="1" t="s">
        <v>1263</v>
      </c>
      <c r="C1447" s="29" t="s">
        <v>22</v>
      </c>
      <c r="D1447" s="8" t="s">
        <v>109</v>
      </c>
      <c r="E1447" s="32" t="s">
        <v>31</v>
      </c>
      <c r="F1447" s="7" t="s">
        <v>1404</v>
      </c>
      <c r="G1447" s="128">
        <v>18</v>
      </c>
      <c r="H1447" s="146" t="s">
        <v>26</v>
      </c>
      <c r="I1447" s="128">
        <v>3.4</v>
      </c>
      <c r="J1447" s="128">
        <v>30.2</v>
      </c>
      <c r="K1447" s="119" t="s">
        <v>26</v>
      </c>
      <c r="L1447" s="128">
        <v>0.5</v>
      </c>
      <c r="M1447" s="128">
        <v>1.2</v>
      </c>
      <c r="N1447" s="119" t="s">
        <v>26</v>
      </c>
      <c r="O1447" s="128">
        <v>2.8</v>
      </c>
      <c r="P1447" s="119" t="s">
        <v>26</v>
      </c>
      <c r="Q1447" s="119" t="s">
        <v>26</v>
      </c>
      <c r="R1447" s="119" t="s">
        <v>26</v>
      </c>
      <c r="S1447" s="128">
        <v>5.9</v>
      </c>
      <c r="T1447" s="121" t="s">
        <v>26</v>
      </c>
      <c r="U1447" s="130">
        <v>1053</v>
      </c>
      <c r="V1447" s="147">
        <v>294</v>
      </c>
    </row>
    <row r="1448" spans="1:22">
      <c r="A1448" s="1" t="s">
        <v>1398</v>
      </c>
      <c r="B1448" s="1" t="s">
        <v>1405</v>
      </c>
      <c r="C1448" s="29" t="s">
        <v>22</v>
      </c>
      <c r="D1448" s="1" t="s">
        <v>142</v>
      </c>
      <c r="E1448" s="32" t="s">
        <v>27</v>
      </c>
      <c r="F1448" s="7" t="s">
        <v>1086</v>
      </c>
      <c r="G1448" s="128">
        <v>108</v>
      </c>
      <c r="H1448" s="128">
        <v>43.9</v>
      </c>
      <c r="I1448" s="128">
        <v>13.1</v>
      </c>
      <c r="J1448" s="128">
        <v>1.4</v>
      </c>
      <c r="K1448" s="128">
        <v>0.3</v>
      </c>
      <c r="L1448" s="128">
        <v>4.5</v>
      </c>
      <c r="M1448" s="128">
        <v>2.9</v>
      </c>
      <c r="N1448" s="119" t="s">
        <v>26</v>
      </c>
      <c r="O1448" s="128">
        <v>2.8</v>
      </c>
      <c r="P1448" s="119" t="s">
        <v>26</v>
      </c>
      <c r="Q1448" s="119" t="s">
        <v>26</v>
      </c>
      <c r="R1448" s="128">
        <v>2.2000000000000002</v>
      </c>
      <c r="S1448" s="128">
        <v>0.6</v>
      </c>
      <c r="T1448" s="121" t="s">
        <v>26</v>
      </c>
      <c r="U1448" s="152">
        <v>317</v>
      </c>
      <c r="V1448" s="136" t="s">
        <v>26</v>
      </c>
    </row>
    <row r="1449" spans="1:22">
      <c r="A1449" s="1" t="s">
        <v>1398</v>
      </c>
      <c r="B1449" s="1" t="s">
        <v>1405</v>
      </c>
      <c r="C1449" s="29" t="s">
        <v>22</v>
      </c>
      <c r="D1449" s="1" t="s">
        <v>142</v>
      </c>
      <c r="E1449" s="32" t="s">
        <v>29</v>
      </c>
      <c r="F1449" s="7" t="s">
        <v>1406</v>
      </c>
      <c r="G1449" s="128">
        <v>32</v>
      </c>
      <c r="H1449" s="128">
        <v>38.799999999999997</v>
      </c>
      <c r="I1449" s="128">
        <v>2.6</v>
      </c>
      <c r="J1449" s="128">
        <v>5.88</v>
      </c>
      <c r="K1449" s="128">
        <v>0.9</v>
      </c>
      <c r="L1449" s="128">
        <v>0.9</v>
      </c>
      <c r="M1449" s="128">
        <v>2.6</v>
      </c>
      <c r="N1449" s="119" t="s">
        <v>26</v>
      </c>
      <c r="O1449" s="128">
        <v>2.9</v>
      </c>
      <c r="P1449" s="119" t="s">
        <v>26</v>
      </c>
      <c r="Q1449" s="119" t="s">
        <v>26</v>
      </c>
      <c r="R1449" s="128">
        <v>1.5</v>
      </c>
      <c r="S1449" s="128">
        <v>0.9</v>
      </c>
      <c r="T1449" s="121" t="s">
        <v>26</v>
      </c>
      <c r="U1449" s="152">
        <v>765</v>
      </c>
      <c r="V1449" s="136" t="s">
        <v>26</v>
      </c>
    </row>
    <row r="1450" spans="1:22">
      <c r="A1450" s="1" t="s">
        <v>1398</v>
      </c>
      <c r="B1450" s="1" t="s">
        <v>1405</v>
      </c>
      <c r="C1450" s="29" t="s">
        <v>22</v>
      </c>
      <c r="D1450" s="1" t="s">
        <v>142</v>
      </c>
      <c r="E1450" s="32" t="s">
        <v>31</v>
      </c>
      <c r="F1450" s="7" t="s">
        <v>1130</v>
      </c>
      <c r="G1450" s="128">
        <v>17</v>
      </c>
      <c r="H1450" s="146" t="s">
        <v>26</v>
      </c>
      <c r="I1450" s="128">
        <v>1.8</v>
      </c>
      <c r="J1450" s="128">
        <v>25.8</v>
      </c>
      <c r="K1450" s="128">
        <v>2.8</v>
      </c>
      <c r="L1450" s="128">
        <v>2.8</v>
      </c>
      <c r="M1450" s="128">
        <v>2.2999999999999998</v>
      </c>
      <c r="N1450" s="119" t="s">
        <v>26</v>
      </c>
      <c r="O1450" s="128">
        <v>1.5</v>
      </c>
      <c r="P1450" s="119" t="s">
        <v>26</v>
      </c>
      <c r="Q1450" s="119" t="s">
        <v>26</v>
      </c>
      <c r="R1450" s="119" t="s">
        <v>26</v>
      </c>
      <c r="S1450" s="128">
        <v>1.3</v>
      </c>
      <c r="T1450" s="121" t="s">
        <v>26</v>
      </c>
      <c r="U1450" s="152">
        <v>117</v>
      </c>
      <c r="V1450" s="136" t="s">
        <v>26</v>
      </c>
    </row>
    <row r="1451" spans="1:22">
      <c r="A1451" s="1" t="s">
        <v>1398</v>
      </c>
      <c r="B1451" s="1" t="s">
        <v>68</v>
      </c>
      <c r="C1451" s="29" t="s">
        <v>22</v>
      </c>
      <c r="D1451" s="1" t="s">
        <v>1341</v>
      </c>
      <c r="E1451" s="32" t="s">
        <v>27</v>
      </c>
      <c r="F1451" s="7" t="s">
        <v>766</v>
      </c>
      <c r="G1451" s="128">
        <v>128</v>
      </c>
      <c r="H1451" s="128">
        <v>33.799999999999997</v>
      </c>
      <c r="I1451" s="128">
        <v>23.6</v>
      </c>
      <c r="J1451" s="128">
        <v>2.67</v>
      </c>
      <c r="K1451" s="128">
        <v>0.3</v>
      </c>
      <c r="L1451" s="128">
        <v>2.2000000000000002</v>
      </c>
      <c r="M1451" s="128">
        <v>0.8</v>
      </c>
      <c r="N1451" s="119" t="s">
        <v>26</v>
      </c>
      <c r="O1451" s="128">
        <v>3.8</v>
      </c>
      <c r="P1451" s="119" t="s">
        <v>26</v>
      </c>
      <c r="Q1451" s="119" t="s">
        <v>26</v>
      </c>
      <c r="R1451" s="128">
        <v>2.1</v>
      </c>
      <c r="S1451" s="128">
        <v>2.5</v>
      </c>
      <c r="T1451" s="121" t="s">
        <v>26</v>
      </c>
      <c r="U1451" s="130">
        <v>1287</v>
      </c>
      <c r="V1451" s="136" t="s">
        <v>26</v>
      </c>
    </row>
    <row r="1452" spans="1:22">
      <c r="A1452" s="1" t="s">
        <v>1398</v>
      </c>
      <c r="B1452" s="1" t="s">
        <v>68</v>
      </c>
      <c r="C1452" s="29" t="s">
        <v>22</v>
      </c>
      <c r="D1452" s="1" t="s">
        <v>1341</v>
      </c>
      <c r="E1452" s="32" t="s">
        <v>29</v>
      </c>
      <c r="F1452" s="7" t="s">
        <v>520</v>
      </c>
      <c r="G1452" s="128">
        <v>38</v>
      </c>
      <c r="H1452" s="128">
        <v>32.5</v>
      </c>
      <c r="I1452" s="128">
        <v>5.6</v>
      </c>
      <c r="J1452" s="128">
        <v>5.7</v>
      </c>
      <c r="K1452" s="128">
        <v>0.5</v>
      </c>
      <c r="L1452" s="128">
        <v>1.1000000000000001</v>
      </c>
      <c r="M1452" s="128">
        <v>2.9</v>
      </c>
      <c r="N1452" s="119" t="s">
        <v>26</v>
      </c>
      <c r="O1452" s="128">
        <v>4.5</v>
      </c>
      <c r="P1452" s="119" t="s">
        <v>26</v>
      </c>
      <c r="Q1452" s="119" t="s">
        <v>26</v>
      </c>
      <c r="R1452" s="128">
        <v>1.4</v>
      </c>
      <c r="S1452" s="128">
        <v>5.6</v>
      </c>
      <c r="T1452" s="121" t="s">
        <v>26</v>
      </c>
      <c r="U1452" s="130">
        <v>2358</v>
      </c>
      <c r="V1452" s="136" t="s">
        <v>26</v>
      </c>
    </row>
    <row r="1453" spans="1:22">
      <c r="A1453" s="1" t="s">
        <v>1398</v>
      </c>
      <c r="B1453" s="1" t="s">
        <v>68</v>
      </c>
      <c r="C1453" s="29" t="s">
        <v>22</v>
      </c>
      <c r="D1453" s="1" t="s">
        <v>1341</v>
      </c>
      <c r="E1453" s="32" t="s">
        <v>31</v>
      </c>
      <c r="F1453" s="7" t="s">
        <v>1407</v>
      </c>
      <c r="G1453" s="128">
        <v>19</v>
      </c>
      <c r="H1453" s="146" t="s">
        <v>26</v>
      </c>
      <c r="I1453" s="128">
        <v>2.6</v>
      </c>
      <c r="J1453" s="128">
        <v>27.4</v>
      </c>
      <c r="K1453" s="119" t="s">
        <v>26</v>
      </c>
      <c r="L1453" s="128">
        <v>1.6</v>
      </c>
      <c r="M1453" s="128">
        <v>2.4</v>
      </c>
      <c r="N1453" s="119" t="s">
        <v>26</v>
      </c>
      <c r="O1453" s="128">
        <v>3.1</v>
      </c>
      <c r="P1453" s="119" t="s">
        <v>26</v>
      </c>
      <c r="Q1453" s="119" t="s">
        <v>26</v>
      </c>
      <c r="R1453" s="119" t="s">
        <v>26</v>
      </c>
      <c r="S1453" s="128">
        <v>10.5</v>
      </c>
      <c r="T1453" s="121" t="s">
        <v>26</v>
      </c>
      <c r="U1453" s="130">
        <v>1053</v>
      </c>
      <c r="V1453" s="136" t="s">
        <v>26</v>
      </c>
    </row>
    <row r="1454" spans="1:22">
      <c r="A1454" s="1" t="s">
        <v>1408</v>
      </c>
      <c r="B1454" s="1" t="s">
        <v>39</v>
      </c>
      <c r="C1454" s="29" t="s">
        <v>22</v>
      </c>
      <c r="D1454" s="1" t="s">
        <v>142</v>
      </c>
      <c r="E1454" s="32" t="s">
        <v>27</v>
      </c>
      <c r="F1454" s="7" t="s">
        <v>1409</v>
      </c>
      <c r="G1454" s="128">
        <v>118</v>
      </c>
      <c r="H1454" s="128">
        <v>43.9</v>
      </c>
      <c r="I1454" s="128">
        <v>13.5</v>
      </c>
      <c r="J1454" s="128">
        <v>0.6</v>
      </c>
      <c r="K1454" s="128">
        <v>0.3</v>
      </c>
      <c r="L1454" s="128">
        <v>0.5</v>
      </c>
      <c r="M1454" s="128">
        <v>0.5</v>
      </c>
      <c r="N1454" s="119" t="s">
        <v>26</v>
      </c>
      <c r="O1454" s="128">
        <v>4.0999999999999996</v>
      </c>
      <c r="P1454" s="119" t="s">
        <v>26</v>
      </c>
      <c r="Q1454" s="128">
        <v>2.6</v>
      </c>
      <c r="R1454" s="128">
        <v>2.8</v>
      </c>
      <c r="S1454" s="128">
        <v>1.8</v>
      </c>
      <c r="T1454" s="121" t="s">
        <v>26</v>
      </c>
      <c r="U1454" s="89">
        <v>1148</v>
      </c>
      <c r="V1454" s="136" t="s">
        <v>26</v>
      </c>
    </row>
    <row r="1455" spans="1:22">
      <c r="A1455" s="1" t="s">
        <v>1408</v>
      </c>
      <c r="B1455" s="1" t="s">
        <v>39</v>
      </c>
      <c r="C1455" s="29" t="s">
        <v>22</v>
      </c>
      <c r="D1455" s="1" t="s">
        <v>142</v>
      </c>
      <c r="E1455" s="32" t="s">
        <v>29</v>
      </c>
      <c r="F1455" s="7" t="s">
        <v>1410</v>
      </c>
      <c r="G1455" s="128">
        <v>38</v>
      </c>
      <c r="H1455" s="128">
        <v>23.8</v>
      </c>
      <c r="I1455" s="128">
        <v>2.5</v>
      </c>
      <c r="J1455" s="128">
        <v>4.5</v>
      </c>
      <c r="K1455" s="128">
        <v>0.5</v>
      </c>
      <c r="L1455" s="128">
        <v>0.4</v>
      </c>
      <c r="M1455" s="128">
        <v>0.4</v>
      </c>
      <c r="N1455" s="119" t="s">
        <v>26</v>
      </c>
      <c r="O1455" s="128">
        <v>4.4000000000000004</v>
      </c>
      <c r="P1455" s="119" t="s">
        <v>26</v>
      </c>
      <c r="Q1455" s="128">
        <v>0.8</v>
      </c>
      <c r="R1455" s="128">
        <v>1.4</v>
      </c>
      <c r="S1455" s="128">
        <v>3.1</v>
      </c>
      <c r="T1455" s="121" t="s">
        <v>26</v>
      </c>
      <c r="U1455" s="152">
        <v>2680</v>
      </c>
      <c r="V1455" s="136" t="s">
        <v>26</v>
      </c>
    </row>
    <row r="1456" spans="1:22">
      <c r="A1456" s="1" t="s">
        <v>1408</v>
      </c>
      <c r="B1456" s="1" t="s">
        <v>39</v>
      </c>
      <c r="C1456" s="29" t="s">
        <v>22</v>
      </c>
      <c r="D1456" s="1" t="s">
        <v>142</v>
      </c>
      <c r="E1456" s="32" t="s">
        <v>31</v>
      </c>
      <c r="F1456" s="7" t="s">
        <v>113</v>
      </c>
      <c r="G1456" s="128">
        <v>21</v>
      </c>
      <c r="H1456" s="146" t="s">
        <v>26</v>
      </c>
      <c r="I1456" s="128">
        <v>2.8</v>
      </c>
      <c r="J1456" s="128">
        <v>23.5</v>
      </c>
      <c r="K1456" s="119" t="s">
        <v>26</v>
      </c>
      <c r="L1456" s="119" t="s">
        <v>26</v>
      </c>
      <c r="M1456" s="119" t="s">
        <v>26</v>
      </c>
      <c r="N1456" s="119" t="s">
        <v>26</v>
      </c>
      <c r="O1456" s="128">
        <v>2.6</v>
      </c>
      <c r="P1456" s="119" t="s">
        <v>26</v>
      </c>
      <c r="Q1456" s="119" t="s">
        <v>26</v>
      </c>
      <c r="R1456" s="119" t="s">
        <v>26</v>
      </c>
      <c r="S1456" s="128">
        <v>4.5</v>
      </c>
      <c r="T1456" s="121" t="s">
        <v>26</v>
      </c>
      <c r="U1456" s="152">
        <v>905</v>
      </c>
      <c r="V1456" s="136" t="s">
        <v>26</v>
      </c>
    </row>
    <row r="1457" spans="1:28">
      <c r="A1457" s="1" t="s">
        <v>1408</v>
      </c>
      <c r="B1457" s="1" t="s">
        <v>83</v>
      </c>
      <c r="C1457" s="29" t="s">
        <v>22</v>
      </c>
      <c r="D1457" s="8" t="s">
        <v>109</v>
      </c>
      <c r="E1457" s="32" t="s">
        <v>27</v>
      </c>
      <c r="F1457" s="7" t="s">
        <v>1411</v>
      </c>
      <c r="G1457" s="128">
        <v>122</v>
      </c>
      <c r="H1457" s="128">
        <v>47.5</v>
      </c>
      <c r="I1457" s="128">
        <v>24.5</v>
      </c>
      <c r="J1457" s="128">
        <v>0.5</v>
      </c>
      <c r="K1457" s="119" t="s">
        <v>26</v>
      </c>
      <c r="L1457" s="119" t="s">
        <v>26</v>
      </c>
      <c r="M1457" s="128">
        <v>0.3</v>
      </c>
      <c r="N1457" s="119" t="s">
        <v>26</v>
      </c>
      <c r="O1457" s="128">
        <v>2.8</v>
      </c>
      <c r="P1457" s="119" t="s">
        <v>26</v>
      </c>
      <c r="Q1457" s="128">
        <v>2.4</v>
      </c>
      <c r="R1457" s="128">
        <v>2.5</v>
      </c>
      <c r="S1457" s="128">
        <v>1.2</v>
      </c>
      <c r="T1457" s="121" t="s">
        <v>26</v>
      </c>
      <c r="U1457" s="130">
        <v>405</v>
      </c>
      <c r="V1457" s="136" t="s">
        <v>26</v>
      </c>
    </row>
    <row r="1458" spans="1:28">
      <c r="A1458" s="1" t="s">
        <v>1408</v>
      </c>
      <c r="B1458" s="1" t="s">
        <v>83</v>
      </c>
      <c r="C1458" s="29" t="s">
        <v>22</v>
      </c>
      <c r="D1458" s="8" t="s">
        <v>109</v>
      </c>
      <c r="E1458" s="32" t="s">
        <v>29</v>
      </c>
      <c r="F1458" s="7" t="s">
        <v>1412</v>
      </c>
      <c r="G1458" s="128">
        <v>41</v>
      </c>
      <c r="H1458" s="128">
        <v>28.9</v>
      </c>
      <c r="I1458" s="128">
        <v>6.1</v>
      </c>
      <c r="J1458" s="128">
        <v>4.0999999999999996</v>
      </c>
      <c r="K1458" s="119" t="s">
        <v>26</v>
      </c>
      <c r="L1458" s="128">
        <v>0.5</v>
      </c>
      <c r="M1458" s="128">
        <v>0.8</v>
      </c>
      <c r="N1458" s="119" t="s">
        <v>26</v>
      </c>
      <c r="O1458" s="128">
        <v>2</v>
      </c>
      <c r="P1458" s="119" t="s">
        <v>26</v>
      </c>
      <c r="Q1458" s="119" t="s">
        <v>26</v>
      </c>
      <c r="R1458" s="128">
        <v>1.8</v>
      </c>
      <c r="S1458" s="128">
        <v>1.6</v>
      </c>
      <c r="T1458" s="121" t="s">
        <v>26</v>
      </c>
      <c r="U1458" s="130">
        <v>3082</v>
      </c>
      <c r="V1458" s="136" t="s">
        <v>26</v>
      </c>
    </row>
    <row r="1459" spans="1:28">
      <c r="A1459" s="1" t="s">
        <v>1408</v>
      </c>
      <c r="B1459" s="1" t="s">
        <v>83</v>
      </c>
      <c r="C1459" s="29" t="s">
        <v>22</v>
      </c>
      <c r="D1459" s="8" t="s">
        <v>109</v>
      </c>
      <c r="E1459" s="32" t="s">
        <v>31</v>
      </c>
      <c r="F1459" s="7" t="s">
        <v>1413</v>
      </c>
      <c r="G1459" s="128">
        <v>20</v>
      </c>
      <c r="H1459" s="146" t="s">
        <v>26</v>
      </c>
      <c r="I1459" s="128">
        <v>3.1</v>
      </c>
      <c r="J1459" s="128">
        <v>24.6</v>
      </c>
      <c r="K1459" s="119" t="s">
        <v>26</v>
      </c>
      <c r="L1459" s="119" t="s">
        <v>26</v>
      </c>
      <c r="M1459" s="119" t="s">
        <v>26</v>
      </c>
      <c r="N1459" s="119" t="s">
        <v>26</v>
      </c>
      <c r="O1459" s="125" t="s">
        <v>26</v>
      </c>
      <c r="P1459" s="119" t="s">
        <v>26</v>
      </c>
      <c r="Q1459" s="119" t="s">
        <v>26</v>
      </c>
      <c r="R1459" s="119" t="s">
        <v>26</v>
      </c>
      <c r="S1459" s="128">
        <v>1.9</v>
      </c>
      <c r="T1459" s="121" t="s">
        <v>26</v>
      </c>
      <c r="U1459" s="130">
        <v>318</v>
      </c>
      <c r="V1459" s="136" t="s">
        <v>26</v>
      </c>
    </row>
    <row r="1460" spans="1:28">
      <c r="A1460" s="1" t="s">
        <v>1408</v>
      </c>
      <c r="B1460" s="1" t="s">
        <v>119</v>
      </c>
      <c r="C1460" s="29" t="s">
        <v>22</v>
      </c>
      <c r="D1460" s="3" t="s">
        <v>33</v>
      </c>
      <c r="E1460" s="32" t="s">
        <v>27</v>
      </c>
      <c r="F1460" s="7" t="s">
        <v>1414</v>
      </c>
      <c r="G1460" s="128">
        <v>132</v>
      </c>
      <c r="H1460" s="128">
        <v>32.5</v>
      </c>
      <c r="I1460" s="128">
        <v>18.8</v>
      </c>
      <c r="J1460" s="128">
        <v>2.1</v>
      </c>
      <c r="K1460" s="128">
        <v>2.2000000000000002</v>
      </c>
      <c r="L1460" s="128">
        <v>4.8</v>
      </c>
      <c r="M1460" s="128">
        <v>0.6</v>
      </c>
      <c r="N1460" s="119" t="s">
        <v>26</v>
      </c>
      <c r="O1460" s="128">
        <v>8.5</v>
      </c>
      <c r="P1460" s="128">
        <v>1.2</v>
      </c>
      <c r="Q1460" s="119" t="s">
        <v>26</v>
      </c>
      <c r="R1460" s="128">
        <v>1.8</v>
      </c>
      <c r="S1460" s="128">
        <v>1.3</v>
      </c>
      <c r="T1460" s="121" t="s">
        <v>26</v>
      </c>
      <c r="U1460" s="130">
        <v>825</v>
      </c>
      <c r="V1460" s="149">
        <v>335</v>
      </c>
    </row>
    <row r="1461" spans="1:28">
      <c r="A1461" s="1" t="s">
        <v>1408</v>
      </c>
      <c r="B1461" s="1" t="s">
        <v>119</v>
      </c>
      <c r="C1461" s="29" t="s">
        <v>22</v>
      </c>
      <c r="D1461" s="3" t="s">
        <v>33</v>
      </c>
      <c r="E1461" s="32" t="s">
        <v>29</v>
      </c>
      <c r="F1461" s="7" t="s">
        <v>1203</v>
      </c>
      <c r="G1461" s="128">
        <v>48</v>
      </c>
      <c r="H1461" s="128">
        <v>3.9</v>
      </c>
      <c r="I1461" s="128">
        <v>9.8000000000000007</v>
      </c>
      <c r="J1461" s="128">
        <v>6.1</v>
      </c>
      <c r="K1461" s="128">
        <v>1.8</v>
      </c>
      <c r="L1461" s="128">
        <v>5.0999999999999996</v>
      </c>
      <c r="M1461" s="128">
        <v>0.8</v>
      </c>
      <c r="N1461" s="119" t="s">
        <v>26</v>
      </c>
      <c r="O1461" s="128">
        <v>8.8000000000000007</v>
      </c>
      <c r="P1461" s="128">
        <v>1.8</v>
      </c>
      <c r="Q1461" s="119" t="s">
        <v>26</v>
      </c>
      <c r="R1461" s="128">
        <v>0.9</v>
      </c>
      <c r="S1461" s="128">
        <v>2.4</v>
      </c>
      <c r="T1461" s="121" t="s">
        <v>26</v>
      </c>
      <c r="U1461" s="130">
        <v>681</v>
      </c>
      <c r="V1461" s="147">
        <v>61</v>
      </c>
    </row>
    <row r="1462" spans="1:28">
      <c r="A1462" s="1" t="s">
        <v>1408</v>
      </c>
      <c r="B1462" s="1" t="s">
        <v>119</v>
      </c>
      <c r="C1462" s="29" t="s">
        <v>22</v>
      </c>
      <c r="D1462" s="1" t="s">
        <v>1341</v>
      </c>
      <c r="E1462" s="32" t="s">
        <v>27</v>
      </c>
      <c r="F1462" s="7" t="s">
        <v>1415</v>
      </c>
      <c r="G1462" s="128">
        <v>108</v>
      </c>
      <c r="H1462" s="128">
        <v>38.799999999999997</v>
      </c>
      <c r="I1462" s="128">
        <v>12.6</v>
      </c>
      <c r="J1462" s="128">
        <v>2.6</v>
      </c>
      <c r="K1462" s="128">
        <v>0.9</v>
      </c>
      <c r="L1462" s="128">
        <v>3.8</v>
      </c>
      <c r="M1462" s="128">
        <v>0.4</v>
      </c>
      <c r="N1462" s="119" t="s">
        <v>26</v>
      </c>
      <c r="O1462" s="128">
        <v>5.0999999999999996</v>
      </c>
      <c r="P1462" s="119" t="s">
        <v>26</v>
      </c>
      <c r="Q1462" s="128">
        <v>1.1000000000000001</v>
      </c>
      <c r="R1462" s="128">
        <v>2.6</v>
      </c>
      <c r="S1462" s="128">
        <v>1.1000000000000001</v>
      </c>
      <c r="T1462" s="121" t="s">
        <v>26</v>
      </c>
      <c r="U1462" s="130">
        <v>542</v>
      </c>
      <c r="V1462" s="147">
        <v>25</v>
      </c>
    </row>
    <row r="1463" spans="1:28">
      <c r="A1463" s="1" t="s">
        <v>1408</v>
      </c>
      <c r="B1463" s="1" t="s">
        <v>119</v>
      </c>
      <c r="C1463" s="29" t="s">
        <v>22</v>
      </c>
      <c r="D1463" s="1" t="s">
        <v>1341</v>
      </c>
      <c r="E1463" s="32" t="s">
        <v>29</v>
      </c>
      <c r="F1463" s="7" t="s">
        <v>101</v>
      </c>
      <c r="G1463" s="128">
        <v>46</v>
      </c>
      <c r="H1463" s="128">
        <v>6.4</v>
      </c>
      <c r="I1463" s="128">
        <v>9.4</v>
      </c>
      <c r="J1463" s="128">
        <v>6.4</v>
      </c>
      <c r="K1463" s="128">
        <v>1.1000000000000001</v>
      </c>
      <c r="L1463" s="128">
        <v>16.8</v>
      </c>
      <c r="M1463" s="128">
        <v>0.6</v>
      </c>
      <c r="N1463" s="119" t="s">
        <v>26</v>
      </c>
      <c r="O1463" s="128">
        <v>5.6</v>
      </c>
      <c r="P1463" s="119" t="s">
        <v>26</v>
      </c>
      <c r="Q1463" s="119" t="s">
        <v>26</v>
      </c>
      <c r="R1463" s="128">
        <v>1.5</v>
      </c>
      <c r="S1463" s="128">
        <v>2.6</v>
      </c>
      <c r="T1463" s="121" t="s">
        <v>26</v>
      </c>
      <c r="U1463" s="130">
        <v>2439</v>
      </c>
      <c r="V1463" s="136" t="s">
        <v>26</v>
      </c>
    </row>
    <row r="1464" spans="1:28">
      <c r="A1464" s="1" t="s">
        <v>1408</v>
      </c>
      <c r="B1464" s="1" t="s">
        <v>119</v>
      </c>
      <c r="C1464" s="29" t="s">
        <v>22</v>
      </c>
      <c r="D1464" s="1" t="s">
        <v>1341</v>
      </c>
      <c r="E1464" s="32" t="s">
        <v>31</v>
      </c>
      <c r="F1464" s="7" t="s">
        <v>1416</v>
      </c>
      <c r="G1464" s="128">
        <v>23</v>
      </c>
      <c r="H1464" s="146" t="s">
        <v>26</v>
      </c>
      <c r="I1464" s="128">
        <v>4.8</v>
      </c>
      <c r="J1464" s="128">
        <v>31.8</v>
      </c>
      <c r="K1464" s="128">
        <v>0.8</v>
      </c>
      <c r="L1464" s="128">
        <v>3.9</v>
      </c>
      <c r="M1464" s="119" t="s">
        <v>26</v>
      </c>
      <c r="N1464" s="119" t="s">
        <v>26</v>
      </c>
      <c r="O1464" s="128">
        <v>2.8</v>
      </c>
      <c r="P1464" s="119" t="s">
        <v>26</v>
      </c>
      <c r="Q1464" s="119" t="s">
        <v>26</v>
      </c>
      <c r="R1464" s="119" t="s">
        <v>26</v>
      </c>
      <c r="S1464" s="128">
        <v>3.5</v>
      </c>
      <c r="T1464" s="121" t="s">
        <v>26</v>
      </c>
      <c r="U1464" s="130">
        <v>527</v>
      </c>
      <c r="V1464" s="136" t="s">
        <v>26</v>
      </c>
      <c r="Y1464" s="33"/>
      <c r="Z1464" s="33"/>
      <c r="AA1464" s="33"/>
      <c r="AB1464" s="33"/>
    </row>
    <row r="1465" spans="1:28">
      <c r="A1465" s="1" t="s">
        <v>1417</v>
      </c>
      <c r="B1465" s="1" t="s">
        <v>373</v>
      </c>
      <c r="C1465" s="29" t="s">
        <v>22</v>
      </c>
      <c r="D1465" s="1" t="s">
        <v>142</v>
      </c>
      <c r="E1465" s="32" t="s">
        <v>27</v>
      </c>
      <c r="F1465" s="7" t="s">
        <v>673</v>
      </c>
      <c r="G1465" s="128">
        <v>131</v>
      </c>
      <c r="H1465" s="128">
        <v>40.299999999999997</v>
      </c>
      <c r="I1465" s="128">
        <v>13.2</v>
      </c>
      <c r="J1465" s="128">
        <v>0.4</v>
      </c>
      <c r="K1465" s="119" t="s">
        <v>26</v>
      </c>
      <c r="L1465" s="119" t="s">
        <v>26</v>
      </c>
      <c r="M1465" s="128">
        <v>1.7</v>
      </c>
      <c r="N1465" s="119" t="s">
        <v>26</v>
      </c>
      <c r="O1465" s="128">
        <v>3.4</v>
      </c>
      <c r="P1465" s="119" t="s">
        <v>26</v>
      </c>
      <c r="Q1465" s="119" t="s">
        <v>26</v>
      </c>
      <c r="R1465" s="128">
        <v>1.2</v>
      </c>
      <c r="S1465" s="120" t="s">
        <v>26</v>
      </c>
      <c r="T1465" s="121" t="s">
        <v>26</v>
      </c>
      <c r="U1465" s="148">
        <v>362</v>
      </c>
      <c r="V1465" s="136" t="s">
        <v>26</v>
      </c>
      <c r="Y1465" s="33"/>
      <c r="Z1465" s="33"/>
      <c r="AA1465" s="33"/>
      <c r="AB1465" s="33"/>
    </row>
    <row r="1466" spans="1:28">
      <c r="A1466" s="1" t="s">
        <v>1417</v>
      </c>
      <c r="B1466" s="1" t="s">
        <v>373</v>
      </c>
      <c r="C1466" s="29" t="s">
        <v>22</v>
      </c>
      <c r="D1466" s="1" t="s">
        <v>142</v>
      </c>
      <c r="E1466" s="32" t="s">
        <v>29</v>
      </c>
      <c r="F1466" s="7" t="s">
        <v>1418</v>
      </c>
      <c r="G1466" s="128">
        <v>39</v>
      </c>
      <c r="H1466" s="128">
        <v>22.2</v>
      </c>
      <c r="I1466" s="128">
        <v>0.81</v>
      </c>
      <c r="J1466" s="128">
        <v>6.06</v>
      </c>
      <c r="K1466" s="119" t="s">
        <v>26</v>
      </c>
      <c r="L1466" s="119" t="s">
        <v>26</v>
      </c>
      <c r="M1466" s="128">
        <v>1.9</v>
      </c>
      <c r="N1466" s="119" t="s">
        <v>26</v>
      </c>
      <c r="O1466" s="128">
        <v>3.9</v>
      </c>
      <c r="P1466" s="119" t="s">
        <v>26</v>
      </c>
      <c r="Q1466" s="119" t="s">
        <v>26</v>
      </c>
      <c r="R1466" s="128">
        <v>1.4</v>
      </c>
      <c r="S1466" s="120" t="s">
        <v>26</v>
      </c>
      <c r="T1466" s="121" t="s">
        <v>26</v>
      </c>
      <c r="U1466" s="152">
        <v>2767</v>
      </c>
      <c r="V1466" s="136" t="s">
        <v>26</v>
      </c>
      <c r="Y1466" s="33"/>
      <c r="Z1466" s="33"/>
      <c r="AA1466" s="33"/>
      <c r="AB1466" s="33"/>
    </row>
    <row r="1467" spans="1:28">
      <c r="A1467" s="1" t="s">
        <v>1417</v>
      </c>
      <c r="B1467" s="1" t="s">
        <v>373</v>
      </c>
      <c r="C1467" s="29" t="s">
        <v>22</v>
      </c>
      <c r="D1467" s="1" t="s">
        <v>142</v>
      </c>
      <c r="E1467" s="32" t="s">
        <v>31</v>
      </c>
      <c r="F1467" s="7" t="s">
        <v>1255</v>
      </c>
      <c r="G1467" s="128">
        <v>23</v>
      </c>
      <c r="H1467" s="146" t="s">
        <v>26</v>
      </c>
      <c r="I1467" s="128">
        <v>6.7</v>
      </c>
      <c r="J1467" s="128">
        <v>28.65</v>
      </c>
      <c r="K1467" s="119" t="s">
        <v>26</v>
      </c>
      <c r="L1467" s="119" t="s">
        <v>26</v>
      </c>
      <c r="M1467" s="119" t="s">
        <v>26</v>
      </c>
      <c r="N1467" s="119" t="s">
        <v>26</v>
      </c>
      <c r="O1467" s="125" t="s">
        <v>26</v>
      </c>
      <c r="P1467" s="119" t="s">
        <v>26</v>
      </c>
      <c r="Q1467" s="119" t="s">
        <v>26</v>
      </c>
      <c r="R1467" s="119" t="s">
        <v>26</v>
      </c>
      <c r="S1467" s="120" t="s">
        <v>26</v>
      </c>
      <c r="T1467" s="121" t="s">
        <v>26</v>
      </c>
      <c r="U1467" s="152">
        <v>948</v>
      </c>
      <c r="V1467" s="136" t="s">
        <v>26</v>
      </c>
      <c r="Y1467" s="33"/>
      <c r="Z1467" s="33"/>
      <c r="AA1467" s="33"/>
      <c r="AB1467" s="33"/>
    </row>
    <row r="1468" spans="1:28">
      <c r="A1468" s="1" t="s">
        <v>1417</v>
      </c>
      <c r="B1468" s="1" t="s">
        <v>623</v>
      </c>
      <c r="C1468" s="29" t="s">
        <v>22</v>
      </c>
      <c r="D1468" s="3" t="s">
        <v>23</v>
      </c>
      <c r="E1468" s="32" t="s">
        <v>27</v>
      </c>
      <c r="F1468" s="7" t="s">
        <v>1419</v>
      </c>
      <c r="G1468" s="128">
        <v>123</v>
      </c>
      <c r="H1468" s="128">
        <v>12.1</v>
      </c>
      <c r="I1468" s="128">
        <v>9.4</v>
      </c>
      <c r="J1468" s="128">
        <v>1.4</v>
      </c>
      <c r="K1468" s="119" t="s">
        <v>26</v>
      </c>
      <c r="L1468" s="119" t="s">
        <v>26</v>
      </c>
      <c r="M1468" s="119" t="s">
        <v>26</v>
      </c>
      <c r="N1468" s="119" t="s">
        <v>26</v>
      </c>
      <c r="O1468" s="128">
        <v>12.3</v>
      </c>
      <c r="P1468" s="119" t="s">
        <v>26</v>
      </c>
      <c r="Q1468" s="119" t="s">
        <v>26</v>
      </c>
      <c r="R1468" s="119" t="s">
        <v>26</v>
      </c>
      <c r="S1468" s="120" t="s">
        <v>26</v>
      </c>
      <c r="T1468" s="121" t="s">
        <v>26</v>
      </c>
      <c r="U1468" s="148">
        <v>1172</v>
      </c>
      <c r="V1468" s="136" t="s">
        <v>26</v>
      </c>
      <c r="Y1468" s="33"/>
      <c r="Z1468" s="33"/>
      <c r="AA1468" s="33"/>
      <c r="AB1468" s="33"/>
    </row>
    <row r="1469" spans="1:28">
      <c r="A1469" s="1" t="s">
        <v>1417</v>
      </c>
      <c r="B1469" s="1" t="s">
        <v>623</v>
      </c>
      <c r="C1469" s="29" t="s">
        <v>22</v>
      </c>
      <c r="D1469" s="3" t="s">
        <v>23</v>
      </c>
      <c r="E1469" s="32" t="s">
        <v>29</v>
      </c>
      <c r="F1469" s="7" t="s">
        <v>1420</v>
      </c>
      <c r="G1469" s="128">
        <v>56</v>
      </c>
      <c r="H1469" s="146" t="s">
        <v>26</v>
      </c>
      <c r="I1469" s="128">
        <v>7.2</v>
      </c>
      <c r="J1469" s="128">
        <v>9.3000000000000007</v>
      </c>
      <c r="K1469" s="119" t="s">
        <v>26</v>
      </c>
      <c r="L1469" s="119" t="s">
        <v>26</v>
      </c>
      <c r="M1469" s="128">
        <v>1.8</v>
      </c>
      <c r="N1469" s="119" t="s">
        <v>26</v>
      </c>
      <c r="O1469" s="128">
        <v>5.9</v>
      </c>
      <c r="P1469" s="119" t="s">
        <v>26</v>
      </c>
      <c r="Q1469" s="119" t="s">
        <v>26</v>
      </c>
      <c r="R1469" s="119" t="s">
        <v>26</v>
      </c>
      <c r="S1469" s="120" t="s">
        <v>26</v>
      </c>
      <c r="T1469" s="121" t="s">
        <v>26</v>
      </c>
      <c r="U1469" s="148">
        <v>1878</v>
      </c>
      <c r="V1469" s="136" t="s">
        <v>26</v>
      </c>
      <c r="Y1469" s="33"/>
      <c r="Z1469" s="33"/>
      <c r="AA1469" s="33"/>
      <c r="AB1469" s="33"/>
    </row>
    <row r="1470" spans="1:28">
      <c r="A1470" s="1" t="s">
        <v>1417</v>
      </c>
      <c r="B1470" s="1" t="s">
        <v>623</v>
      </c>
      <c r="C1470" s="29" t="s">
        <v>22</v>
      </c>
      <c r="D1470" s="3" t="s">
        <v>23</v>
      </c>
      <c r="E1470" s="32" t="s">
        <v>31</v>
      </c>
      <c r="F1470" s="7" t="s">
        <v>533</v>
      </c>
      <c r="G1470" s="128">
        <v>21</v>
      </c>
      <c r="H1470" s="146" t="s">
        <v>26</v>
      </c>
      <c r="I1470" s="128">
        <v>6.8</v>
      </c>
      <c r="J1470" s="128">
        <v>14.3</v>
      </c>
      <c r="K1470" s="119" t="s">
        <v>26</v>
      </c>
      <c r="L1470" s="119" t="s">
        <v>26</v>
      </c>
      <c r="M1470" s="119" t="s">
        <v>26</v>
      </c>
      <c r="N1470" s="119" t="s">
        <v>26</v>
      </c>
      <c r="O1470" s="128">
        <v>5.2</v>
      </c>
      <c r="P1470" s="119" t="s">
        <v>26</v>
      </c>
      <c r="Q1470" s="119" t="s">
        <v>26</v>
      </c>
      <c r="R1470" s="119" t="s">
        <v>26</v>
      </c>
      <c r="S1470" s="120" t="s">
        <v>26</v>
      </c>
      <c r="T1470" s="121" t="s">
        <v>26</v>
      </c>
      <c r="U1470" s="148">
        <v>789</v>
      </c>
      <c r="V1470" s="136" t="s">
        <v>26</v>
      </c>
      <c r="Y1470" s="33"/>
      <c r="Z1470" s="33"/>
      <c r="AA1470" s="33"/>
      <c r="AB1470" s="33"/>
    </row>
    <row r="1471" spans="1:28">
      <c r="A1471" s="1" t="s">
        <v>1417</v>
      </c>
      <c r="B1471" s="1" t="s">
        <v>623</v>
      </c>
      <c r="C1471" s="29" t="s">
        <v>22</v>
      </c>
      <c r="D1471" s="3" t="s">
        <v>33</v>
      </c>
      <c r="E1471" s="32" t="s">
        <v>27</v>
      </c>
      <c r="F1471" s="7" t="s">
        <v>1421</v>
      </c>
      <c r="G1471" s="128">
        <v>129</v>
      </c>
      <c r="H1471" s="128">
        <v>25.6</v>
      </c>
      <c r="I1471" s="128">
        <v>8.1999999999999993</v>
      </c>
      <c r="J1471" s="128">
        <v>2.5</v>
      </c>
      <c r="K1471" s="119" t="s">
        <v>26</v>
      </c>
      <c r="L1471" s="119" t="s">
        <v>26</v>
      </c>
      <c r="M1471" s="119" t="s">
        <v>26</v>
      </c>
      <c r="N1471" s="119" t="s">
        <v>26</v>
      </c>
      <c r="O1471" s="128">
        <v>6.4</v>
      </c>
      <c r="P1471" s="119" t="s">
        <v>26</v>
      </c>
      <c r="Q1471" s="119" t="s">
        <v>26</v>
      </c>
      <c r="R1471" s="128">
        <v>0.9</v>
      </c>
      <c r="S1471" s="120" t="s">
        <v>26</v>
      </c>
      <c r="T1471" s="121" t="s">
        <v>26</v>
      </c>
      <c r="U1471" s="130">
        <v>631</v>
      </c>
      <c r="V1471" s="136" t="s">
        <v>26</v>
      </c>
      <c r="Y1471" s="33"/>
      <c r="Z1471" s="33"/>
      <c r="AA1471" s="33"/>
      <c r="AB1471" s="33"/>
    </row>
    <row r="1472" spans="1:28">
      <c r="A1472" s="1" t="s">
        <v>1417</v>
      </c>
      <c r="B1472" s="1" t="s">
        <v>623</v>
      </c>
      <c r="C1472" s="29" t="s">
        <v>22</v>
      </c>
      <c r="D1472" s="3" t="s">
        <v>33</v>
      </c>
      <c r="E1472" s="32" t="s">
        <v>29</v>
      </c>
      <c r="F1472" s="7" t="s">
        <v>238</v>
      </c>
      <c r="G1472" s="128">
        <v>49</v>
      </c>
      <c r="H1472" s="128">
        <v>8.6999999999999993</v>
      </c>
      <c r="I1472" s="128">
        <v>7.3</v>
      </c>
      <c r="J1472" s="128">
        <v>6.8</v>
      </c>
      <c r="K1472" s="119" t="s">
        <v>26</v>
      </c>
      <c r="L1472" s="119" t="s">
        <v>26</v>
      </c>
      <c r="M1472" s="119" t="s">
        <v>26</v>
      </c>
      <c r="N1472" s="119" t="s">
        <v>26</v>
      </c>
      <c r="O1472" s="128">
        <v>5.9</v>
      </c>
      <c r="P1472" s="119" t="s">
        <v>26</v>
      </c>
      <c r="Q1472" s="119" t="s">
        <v>26</v>
      </c>
      <c r="R1472" s="119" t="s">
        <v>26</v>
      </c>
      <c r="S1472" s="120" t="s">
        <v>26</v>
      </c>
      <c r="T1472" s="121" t="s">
        <v>26</v>
      </c>
      <c r="U1472" s="130">
        <v>1051</v>
      </c>
      <c r="V1472" s="136" t="s">
        <v>26</v>
      </c>
      <c r="Y1472" s="33"/>
      <c r="Z1472" s="33"/>
      <c r="AA1472" s="33"/>
      <c r="AB1472" s="33"/>
    </row>
    <row r="1473" spans="1:28">
      <c r="A1473" s="1" t="s">
        <v>1417</v>
      </c>
      <c r="B1473" s="1" t="s">
        <v>623</v>
      </c>
      <c r="C1473" s="29" t="s">
        <v>22</v>
      </c>
      <c r="D1473" s="3" t="s">
        <v>33</v>
      </c>
      <c r="E1473" s="32" t="s">
        <v>31</v>
      </c>
      <c r="F1473" s="7" t="s">
        <v>1422</v>
      </c>
      <c r="G1473" s="128">
        <v>19</v>
      </c>
      <c r="H1473" s="146" t="s">
        <v>26</v>
      </c>
      <c r="I1473" s="128">
        <v>6.2</v>
      </c>
      <c r="J1473" s="128">
        <v>18.7</v>
      </c>
      <c r="K1473" s="119" t="s">
        <v>26</v>
      </c>
      <c r="L1473" s="119" t="s">
        <v>26</v>
      </c>
      <c r="M1473" s="119" t="s">
        <v>26</v>
      </c>
      <c r="N1473" s="119" t="s">
        <v>26</v>
      </c>
      <c r="O1473" s="128">
        <v>4.2</v>
      </c>
      <c r="P1473" s="119" t="s">
        <v>26</v>
      </c>
      <c r="Q1473" s="119" t="s">
        <v>26</v>
      </c>
      <c r="R1473" s="119" t="s">
        <v>26</v>
      </c>
      <c r="S1473" s="120" t="s">
        <v>26</v>
      </c>
      <c r="T1473" s="121" t="s">
        <v>26</v>
      </c>
      <c r="U1473" s="130">
        <v>267</v>
      </c>
      <c r="V1473" s="136" t="s">
        <v>26</v>
      </c>
      <c r="Y1473" s="33"/>
      <c r="Z1473" s="33"/>
      <c r="AA1473" s="33"/>
      <c r="AB1473" s="33"/>
    </row>
    <row r="1474" spans="1:28">
      <c r="A1474" s="1" t="s">
        <v>1417</v>
      </c>
      <c r="B1474" s="1" t="s">
        <v>320</v>
      </c>
      <c r="C1474" s="29" t="s">
        <v>22</v>
      </c>
      <c r="D1474" s="8" t="s">
        <v>109</v>
      </c>
      <c r="E1474" s="32" t="s">
        <v>27</v>
      </c>
      <c r="F1474" s="7" t="s">
        <v>1423</v>
      </c>
      <c r="G1474" s="128">
        <v>125</v>
      </c>
      <c r="H1474" s="128">
        <v>44.8</v>
      </c>
      <c r="I1474" s="128">
        <v>22.9</v>
      </c>
      <c r="J1474" s="119" t="s">
        <v>26</v>
      </c>
      <c r="K1474" s="119" t="s">
        <v>26</v>
      </c>
      <c r="L1474" s="119" t="s">
        <v>26</v>
      </c>
      <c r="M1474" s="119" t="s">
        <v>26</v>
      </c>
      <c r="N1474" s="119" t="s">
        <v>26</v>
      </c>
      <c r="O1474" s="128">
        <v>1.8</v>
      </c>
      <c r="P1474" s="128">
        <v>2.1</v>
      </c>
      <c r="Q1474" s="119" t="s">
        <v>26</v>
      </c>
      <c r="R1474" s="119" t="s">
        <v>26</v>
      </c>
      <c r="S1474" s="120" t="s">
        <v>26</v>
      </c>
      <c r="T1474" s="121" t="s">
        <v>26</v>
      </c>
      <c r="U1474" s="152">
        <v>4323</v>
      </c>
      <c r="V1474" s="149">
        <v>325</v>
      </c>
      <c r="Y1474" s="33"/>
      <c r="Z1474" s="33"/>
      <c r="AA1474" s="33"/>
      <c r="AB1474" s="33"/>
    </row>
    <row r="1475" spans="1:28">
      <c r="A1475" s="1" t="s">
        <v>1417</v>
      </c>
      <c r="B1475" s="1" t="s">
        <v>320</v>
      </c>
      <c r="C1475" s="29" t="s">
        <v>22</v>
      </c>
      <c r="D1475" s="8" t="s">
        <v>109</v>
      </c>
      <c r="E1475" s="32" t="s">
        <v>29</v>
      </c>
      <c r="F1475" s="7" t="s">
        <v>1424</v>
      </c>
      <c r="G1475" s="128">
        <v>42</v>
      </c>
      <c r="H1475" s="128">
        <v>28.9</v>
      </c>
      <c r="I1475" s="128">
        <v>5.9</v>
      </c>
      <c r="J1475" s="128">
        <v>5.2</v>
      </c>
      <c r="K1475" s="119" t="s">
        <v>26</v>
      </c>
      <c r="L1475" s="119" t="s">
        <v>26</v>
      </c>
      <c r="M1475" s="119" t="s">
        <v>26</v>
      </c>
      <c r="N1475" s="119" t="s">
        <v>26</v>
      </c>
      <c r="O1475" s="128">
        <v>1.9</v>
      </c>
      <c r="P1475" s="119" t="s">
        <v>26</v>
      </c>
      <c r="Q1475" s="119" t="s">
        <v>26</v>
      </c>
      <c r="R1475" s="119" t="s">
        <v>26</v>
      </c>
      <c r="S1475" s="120" t="s">
        <v>26</v>
      </c>
      <c r="T1475" s="121" t="s">
        <v>26</v>
      </c>
      <c r="U1475" s="130">
        <v>3336</v>
      </c>
      <c r="V1475" s="147">
        <v>105</v>
      </c>
      <c r="Y1475" s="33"/>
      <c r="Z1475" s="33"/>
      <c r="AA1475" s="33"/>
      <c r="AB1475" s="33"/>
    </row>
    <row r="1476" spans="1:28">
      <c r="A1476" s="1" t="s">
        <v>1417</v>
      </c>
      <c r="B1476" s="1" t="s">
        <v>320</v>
      </c>
      <c r="C1476" s="29" t="s">
        <v>22</v>
      </c>
      <c r="D1476" s="8" t="s">
        <v>109</v>
      </c>
      <c r="E1476" s="32" t="s">
        <v>31</v>
      </c>
      <c r="F1476" s="7" t="s">
        <v>1425</v>
      </c>
      <c r="G1476" s="128">
        <v>21</v>
      </c>
      <c r="H1476" s="146" t="s">
        <v>26</v>
      </c>
      <c r="I1476" s="128">
        <v>4.8</v>
      </c>
      <c r="J1476" s="128">
        <v>20.8</v>
      </c>
      <c r="K1476" s="119" t="s">
        <v>26</v>
      </c>
      <c r="L1476" s="119" t="s">
        <v>26</v>
      </c>
      <c r="M1476" s="119" t="s">
        <v>26</v>
      </c>
      <c r="N1476" s="119" t="s">
        <v>26</v>
      </c>
      <c r="O1476" s="125" t="s">
        <v>26</v>
      </c>
      <c r="P1476" s="119" t="s">
        <v>26</v>
      </c>
      <c r="Q1476" s="119" t="s">
        <v>26</v>
      </c>
      <c r="R1476" s="119" t="s">
        <v>26</v>
      </c>
      <c r="S1476" s="120" t="s">
        <v>26</v>
      </c>
      <c r="T1476" s="121" t="s">
        <v>26</v>
      </c>
      <c r="U1476" s="130">
        <v>291</v>
      </c>
      <c r="V1476" s="147">
        <v>358</v>
      </c>
      <c r="Y1476" s="33"/>
      <c r="Z1476" s="33"/>
      <c r="AA1476" s="33"/>
      <c r="AB1476" s="33"/>
    </row>
    <row r="1477" spans="1:28">
      <c r="A1477" s="1" t="s">
        <v>1426</v>
      </c>
      <c r="B1477" s="1" t="s">
        <v>1427</v>
      </c>
      <c r="C1477" s="29" t="s">
        <v>22</v>
      </c>
      <c r="D1477" s="3" t="s">
        <v>23</v>
      </c>
      <c r="E1477" s="32" t="s">
        <v>27</v>
      </c>
      <c r="F1477" s="7" t="s">
        <v>1428</v>
      </c>
      <c r="G1477" s="128">
        <v>115</v>
      </c>
      <c r="H1477" s="128">
        <v>32.5</v>
      </c>
      <c r="I1477" s="128">
        <v>12.8</v>
      </c>
      <c r="J1477" s="128">
        <v>1.25</v>
      </c>
      <c r="K1477" s="128">
        <v>0.3</v>
      </c>
      <c r="L1477" s="128">
        <v>0.3</v>
      </c>
      <c r="M1477" s="128">
        <v>0.4</v>
      </c>
      <c r="N1477" s="119" t="s">
        <v>26</v>
      </c>
      <c r="O1477" s="128">
        <v>4.0999999999999996</v>
      </c>
      <c r="P1477" s="128">
        <v>1.2</v>
      </c>
      <c r="Q1477" s="128">
        <v>2.4</v>
      </c>
      <c r="R1477" s="128">
        <v>2.4</v>
      </c>
      <c r="S1477" s="128">
        <v>0.7</v>
      </c>
      <c r="T1477" s="121" t="s">
        <v>26</v>
      </c>
      <c r="U1477" s="148">
        <v>1069</v>
      </c>
      <c r="V1477" s="136" t="s">
        <v>26</v>
      </c>
    </row>
    <row r="1478" spans="1:28">
      <c r="A1478" s="1" t="s">
        <v>1426</v>
      </c>
      <c r="B1478" s="1" t="s">
        <v>1427</v>
      </c>
      <c r="C1478" s="29" t="s">
        <v>22</v>
      </c>
      <c r="D1478" s="3" t="s">
        <v>23</v>
      </c>
      <c r="E1478" s="32" t="s">
        <v>29</v>
      </c>
      <c r="F1478" s="7" t="s">
        <v>228</v>
      </c>
      <c r="G1478" s="128">
        <v>44</v>
      </c>
      <c r="H1478" s="128">
        <v>5.6</v>
      </c>
      <c r="I1478" s="128">
        <v>8.5</v>
      </c>
      <c r="J1478" s="128">
        <v>6.5</v>
      </c>
      <c r="K1478" s="128">
        <v>0.5</v>
      </c>
      <c r="L1478" s="119" t="s">
        <v>26</v>
      </c>
      <c r="M1478" s="128">
        <v>0.8</v>
      </c>
      <c r="N1478" s="119" t="s">
        <v>26</v>
      </c>
      <c r="O1478" s="128">
        <v>4.8</v>
      </c>
      <c r="P1478" s="128">
        <v>1.6</v>
      </c>
      <c r="Q1478" s="128">
        <v>1.5</v>
      </c>
      <c r="R1478" s="128">
        <v>1.8</v>
      </c>
      <c r="S1478" s="128">
        <v>1.8</v>
      </c>
      <c r="T1478" s="121" t="s">
        <v>26</v>
      </c>
      <c r="U1478" s="148">
        <v>1166</v>
      </c>
      <c r="V1478" s="136" t="s">
        <v>26</v>
      </c>
    </row>
    <row r="1479" spans="1:28">
      <c r="A1479" s="1" t="s">
        <v>1426</v>
      </c>
      <c r="B1479" s="1" t="s">
        <v>1427</v>
      </c>
      <c r="C1479" s="29" t="s">
        <v>22</v>
      </c>
      <c r="D1479" s="3" t="s">
        <v>23</v>
      </c>
      <c r="E1479" s="32" t="s">
        <v>31</v>
      </c>
      <c r="F1479" s="7" t="s">
        <v>1293</v>
      </c>
      <c r="G1479" s="128">
        <v>25</v>
      </c>
      <c r="H1479" s="146" t="s">
        <v>26</v>
      </c>
      <c r="I1479" s="128">
        <v>14.5</v>
      </c>
      <c r="J1479" s="128">
        <v>35.5</v>
      </c>
      <c r="K1479" s="119" t="s">
        <v>26</v>
      </c>
      <c r="L1479" s="119" t="s">
        <v>26</v>
      </c>
      <c r="M1479" s="119" t="s">
        <v>26</v>
      </c>
      <c r="N1479" s="119" t="s">
        <v>26</v>
      </c>
      <c r="O1479" s="128">
        <v>2.6</v>
      </c>
      <c r="P1479" s="128">
        <v>2.1</v>
      </c>
      <c r="Q1479" s="119" t="s">
        <v>26</v>
      </c>
      <c r="R1479" s="119" t="s">
        <v>26</v>
      </c>
      <c r="S1479" s="128">
        <v>2.5</v>
      </c>
      <c r="T1479" s="121" t="s">
        <v>26</v>
      </c>
      <c r="U1479" s="148">
        <v>259</v>
      </c>
      <c r="V1479" s="136" t="s">
        <v>26</v>
      </c>
    </row>
    <row r="1480" spans="1:28">
      <c r="A1480" s="1" t="s">
        <v>1426</v>
      </c>
      <c r="B1480" s="1" t="s">
        <v>1429</v>
      </c>
      <c r="C1480" s="29" t="s">
        <v>22</v>
      </c>
      <c r="D1480" s="8" t="s">
        <v>109</v>
      </c>
      <c r="E1480" s="32" t="s">
        <v>27</v>
      </c>
      <c r="F1480" s="7" t="s">
        <v>1430</v>
      </c>
      <c r="G1480" s="128">
        <v>118</v>
      </c>
      <c r="H1480" s="128">
        <v>37.5</v>
      </c>
      <c r="I1480" s="128">
        <v>22.5</v>
      </c>
      <c r="J1480" s="128">
        <v>0.6</v>
      </c>
      <c r="K1480" s="128">
        <v>0.3</v>
      </c>
      <c r="L1480" s="119" t="s">
        <v>26</v>
      </c>
      <c r="M1480" s="128">
        <v>0.6</v>
      </c>
      <c r="N1480" s="119" t="s">
        <v>26</v>
      </c>
      <c r="O1480" s="128">
        <v>3</v>
      </c>
      <c r="P1480" s="119" t="s">
        <v>26</v>
      </c>
      <c r="Q1480" s="128">
        <v>4.8</v>
      </c>
      <c r="R1480" s="119" t="s">
        <v>26</v>
      </c>
      <c r="S1480" s="128">
        <v>2.1</v>
      </c>
      <c r="T1480" s="121" t="s">
        <v>26</v>
      </c>
      <c r="U1480" s="130">
        <v>570</v>
      </c>
      <c r="V1480" s="136" t="s">
        <v>26</v>
      </c>
    </row>
    <row r="1481" spans="1:28">
      <c r="A1481" s="1" t="s">
        <v>1426</v>
      </c>
      <c r="B1481" s="1" t="s">
        <v>1429</v>
      </c>
      <c r="C1481" s="29" t="s">
        <v>22</v>
      </c>
      <c r="D1481" s="8" t="s">
        <v>109</v>
      </c>
      <c r="E1481" s="32" t="s">
        <v>29</v>
      </c>
      <c r="F1481" s="7" t="s">
        <v>1431</v>
      </c>
      <c r="G1481" s="128">
        <v>48</v>
      </c>
      <c r="H1481" s="128">
        <v>6.5</v>
      </c>
      <c r="I1481" s="128">
        <v>11.6</v>
      </c>
      <c r="J1481" s="128">
        <v>5.5</v>
      </c>
      <c r="K1481" s="128">
        <v>0.6</v>
      </c>
      <c r="L1481" s="119" t="s">
        <v>26</v>
      </c>
      <c r="M1481" s="128">
        <v>1.8</v>
      </c>
      <c r="N1481" s="119" t="s">
        <v>26</v>
      </c>
      <c r="O1481" s="128">
        <v>3.4</v>
      </c>
      <c r="P1481" s="119" t="s">
        <v>26</v>
      </c>
      <c r="Q1481" s="128">
        <v>1.6</v>
      </c>
      <c r="R1481" s="119" t="s">
        <v>26</v>
      </c>
      <c r="S1481" s="128">
        <v>1.2</v>
      </c>
      <c r="T1481" s="121" t="s">
        <v>26</v>
      </c>
      <c r="U1481" s="130">
        <v>2403</v>
      </c>
      <c r="V1481" s="136" t="s">
        <v>26</v>
      </c>
    </row>
    <row r="1482" spans="1:28">
      <c r="A1482" s="1" t="s">
        <v>1426</v>
      </c>
      <c r="B1482" s="1" t="s">
        <v>1429</v>
      </c>
      <c r="C1482" s="29" t="s">
        <v>22</v>
      </c>
      <c r="D1482" s="8" t="s">
        <v>109</v>
      </c>
      <c r="E1482" s="32" t="s">
        <v>31</v>
      </c>
      <c r="F1482" s="7" t="s">
        <v>1432</v>
      </c>
      <c r="G1482" s="128">
        <v>22</v>
      </c>
      <c r="H1482" s="146" t="s">
        <v>26</v>
      </c>
      <c r="I1482" s="128">
        <v>5.6</v>
      </c>
      <c r="J1482" s="128">
        <v>28.8</v>
      </c>
      <c r="K1482" s="119" t="s">
        <v>26</v>
      </c>
      <c r="L1482" s="119" t="s">
        <v>26</v>
      </c>
      <c r="M1482" s="128">
        <v>1.5</v>
      </c>
      <c r="N1482" s="119" t="s">
        <v>26</v>
      </c>
      <c r="O1482" s="128">
        <v>1.5</v>
      </c>
      <c r="P1482" s="119" t="s">
        <v>26</v>
      </c>
      <c r="Q1482" s="119" t="s">
        <v>26</v>
      </c>
      <c r="R1482" s="119" t="s">
        <v>26</v>
      </c>
      <c r="S1482" s="120" t="s">
        <v>26</v>
      </c>
      <c r="T1482" s="121" t="s">
        <v>26</v>
      </c>
      <c r="U1482" s="130">
        <v>279</v>
      </c>
      <c r="V1482" s="136" t="s">
        <v>26</v>
      </c>
    </row>
    <row r="1483" spans="1:28">
      <c r="A1483" s="1" t="s">
        <v>1426</v>
      </c>
      <c r="B1483" s="1" t="s">
        <v>1433</v>
      </c>
      <c r="C1483" s="29" t="s">
        <v>22</v>
      </c>
      <c r="D1483" s="1" t="s">
        <v>142</v>
      </c>
      <c r="E1483" s="32" t="s">
        <v>27</v>
      </c>
      <c r="F1483" s="7" t="s">
        <v>1434</v>
      </c>
      <c r="G1483" s="128">
        <v>110</v>
      </c>
      <c r="H1483" s="128">
        <v>39.9</v>
      </c>
      <c r="I1483" s="128">
        <v>14.6</v>
      </c>
      <c r="J1483" s="128">
        <v>0.7</v>
      </c>
      <c r="K1483" s="119" t="s">
        <v>26</v>
      </c>
      <c r="L1483" s="119" t="s">
        <v>26</v>
      </c>
      <c r="M1483" s="128">
        <v>0.6</v>
      </c>
      <c r="N1483" s="119" t="s">
        <v>26</v>
      </c>
      <c r="O1483" s="128">
        <v>3.8</v>
      </c>
      <c r="P1483" s="119" t="s">
        <v>26</v>
      </c>
      <c r="Q1483" s="128">
        <v>3.8</v>
      </c>
      <c r="R1483" s="128">
        <v>1.4</v>
      </c>
      <c r="S1483" s="128">
        <v>1</v>
      </c>
      <c r="T1483" s="128">
        <v>1</v>
      </c>
      <c r="U1483" s="89">
        <v>1140</v>
      </c>
      <c r="V1483" s="149">
        <v>323</v>
      </c>
    </row>
    <row r="1484" spans="1:28">
      <c r="A1484" s="1" t="s">
        <v>1426</v>
      </c>
      <c r="B1484" s="1" t="s">
        <v>1433</v>
      </c>
      <c r="C1484" s="29" t="s">
        <v>22</v>
      </c>
      <c r="D1484" s="1" t="s">
        <v>142</v>
      </c>
      <c r="E1484" s="32" t="s">
        <v>29</v>
      </c>
      <c r="F1484" s="7" t="s">
        <v>273</v>
      </c>
      <c r="G1484" s="128">
        <v>38</v>
      </c>
      <c r="H1484" s="128">
        <v>18.5</v>
      </c>
      <c r="I1484" s="128">
        <v>4.8</v>
      </c>
      <c r="J1484" s="128">
        <v>6.5</v>
      </c>
      <c r="K1484" s="119" t="s">
        <v>26</v>
      </c>
      <c r="L1484" s="128">
        <v>0.4</v>
      </c>
      <c r="M1484" s="128">
        <v>4.5</v>
      </c>
      <c r="N1484" s="119" t="s">
        <v>26</v>
      </c>
      <c r="O1484" s="128">
        <v>4.0999999999999996</v>
      </c>
      <c r="P1484" s="119" t="s">
        <v>26</v>
      </c>
      <c r="Q1484" s="119" t="s">
        <v>26</v>
      </c>
      <c r="R1484" s="128">
        <v>0.6</v>
      </c>
      <c r="S1484" s="128">
        <v>1.2</v>
      </c>
      <c r="T1484" s="121" t="s">
        <v>26</v>
      </c>
      <c r="U1484" s="148">
        <v>2181</v>
      </c>
      <c r="V1484" s="147">
        <v>125</v>
      </c>
    </row>
    <row r="1485" spans="1:28">
      <c r="A1485" s="1" t="s">
        <v>1426</v>
      </c>
      <c r="B1485" s="1" t="s">
        <v>1433</v>
      </c>
      <c r="C1485" s="29" t="s">
        <v>22</v>
      </c>
      <c r="D1485" s="1" t="s">
        <v>142</v>
      </c>
      <c r="E1485" s="32" t="s">
        <v>31</v>
      </c>
      <c r="F1485" s="7" t="s">
        <v>654</v>
      </c>
      <c r="G1485" s="128">
        <v>20</v>
      </c>
      <c r="H1485" s="146" t="s">
        <v>26</v>
      </c>
      <c r="I1485" s="128">
        <v>2.1</v>
      </c>
      <c r="J1485" s="128">
        <v>29.6</v>
      </c>
      <c r="K1485" s="119" t="s">
        <v>26</v>
      </c>
      <c r="L1485" s="128">
        <v>0.6</v>
      </c>
      <c r="M1485" s="128">
        <v>4.8</v>
      </c>
      <c r="N1485" s="119" t="s">
        <v>26</v>
      </c>
      <c r="O1485" s="128">
        <v>2.6</v>
      </c>
      <c r="P1485" s="119" t="s">
        <v>26</v>
      </c>
      <c r="Q1485" s="119" t="s">
        <v>26</v>
      </c>
      <c r="R1485" s="119" t="s">
        <v>26</v>
      </c>
      <c r="S1485" s="128">
        <v>1.8</v>
      </c>
      <c r="T1485" s="121" t="s">
        <v>26</v>
      </c>
      <c r="U1485" s="148">
        <v>621</v>
      </c>
      <c r="V1485" s="147">
        <v>75</v>
      </c>
    </row>
    <row r="1486" spans="1:28">
      <c r="A1486" s="1" t="s">
        <v>1435</v>
      </c>
      <c r="B1486" s="1" t="s">
        <v>1436</v>
      </c>
      <c r="C1486" s="29" t="s">
        <v>22</v>
      </c>
      <c r="D1486" s="1" t="s">
        <v>142</v>
      </c>
      <c r="E1486" s="32" t="s">
        <v>27</v>
      </c>
      <c r="F1486" s="7" t="s">
        <v>1437</v>
      </c>
      <c r="G1486" s="128">
        <v>115</v>
      </c>
      <c r="H1486" s="128">
        <v>34.5</v>
      </c>
      <c r="I1486" s="128">
        <v>13.5</v>
      </c>
      <c r="J1486" s="128">
        <v>0.6</v>
      </c>
      <c r="K1486" s="119" t="s">
        <v>26</v>
      </c>
      <c r="L1486" s="128">
        <v>0.2</v>
      </c>
      <c r="M1486" s="128">
        <v>0.6</v>
      </c>
      <c r="N1486" s="119" t="s">
        <v>26</v>
      </c>
      <c r="O1486" s="128">
        <v>4.8</v>
      </c>
      <c r="P1486" s="128">
        <v>0.6</v>
      </c>
      <c r="Q1486" s="128">
        <v>3.5</v>
      </c>
      <c r="R1486" s="128">
        <v>2.4</v>
      </c>
      <c r="S1486" s="128">
        <v>0.9</v>
      </c>
      <c r="T1486" s="121" t="s">
        <v>26</v>
      </c>
      <c r="U1486" s="89">
        <v>1623</v>
      </c>
      <c r="V1486" s="136" t="s">
        <v>26</v>
      </c>
    </row>
    <row r="1487" spans="1:28">
      <c r="A1487" s="1" t="s">
        <v>1435</v>
      </c>
      <c r="B1487" s="1" t="s">
        <v>1436</v>
      </c>
      <c r="C1487" s="29" t="s">
        <v>22</v>
      </c>
      <c r="D1487" s="1" t="s">
        <v>142</v>
      </c>
      <c r="E1487" s="32" t="s">
        <v>29</v>
      </c>
      <c r="F1487" s="7" t="s">
        <v>853</v>
      </c>
      <c r="G1487" s="128">
        <v>38</v>
      </c>
      <c r="H1487" s="128">
        <v>17.8</v>
      </c>
      <c r="I1487" s="128">
        <v>6.9</v>
      </c>
      <c r="J1487" s="128">
        <v>7.7</v>
      </c>
      <c r="K1487" s="119" t="s">
        <v>26</v>
      </c>
      <c r="L1487" s="119" t="s">
        <v>26</v>
      </c>
      <c r="M1487" s="128">
        <v>5.9</v>
      </c>
      <c r="N1487" s="119" t="s">
        <v>26</v>
      </c>
      <c r="O1487" s="128">
        <v>4.9000000000000004</v>
      </c>
      <c r="P1487" s="128">
        <v>0.5</v>
      </c>
      <c r="Q1487" s="119" t="s">
        <v>26</v>
      </c>
      <c r="R1487" s="128">
        <v>1.1000000000000001</v>
      </c>
      <c r="S1487" s="128">
        <v>1.8</v>
      </c>
      <c r="T1487" s="121" t="s">
        <v>26</v>
      </c>
      <c r="U1487" s="152">
        <v>2200</v>
      </c>
      <c r="V1487" s="136" t="s">
        <v>26</v>
      </c>
    </row>
    <row r="1488" spans="1:28">
      <c r="A1488" s="1" t="s">
        <v>1435</v>
      </c>
      <c r="B1488" s="1" t="s">
        <v>1436</v>
      </c>
      <c r="C1488" s="29" t="s">
        <v>22</v>
      </c>
      <c r="D1488" s="1" t="s">
        <v>142</v>
      </c>
      <c r="E1488" s="32" t="s">
        <v>31</v>
      </c>
      <c r="F1488" s="7" t="s">
        <v>1438</v>
      </c>
      <c r="G1488" s="128">
        <v>24</v>
      </c>
      <c r="H1488" s="146" t="s">
        <v>26</v>
      </c>
      <c r="I1488" s="128">
        <v>6.5</v>
      </c>
      <c r="J1488" s="128">
        <v>19.899999999999999</v>
      </c>
      <c r="K1488" s="119" t="s">
        <v>26</v>
      </c>
      <c r="L1488" s="119" t="s">
        <v>26</v>
      </c>
      <c r="M1488" s="128">
        <v>2.8</v>
      </c>
      <c r="N1488" s="119" t="s">
        <v>26</v>
      </c>
      <c r="O1488" s="128">
        <v>2.6</v>
      </c>
      <c r="P1488" s="128">
        <v>1.4</v>
      </c>
      <c r="Q1488" s="119" t="s">
        <v>26</v>
      </c>
      <c r="R1488" s="119" t="s">
        <v>26</v>
      </c>
      <c r="S1488" s="128">
        <v>2.9</v>
      </c>
      <c r="T1488" s="121" t="s">
        <v>26</v>
      </c>
      <c r="U1488" s="152">
        <v>663</v>
      </c>
      <c r="V1488" s="136" t="s">
        <v>26</v>
      </c>
    </row>
    <row r="1489" spans="1:22">
      <c r="A1489" s="1" t="s">
        <v>1435</v>
      </c>
      <c r="B1489" s="1" t="s">
        <v>63</v>
      </c>
      <c r="C1489" s="29" t="s">
        <v>22</v>
      </c>
      <c r="D1489" s="8" t="s">
        <v>109</v>
      </c>
      <c r="E1489" s="32" t="s">
        <v>27</v>
      </c>
      <c r="F1489" s="7" t="s">
        <v>1402</v>
      </c>
      <c r="G1489" s="128">
        <v>115</v>
      </c>
      <c r="H1489" s="128">
        <v>41.6</v>
      </c>
      <c r="I1489" s="128">
        <v>15.8</v>
      </c>
      <c r="J1489" s="128">
        <v>0.7</v>
      </c>
      <c r="K1489" s="128">
        <v>0.3</v>
      </c>
      <c r="L1489" s="119" t="s">
        <v>26</v>
      </c>
      <c r="M1489" s="128">
        <v>0.5</v>
      </c>
      <c r="N1489" s="119" t="s">
        <v>26</v>
      </c>
      <c r="O1489" s="128">
        <v>4.8</v>
      </c>
      <c r="P1489" s="128">
        <v>0.4</v>
      </c>
      <c r="Q1489" s="128">
        <v>5.0999999999999996</v>
      </c>
      <c r="R1489" s="128">
        <v>3.1</v>
      </c>
      <c r="S1489" s="128">
        <v>0.8</v>
      </c>
      <c r="T1489" s="128">
        <v>2</v>
      </c>
      <c r="U1489" s="130">
        <v>1450</v>
      </c>
      <c r="V1489" s="136" t="s">
        <v>26</v>
      </c>
    </row>
    <row r="1490" spans="1:22">
      <c r="A1490" s="1" t="s">
        <v>1435</v>
      </c>
      <c r="B1490" s="1" t="s">
        <v>63</v>
      </c>
      <c r="C1490" s="29" t="s">
        <v>22</v>
      </c>
      <c r="D1490" s="8" t="s">
        <v>109</v>
      </c>
      <c r="E1490" s="32" t="s">
        <v>29</v>
      </c>
      <c r="F1490" s="7" t="s">
        <v>1091</v>
      </c>
      <c r="G1490" s="128">
        <v>36</v>
      </c>
      <c r="H1490" s="128">
        <v>39.5</v>
      </c>
      <c r="I1490" s="128">
        <v>4.5</v>
      </c>
      <c r="J1490" s="128">
        <v>5.9</v>
      </c>
      <c r="K1490" s="128">
        <v>0.7</v>
      </c>
      <c r="L1490" s="119" t="s">
        <v>26</v>
      </c>
      <c r="M1490" s="128">
        <v>4.8</v>
      </c>
      <c r="N1490" s="119" t="s">
        <v>26</v>
      </c>
      <c r="O1490" s="128">
        <v>7.8</v>
      </c>
      <c r="P1490" s="128">
        <v>0.6</v>
      </c>
      <c r="Q1490" s="128">
        <v>1.8</v>
      </c>
      <c r="R1490" s="128">
        <v>1.6</v>
      </c>
      <c r="S1490" s="128">
        <v>1.2</v>
      </c>
      <c r="T1490" s="121" t="s">
        <v>26</v>
      </c>
      <c r="U1490" s="130">
        <v>2280</v>
      </c>
      <c r="V1490" s="136" t="s">
        <v>26</v>
      </c>
    </row>
    <row r="1491" spans="1:22">
      <c r="A1491" s="1" t="s">
        <v>1435</v>
      </c>
      <c r="B1491" s="1" t="s">
        <v>63</v>
      </c>
      <c r="C1491" s="29" t="s">
        <v>22</v>
      </c>
      <c r="D1491" s="8" t="s">
        <v>109</v>
      </c>
      <c r="E1491" s="32" t="s">
        <v>31</v>
      </c>
      <c r="F1491" s="7" t="s">
        <v>1055</v>
      </c>
      <c r="G1491" s="128">
        <v>21</v>
      </c>
      <c r="H1491" s="146" t="s">
        <v>26</v>
      </c>
      <c r="I1491" s="128">
        <v>3.5</v>
      </c>
      <c r="J1491" s="128">
        <v>27.6</v>
      </c>
      <c r="K1491" s="119" t="s">
        <v>26</v>
      </c>
      <c r="L1491" s="119" t="s">
        <v>26</v>
      </c>
      <c r="M1491" s="128">
        <v>0.6</v>
      </c>
      <c r="N1491" s="119" t="s">
        <v>26</v>
      </c>
      <c r="O1491" s="128">
        <v>3.8</v>
      </c>
      <c r="P1491" s="119" t="s">
        <v>26</v>
      </c>
      <c r="Q1491" s="119" t="s">
        <v>26</v>
      </c>
      <c r="R1491" s="119" t="s">
        <v>26</v>
      </c>
      <c r="S1491" s="128">
        <v>2.6</v>
      </c>
      <c r="T1491" s="121" t="s">
        <v>26</v>
      </c>
      <c r="U1491" s="130">
        <v>160</v>
      </c>
      <c r="V1491" s="136" t="s">
        <v>26</v>
      </c>
    </row>
    <row r="1492" spans="1:22">
      <c r="A1492" s="1" t="s">
        <v>1435</v>
      </c>
      <c r="B1492" s="1" t="s">
        <v>83</v>
      </c>
      <c r="C1492" s="29" t="s">
        <v>22</v>
      </c>
      <c r="D1492" s="1" t="s">
        <v>1341</v>
      </c>
      <c r="E1492" s="32" t="s">
        <v>27</v>
      </c>
      <c r="F1492" s="7" t="s">
        <v>1439</v>
      </c>
      <c r="G1492" s="128">
        <v>132</v>
      </c>
      <c r="H1492" s="128">
        <v>29.5</v>
      </c>
      <c r="I1492" s="128">
        <v>30.6</v>
      </c>
      <c r="J1492" s="128">
        <v>0.4</v>
      </c>
      <c r="K1492" s="119" t="s">
        <v>26</v>
      </c>
      <c r="L1492" s="119" t="s">
        <v>26</v>
      </c>
      <c r="M1492" s="128">
        <v>1</v>
      </c>
      <c r="N1492" s="119" t="s">
        <v>26</v>
      </c>
      <c r="O1492" s="128">
        <v>3.2</v>
      </c>
      <c r="P1492" s="119" t="s">
        <v>26</v>
      </c>
      <c r="Q1492" s="128">
        <v>0.8</v>
      </c>
      <c r="R1492" s="128">
        <v>2.4</v>
      </c>
      <c r="S1492" s="128">
        <v>0.5</v>
      </c>
      <c r="T1492" s="121" t="s">
        <v>26</v>
      </c>
      <c r="U1492" s="130">
        <f>532+57</f>
        <v>589</v>
      </c>
      <c r="V1492" s="136" t="s">
        <v>26</v>
      </c>
    </row>
    <row r="1493" spans="1:22">
      <c r="A1493" s="1" t="s">
        <v>1435</v>
      </c>
      <c r="B1493" s="1" t="s">
        <v>83</v>
      </c>
      <c r="C1493" s="29" t="s">
        <v>22</v>
      </c>
      <c r="D1493" s="1" t="s">
        <v>1341</v>
      </c>
      <c r="E1493" s="32" t="s">
        <v>29</v>
      </c>
      <c r="F1493" s="7" t="s">
        <v>1440</v>
      </c>
      <c r="G1493" s="128">
        <v>43</v>
      </c>
      <c r="H1493" s="128">
        <v>11.8</v>
      </c>
      <c r="I1493" s="128">
        <v>7.5</v>
      </c>
      <c r="J1493" s="128">
        <v>4.76</v>
      </c>
      <c r="K1493" s="119" t="s">
        <v>26</v>
      </c>
      <c r="L1493" s="119" t="s">
        <v>26</v>
      </c>
      <c r="M1493" s="128">
        <v>4.5999999999999996</v>
      </c>
      <c r="N1493" s="119" t="s">
        <v>26</v>
      </c>
      <c r="O1493" s="128">
        <v>3.4</v>
      </c>
      <c r="P1493" s="119" t="s">
        <v>26</v>
      </c>
      <c r="Q1493" s="119" t="s">
        <v>26</v>
      </c>
      <c r="R1493" s="128">
        <v>1.5</v>
      </c>
      <c r="S1493" s="128">
        <v>1.6</v>
      </c>
      <c r="T1493" s="121" t="s">
        <v>26</v>
      </c>
      <c r="U1493" s="130">
        <v>451</v>
      </c>
      <c r="V1493" s="136" t="s">
        <v>26</v>
      </c>
    </row>
    <row r="1494" spans="1:22">
      <c r="A1494" s="1" t="s">
        <v>1435</v>
      </c>
      <c r="B1494" s="1" t="s">
        <v>83</v>
      </c>
      <c r="C1494" s="29" t="s">
        <v>22</v>
      </c>
      <c r="D1494" s="1" t="s">
        <v>1341</v>
      </c>
      <c r="E1494" s="32" t="s">
        <v>31</v>
      </c>
      <c r="F1494" s="7" t="s">
        <v>1441</v>
      </c>
      <c r="G1494" s="128">
        <v>22</v>
      </c>
      <c r="H1494" s="146" t="s">
        <v>26</v>
      </c>
      <c r="I1494" s="128">
        <v>5.0999999999999996</v>
      </c>
      <c r="J1494" s="128">
        <v>23.1</v>
      </c>
      <c r="K1494" s="119" t="s">
        <v>26</v>
      </c>
      <c r="L1494" s="119" t="s">
        <v>26</v>
      </c>
      <c r="M1494" s="128">
        <v>5.6</v>
      </c>
      <c r="N1494" s="119" t="s">
        <v>26</v>
      </c>
      <c r="O1494" s="128">
        <v>1.2</v>
      </c>
      <c r="P1494" s="119" t="s">
        <v>26</v>
      </c>
      <c r="Q1494" s="119" t="s">
        <v>26</v>
      </c>
      <c r="R1494" s="119" t="s">
        <v>26</v>
      </c>
      <c r="S1494" s="128">
        <v>2.2000000000000002</v>
      </c>
      <c r="T1494" s="121" t="s">
        <v>26</v>
      </c>
      <c r="U1494" s="130">
        <v>126</v>
      </c>
      <c r="V1494" s="136" t="s">
        <v>26</v>
      </c>
    </row>
    <row r="1495" spans="1:22">
      <c r="A1495" s="1" t="s">
        <v>1435</v>
      </c>
      <c r="B1495" s="1" t="s">
        <v>83</v>
      </c>
      <c r="C1495" s="29" t="s">
        <v>22</v>
      </c>
      <c r="D1495" s="8" t="s">
        <v>109</v>
      </c>
      <c r="E1495" s="32" t="s">
        <v>27</v>
      </c>
      <c r="F1495" s="7" t="s">
        <v>1442</v>
      </c>
      <c r="G1495" s="128">
        <v>112</v>
      </c>
      <c r="H1495" s="128">
        <v>36.799999999999997</v>
      </c>
      <c r="I1495" s="128">
        <v>13.8</v>
      </c>
      <c r="J1495" s="128">
        <v>1.6</v>
      </c>
      <c r="K1495" s="128">
        <v>0.3</v>
      </c>
      <c r="L1495" s="119" t="s">
        <v>26</v>
      </c>
      <c r="M1495" s="128">
        <v>5.6</v>
      </c>
      <c r="N1495" s="119" t="s">
        <v>26</v>
      </c>
      <c r="O1495" s="128">
        <v>4</v>
      </c>
      <c r="P1495" s="119" t="s">
        <v>26</v>
      </c>
      <c r="Q1495" s="128">
        <v>2.8</v>
      </c>
      <c r="R1495" s="128">
        <v>2.6</v>
      </c>
      <c r="S1495" s="128">
        <v>0.9</v>
      </c>
      <c r="T1495" s="121" t="s">
        <v>26</v>
      </c>
      <c r="U1495" s="130">
        <v>1462</v>
      </c>
      <c r="V1495" s="136" t="s">
        <v>26</v>
      </c>
    </row>
    <row r="1496" spans="1:22">
      <c r="A1496" s="1" t="s">
        <v>1435</v>
      </c>
      <c r="B1496" s="1" t="s">
        <v>83</v>
      </c>
      <c r="C1496" s="29" t="s">
        <v>22</v>
      </c>
      <c r="D1496" s="8" t="s">
        <v>109</v>
      </c>
      <c r="E1496" s="32" t="s">
        <v>29</v>
      </c>
      <c r="F1496" s="7" t="s">
        <v>1443</v>
      </c>
      <c r="G1496" s="128">
        <v>40</v>
      </c>
      <c r="H1496" s="128">
        <v>24.5</v>
      </c>
      <c r="I1496" s="128">
        <v>4.5999999999999996</v>
      </c>
      <c r="J1496" s="128">
        <v>8.1999999999999993</v>
      </c>
      <c r="K1496" s="128">
        <v>0.4</v>
      </c>
      <c r="L1496" s="119" t="s">
        <v>26</v>
      </c>
      <c r="M1496" s="128">
        <v>5.8</v>
      </c>
      <c r="N1496" s="119" t="s">
        <v>26</v>
      </c>
      <c r="O1496" s="128">
        <v>4.3</v>
      </c>
      <c r="P1496" s="119" t="s">
        <v>26</v>
      </c>
      <c r="Q1496" s="119" t="s">
        <v>26</v>
      </c>
      <c r="R1496" s="128">
        <v>1.4</v>
      </c>
      <c r="S1496" s="128">
        <v>1.8</v>
      </c>
      <c r="T1496" s="121" t="s">
        <v>26</v>
      </c>
      <c r="U1496" s="130">
        <v>815</v>
      </c>
      <c r="V1496" s="136" t="s">
        <v>26</v>
      </c>
    </row>
    <row r="1497" spans="1:22">
      <c r="A1497" s="1" t="s">
        <v>1435</v>
      </c>
      <c r="B1497" s="1" t="s">
        <v>83</v>
      </c>
      <c r="C1497" s="29" t="s">
        <v>22</v>
      </c>
      <c r="D1497" s="8" t="s">
        <v>109</v>
      </c>
      <c r="E1497" s="32" t="s">
        <v>31</v>
      </c>
      <c r="F1497" s="7" t="s">
        <v>1444</v>
      </c>
      <c r="G1497" s="128">
        <v>22</v>
      </c>
      <c r="H1497" s="146" t="s">
        <v>26</v>
      </c>
      <c r="I1497" s="128">
        <v>2.9</v>
      </c>
      <c r="J1497" s="128">
        <v>24.6</v>
      </c>
      <c r="K1497" s="119" t="s">
        <v>26</v>
      </c>
      <c r="L1497" s="119" t="s">
        <v>26</v>
      </c>
      <c r="M1497" s="128">
        <v>6.1</v>
      </c>
      <c r="N1497" s="119" t="s">
        <v>26</v>
      </c>
      <c r="O1497" s="128">
        <v>2.8</v>
      </c>
      <c r="P1497" s="119" t="s">
        <v>26</v>
      </c>
      <c r="Q1497" s="119" t="s">
        <v>26</v>
      </c>
      <c r="R1497" s="119" t="s">
        <v>26</v>
      </c>
      <c r="S1497" s="128">
        <v>3.5</v>
      </c>
      <c r="T1497" s="121" t="s">
        <v>26</v>
      </c>
      <c r="U1497" s="130">
        <v>58</v>
      </c>
      <c r="V1497" s="136" t="s">
        <v>26</v>
      </c>
    </row>
    <row r="1498" spans="1:22">
      <c r="A1498" s="1" t="s">
        <v>1435</v>
      </c>
      <c r="B1498" s="1" t="s">
        <v>83</v>
      </c>
      <c r="C1498" s="29" t="s">
        <v>22</v>
      </c>
      <c r="D1498" s="1" t="s">
        <v>1341</v>
      </c>
      <c r="E1498" s="32" t="s">
        <v>27</v>
      </c>
      <c r="F1498" s="7" t="s">
        <v>1445</v>
      </c>
      <c r="G1498" s="128">
        <v>120</v>
      </c>
      <c r="H1498" s="128">
        <v>37.5</v>
      </c>
      <c r="I1498" s="128">
        <v>13.1</v>
      </c>
      <c r="J1498" s="128">
        <v>1.6</v>
      </c>
      <c r="K1498" s="128">
        <v>0.9</v>
      </c>
      <c r="L1498" s="119" t="s">
        <v>26</v>
      </c>
      <c r="M1498" s="128">
        <v>4.0999999999999996</v>
      </c>
      <c r="N1498" s="119" t="s">
        <v>26</v>
      </c>
      <c r="O1498" s="128">
        <v>4.0999999999999996</v>
      </c>
      <c r="P1498" s="128">
        <v>0.6</v>
      </c>
      <c r="Q1498" s="128">
        <v>0.9</v>
      </c>
      <c r="R1498" s="128">
        <v>2</v>
      </c>
      <c r="S1498" s="128">
        <v>1.4</v>
      </c>
      <c r="T1498" s="121" t="s">
        <v>26</v>
      </c>
      <c r="U1498" s="130">
        <v>910</v>
      </c>
      <c r="V1498" s="149">
        <v>141</v>
      </c>
    </row>
    <row r="1499" spans="1:22">
      <c r="A1499" s="1" t="s">
        <v>1435</v>
      </c>
      <c r="B1499" s="1" t="s">
        <v>83</v>
      </c>
      <c r="C1499" s="29" t="s">
        <v>22</v>
      </c>
      <c r="D1499" s="1" t="s">
        <v>1341</v>
      </c>
      <c r="E1499" s="32" t="s">
        <v>29</v>
      </c>
      <c r="F1499" s="7" t="s">
        <v>1446</v>
      </c>
      <c r="G1499" s="128">
        <v>47</v>
      </c>
      <c r="H1499" s="128">
        <v>3.8</v>
      </c>
      <c r="I1499" s="128">
        <v>8.5</v>
      </c>
      <c r="J1499" s="128">
        <v>6.6</v>
      </c>
      <c r="K1499" s="128">
        <v>1.2</v>
      </c>
      <c r="L1499" s="119" t="s">
        <v>26</v>
      </c>
      <c r="M1499" s="128">
        <v>5.4</v>
      </c>
      <c r="N1499" s="119" t="s">
        <v>26</v>
      </c>
      <c r="O1499" s="128">
        <v>4.9000000000000004</v>
      </c>
      <c r="P1499" s="128">
        <v>0.8</v>
      </c>
      <c r="Q1499" s="119" t="s">
        <v>26</v>
      </c>
      <c r="R1499" s="128">
        <v>1</v>
      </c>
      <c r="S1499" s="128">
        <v>1.9</v>
      </c>
      <c r="T1499" s="121" t="s">
        <v>26</v>
      </c>
      <c r="U1499" s="130">
        <v>616</v>
      </c>
      <c r="V1499" s="147">
        <v>67</v>
      </c>
    </row>
    <row r="1500" spans="1:22">
      <c r="A1500" s="1" t="s">
        <v>1435</v>
      </c>
      <c r="B1500" s="1" t="s">
        <v>83</v>
      </c>
      <c r="C1500" s="29" t="s">
        <v>22</v>
      </c>
      <c r="D1500" s="1" t="s">
        <v>1341</v>
      </c>
      <c r="E1500" s="32" t="s">
        <v>31</v>
      </c>
      <c r="F1500" s="7" t="s">
        <v>1447</v>
      </c>
      <c r="G1500" s="128">
        <v>24</v>
      </c>
      <c r="H1500" s="146" t="s">
        <v>26</v>
      </c>
      <c r="I1500" s="128">
        <v>6.9</v>
      </c>
      <c r="J1500" s="128">
        <v>35.6</v>
      </c>
      <c r="K1500" s="128">
        <v>0.8</v>
      </c>
      <c r="L1500" s="119" t="s">
        <v>26</v>
      </c>
      <c r="M1500" s="128">
        <v>4.9000000000000004</v>
      </c>
      <c r="N1500" s="119" t="s">
        <v>26</v>
      </c>
      <c r="O1500" s="128">
        <v>3.2</v>
      </c>
      <c r="P1500" s="119" t="s">
        <v>26</v>
      </c>
      <c r="Q1500" s="119" t="s">
        <v>26</v>
      </c>
      <c r="R1500" s="119" t="s">
        <v>26</v>
      </c>
      <c r="S1500" s="128">
        <v>3.1</v>
      </c>
      <c r="T1500" s="121" t="s">
        <v>26</v>
      </c>
      <c r="U1500" s="130">
        <v>97</v>
      </c>
      <c r="V1500" s="147">
        <v>45</v>
      </c>
    </row>
    <row r="1501" spans="1:22">
      <c r="A1501" s="1" t="s">
        <v>1435</v>
      </c>
      <c r="B1501" s="1" t="s">
        <v>83</v>
      </c>
      <c r="C1501" s="29" t="s">
        <v>22</v>
      </c>
      <c r="D1501" s="3" t="s">
        <v>33</v>
      </c>
      <c r="E1501" s="32" t="s">
        <v>27</v>
      </c>
      <c r="F1501" s="5">
        <v>582</v>
      </c>
      <c r="G1501" s="128">
        <v>32.5</v>
      </c>
      <c r="H1501" s="128">
        <v>16.100000000000001</v>
      </c>
      <c r="I1501" s="128">
        <v>6.8</v>
      </c>
      <c r="J1501" s="128">
        <v>1.9</v>
      </c>
      <c r="K1501" s="128">
        <v>0.8</v>
      </c>
      <c r="L1501" s="119" t="s">
        <v>26</v>
      </c>
      <c r="M1501" s="128">
        <v>2.8</v>
      </c>
      <c r="N1501" s="119" t="s">
        <v>26</v>
      </c>
      <c r="O1501" s="128">
        <v>1.1000000000000001</v>
      </c>
      <c r="P1501" s="119" t="s">
        <v>26</v>
      </c>
      <c r="Q1501" s="119" t="s">
        <v>26</v>
      </c>
      <c r="R1501" s="128">
        <v>2.1</v>
      </c>
      <c r="S1501" s="128">
        <v>1.7</v>
      </c>
      <c r="T1501" s="121" t="s">
        <v>26</v>
      </c>
      <c r="U1501" s="130">
        <v>582</v>
      </c>
      <c r="V1501" s="136" t="s">
        <v>26</v>
      </c>
    </row>
    <row r="1502" spans="1:22">
      <c r="A1502" s="1" t="s">
        <v>1435</v>
      </c>
      <c r="B1502" s="1" t="s">
        <v>83</v>
      </c>
      <c r="C1502" s="29" t="s">
        <v>22</v>
      </c>
      <c r="D1502" s="3" t="s">
        <v>33</v>
      </c>
      <c r="E1502" s="32" t="s">
        <v>29</v>
      </c>
      <c r="F1502" s="5">
        <v>414</v>
      </c>
      <c r="G1502" s="128">
        <v>2.8</v>
      </c>
      <c r="H1502" s="128">
        <v>11.6</v>
      </c>
      <c r="I1502" s="128">
        <v>7</v>
      </c>
      <c r="J1502" s="128">
        <v>4</v>
      </c>
      <c r="K1502" s="128">
        <v>1.3</v>
      </c>
      <c r="L1502" s="119" t="s">
        <v>26</v>
      </c>
      <c r="M1502" s="128">
        <v>5.0999999999999996</v>
      </c>
      <c r="N1502" s="119" t="s">
        <v>26</v>
      </c>
      <c r="O1502" s="128">
        <v>1.2</v>
      </c>
      <c r="P1502" s="119" t="s">
        <v>26</v>
      </c>
      <c r="Q1502" s="119" t="s">
        <v>26</v>
      </c>
      <c r="R1502" s="128">
        <v>1.2</v>
      </c>
      <c r="S1502" s="128">
        <v>4.0999999999999996</v>
      </c>
      <c r="T1502" s="121" t="s">
        <v>26</v>
      </c>
      <c r="U1502" s="130">
        <v>414</v>
      </c>
      <c r="V1502" s="136" t="s">
        <v>26</v>
      </c>
    </row>
    <row r="1503" spans="1:22" ht="15">
      <c r="U1503" s="132"/>
    </row>
  </sheetData>
  <autoFilter ref="A1:V150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1"/>
  <sheetViews>
    <sheetView workbookViewId="0">
      <selection activeCell="H16" sqref="H16"/>
    </sheetView>
  </sheetViews>
  <sheetFormatPr defaultColWidth="15.28515625" defaultRowHeight="15"/>
  <sheetData>
    <row r="1" spans="1:15">
      <c r="A1" s="11" t="s">
        <v>1698</v>
      </c>
      <c r="B1" s="38" t="s">
        <v>24</v>
      </c>
      <c r="C1" s="38" t="s">
        <v>1699</v>
      </c>
      <c r="D1" s="38" t="s">
        <v>27</v>
      </c>
      <c r="E1" s="38" t="s">
        <v>1700</v>
      </c>
      <c r="F1" s="38" t="s">
        <v>29</v>
      </c>
      <c r="G1" s="38" t="s">
        <v>1701</v>
      </c>
      <c r="H1" s="38" t="s">
        <v>31</v>
      </c>
      <c r="I1" s="38" t="s">
        <v>1702</v>
      </c>
      <c r="J1" s="5" t="s">
        <v>1703</v>
      </c>
      <c r="K1" s="38" t="s">
        <v>1704</v>
      </c>
      <c r="L1" s="171" t="s">
        <v>2111</v>
      </c>
      <c r="M1" s="171" t="s">
        <v>2110</v>
      </c>
      <c r="N1" s="171" t="s">
        <v>2112</v>
      </c>
      <c r="O1" s="170" t="s">
        <v>2109</v>
      </c>
    </row>
    <row r="2" spans="1:15">
      <c r="A2" s="99" t="s">
        <v>1705</v>
      </c>
      <c r="B2" s="5">
        <v>4</v>
      </c>
      <c r="C2" s="5">
        <v>5</v>
      </c>
      <c r="D2" s="5">
        <v>9</v>
      </c>
      <c r="E2" s="5">
        <v>0</v>
      </c>
      <c r="F2" s="5">
        <v>5</v>
      </c>
      <c r="G2" s="5">
        <v>0</v>
      </c>
      <c r="H2" s="5">
        <v>8</v>
      </c>
      <c r="I2" s="5">
        <v>0</v>
      </c>
      <c r="J2" s="5">
        <v>2</v>
      </c>
      <c r="K2" s="5">
        <v>1</v>
      </c>
      <c r="L2" s="5">
        <f>B2+D2+F2+H2</f>
        <v>26</v>
      </c>
      <c r="M2" s="5">
        <f>C2+E2+G2+I2</f>
        <v>5</v>
      </c>
      <c r="N2" s="5">
        <f>J2+K2</f>
        <v>3</v>
      </c>
      <c r="O2" s="11">
        <f>B2+C2+D2+E2+F2+G2+H2+I2+J2+K2</f>
        <v>34</v>
      </c>
    </row>
    <row r="3" spans="1:15">
      <c r="A3" s="99" t="s">
        <v>1706</v>
      </c>
      <c r="B3" s="5">
        <v>8</v>
      </c>
      <c r="C3" s="5">
        <v>0</v>
      </c>
      <c r="D3" s="5">
        <v>9</v>
      </c>
      <c r="E3" s="5">
        <v>0</v>
      </c>
      <c r="F3" s="5">
        <v>6</v>
      </c>
      <c r="G3" s="5">
        <v>0</v>
      </c>
      <c r="H3" s="5">
        <v>4</v>
      </c>
      <c r="I3" s="5">
        <v>0</v>
      </c>
      <c r="J3" s="5">
        <v>0</v>
      </c>
      <c r="K3" s="5">
        <v>0</v>
      </c>
      <c r="L3" s="5">
        <f t="shared" ref="L3:L66" si="0">B3+D3+F3+H3</f>
        <v>27</v>
      </c>
      <c r="M3" s="5">
        <f t="shared" ref="M3:M66" si="1">C3+E3+G3+I3</f>
        <v>0</v>
      </c>
      <c r="N3" s="5">
        <f t="shared" ref="N3:N66" si="2">J3+K3</f>
        <v>0</v>
      </c>
      <c r="O3" s="11">
        <f t="shared" ref="O3:O66" si="3">B3+C3+D3+E3+F3+G3+H3+I3+J3+K3</f>
        <v>27</v>
      </c>
    </row>
    <row r="4" spans="1:15">
      <c r="A4" s="99" t="s">
        <v>1707</v>
      </c>
      <c r="B4" s="5">
        <v>11</v>
      </c>
      <c r="C4" s="5">
        <v>4</v>
      </c>
      <c r="D4" s="5">
        <v>23</v>
      </c>
      <c r="E4" s="5">
        <v>0</v>
      </c>
      <c r="F4" s="5">
        <v>0</v>
      </c>
      <c r="G4" s="5">
        <v>0</v>
      </c>
      <c r="H4" s="5">
        <v>4</v>
      </c>
      <c r="I4" s="5">
        <v>0</v>
      </c>
      <c r="J4" s="5">
        <v>0</v>
      </c>
      <c r="K4" s="5">
        <v>0</v>
      </c>
      <c r="L4" s="5">
        <f t="shared" si="0"/>
        <v>38</v>
      </c>
      <c r="M4" s="5">
        <f t="shared" si="1"/>
        <v>4</v>
      </c>
      <c r="N4" s="5">
        <f t="shared" si="2"/>
        <v>0</v>
      </c>
      <c r="O4" s="11">
        <f t="shared" si="3"/>
        <v>42</v>
      </c>
    </row>
    <row r="5" spans="1:15">
      <c r="A5" s="99" t="s">
        <v>1708</v>
      </c>
      <c r="B5" s="5">
        <v>8</v>
      </c>
      <c r="C5" s="5">
        <v>2</v>
      </c>
      <c r="D5" s="5">
        <v>11</v>
      </c>
      <c r="E5" s="5">
        <v>0</v>
      </c>
      <c r="F5" s="5">
        <v>0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f t="shared" si="0"/>
        <v>26</v>
      </c>
      <c r="M5" s="5">
        <f t="shared" si="1"/>
        <v>9</v>
      </c>
      <c r="N5" s="5">
        <f t="shared" si="2"/>
        <v>0</v>
      </c>
      <c r="O5" s="11">
        <f t="shared" si="3"/>
        <v>35</v>
      </c>
    </row>
    <row r="6" spans="1:15">
      <c r="A6" s="99" t="s">
        <v>1709</v>
      </c>
      <c r="B6" s="5">
        <v>16</v>
      </c>
      <c r="C6" s="5">
        <v>0</v>
      </c>
      <c r="D6" s="5">
        <v>10</v>
      </c>
      <c r="E6" s="5">
        <v>0</v>
      </c>
      <c r="F6" s="5">
        <v>6</v>
      </c>
      <c r="G6" s="5">
        <v>0</v>
      </c>
      <c r="H6" s="5">
        <v>6</v>
      </c>
      <c r="I6" s="5">
        <v>0</v>
      </c>
      <c r="J6" s="5">
        <v>0</v>
      </c>
      <c r="K6" s="5">
        <v>0</v>
      </c>
      <c r="L6" s="5">
        <f t="shared" si="0"/>
        <v>38</v>
      </c>
      <c r="M6" s="5">
        <f t="shared" si="1"/>
        <v>0</v>
      </c>
      <c r="N6" s="5">
        <f t="shared" si="2"/>
        <v>0</v>
      </c>
      <c r="O6" s="11">
        <f t="shared" si="3"/>
        <v>38</v>
      </c>
    </row>
    <row r="7" spans="1:15">
      <c r="A7" s="99" t="s">
        <v>1710</v>
      </c>
      <c r="B7" s="5">
        <v>14</v>
      </c>
      <c r="C7" s="5">
        <v>0</v>
      </c>
      <c r="D7" s="5">
        <v>21</v>
      </c>
      <c r="E7" s="5">
        <v>0</v>
      </c>
      <c r="F7" s="5">
        <v>24</v>
      </c>
      <c r="G7" s="5">
        <v>0</v>
      </c>
      <c r="H7" s="5">
        <v>20</v>
      </c>
      <c r="I7" s="5">
        <v>0</v>
      </c>
      <c r="J7" s="5">
        <v>1</v>
      </c>
      <c r="K7" s="5">
        <v>0</v>
      </c>
      <c r="L7" s="5">
        <f t="shared" si="0"/>
        <v>79</v>
      </c>
      <c r="M7" s="5">
        <f t="shared" si="1"/>
        <v>0</v>
      </c>
      <c r="N7" s="5">
        <f t="shared" si="2"/>
        <v>1</v>
      </c>
      <c r="O7" s="11">
        <f t="shared" si="3"/>
        <v>80</v>
      </c>
    </row>
    <row r="8" spans="1:15">
      <c r="A8" s="11" t="s">
        <v>1711</v>
      </c>
      <c r="B8" s="5">
        <v>28</v>
      </c>
      <c r="C8" s="5">
        <v>2</v>
      </c>
      <c r="D8" s="5">
        <v>32</v>
      </c>
      <c r="E8" s="5">
        <v>3</v>
      </c>
      <c r="F8" s="5">
        <v>35</v>
      </c>
      <c r="G8" s="5">
        <v>0</v>
      </c>
      <c r="H8" s="5">
        <v>25</v>
      </c>
      <c r="I8" s="5">
        <v>0</v>
      </c>
      <c r="J8" s="5">
        <v>2</v>
      </c>
      <c r="K8" s="5">
        <v>0</v>
      </c>
      <c r="L8" s="5">
        <f t="shared" si="0"/>
        <v>120</v>
      </c>
      <c r="M8" s="5">
        <f t="shared" si="1"/>
        <v>5</v>
      </c>
      <c r="N8" s="5">
        <f t="shared" si="2"/>
        <v>2</v>
      </c>
      <c r="O8" s="11">
        <f t="shared" si="3"/>
        <v>127</v>
      </c>
    </row>
    <row r="9" spans="1:15">
      <c r="A9" s="11" t="s">
        <v>1712</v>
      </c>
      <c r="B9" s="5">
        <v>31</v>
      </c>
      <c r="C9" s="5">
        <v>5</v>
      </c>
      <c r="D9" s="5">
        <v>44</v>
      </c>
      <c r="E9" s="5">
        <v>5</v>
      </c>
      <c r="F9" s="5">
        <v>56</v>
      </c>
      <c r="G9" s="5">
        <v>0</v>
      </c>
      <c r="H9" s="5">
        <v>33</v>
      </c>
      <c r="I9" s="5">
        <v>0</v>
      </c>
      <c r="J9" s="5">
        <v>1</v>
      </c>
      <c r="K9" s="5">
        <v>0</v>
      </c>
      <c r="L9" s="5">
        <f t="shared" si="0"/>
        <v>164</v>
      </c>
      <c r="M9" s="5">
        <f t="shared" si="1"/>
        <v>10</v>
      </c>
      <c r="N9" s="5">
        <f t="shared" si="2"/>
        <v>1</v>
      </c>
      <c r="O9" s="11">
        <f t="shared" si="3"/>
        <v>175</v>
      </c>
    </row>
    <row r="10" spans="1:15">
      <c r="A10" s="11" t="s">
        <v>1713</v>
      </c>
      <c r="B10" s="5">
        <v>41</v>
      </c>
      <c r="C10" s="5">
        <v>13</v>
      </c>
      <c r="D10" s="5">
        <v>56</v>
      </c>
      <c r="E10" s="5">
        <v>33</v>
      </c>
      <c r="F10" s="5">
        <v>27</v>
      </c>
      <c r="G10" s="5">
        <v>20</v>
      </c>
      <c r="H10" s="5">
        <v>44</v>
      </c>
      <c r="I10" s="5">
        <v>0</v>
      </c>
      <c r="J10" s="5">
        <v>2</v>
      </c>
      <c r="K10" s="5">
        <v>0</v>
      </c>
      <c r="L10" s="5">
        <f t="shared" si="0"/>
        <v>168</v>
      </c>
      <c r="M10" s="5">
        <f t="shared" si="1"/>
        <v>66</v>
      </c>
      <c r="N10" s="5">
        <f t="shared" si="2"/>
        <v>2</v>
      </c>
      <c r="O10" s="11">
        <f t="shared" si="3"/>
        <v>236</v>
      </c>
    </row>
    <row r="11" spans="1:15">
      <c r="A11" s="11" t="s">
        <v>1714</v>
      </c>
      <c r="B11" s="5">
        <v>30</v>
      </c>
      <c r="C11" s="5">
        <v>33</v>
      </c>
      <c r="D11" s="5">
        <v>43</v>
      </c>
      <c r="E11" s="5">
        <v>33</v>
      </c>
      <c r="F11" s="5">
        <v>65</v>
      </c>
      <c r="G11" s="5">
        <v>19</v>
      </c>
      <c r="H11" s="5">
        <v>78</v>
      </c>
      <c r="I11" s="5">
        <v>0</v>
      </c>
      <c r="J11" s="5">
        <v>3</v>
      </c>
      <c r="K11" s="5">
        <v>0</v>
      </c>
      <c r="L11" s="5">
        <f t="shared" si="0"/>
        <v>216</v>
      </c>
      <c r="M11" s="5">
        <f t="shared" si="1"/>
        <v>85</v>
      </c>
      <c r="N11" s="5">
        <f t="shared" si="2"/>
        <v>3</v>
      </c>
      <c r="O11" s="11">
        <f t="shared" si="3"/>
        <v>304</v>
      </c>
    </row>
    <row r="12" spans="1:15">
      <c r="A12" s="99" t="s">
        <v>1715</v>
      </c>
      <c r="B12" s="5">
        <v>32</v>
      </c>
      <c r="C12" s="5">
        <v>35</v>
      </c>
      <c r="D12" s="5">
        <v>110</v>
      </c>
      <c r="E12" s="5">
        <v>46</v>
      </c>
      <c r="F12" s="5">
        <v>63</v>
      </c>
      <c r="G12" s="5">
        <v>15</v>
      </c>
      <c r="H12" s="5">
        <v>27</v>
      </c>
      <c r="I12" s="5">
        <v>0</v>
      </c>
      <c r="J12" s="5">
        <v>4</v>
      </c>
      <c r="K12" s="5">
        <v>24</v>
      </c>
      <c r="L12" s="5">
        <f t="shared" si="0"/>
        <v>232</v>
      </c>
      <c r="M12" s="5">
        <f t="shared" si="1"/>
        <v>96</v>
      </c>
      <c r="N12" s="5">
        <f t="shared" si="2"/>
        <v>28</v>
      </c>
      <c r="O12" s="11">
        <f t="shared" si="3"/>
        <v>356</v>
      </c>
    </row>
    <row r="13" spans="1:15">
      <c r="A13" s="11" t="s">
        <v>1716</v>
      </c>
      <c r="B13" s="5">
        <v>26</v>
      </c>
      <c r="C13" s="5">
        <v>52</v>
      </c>
      <c r="D13" s="5">
        <v>72</v>
      </c>
      <c r="E13" s="5">
        <v>61</v>
      </c>
      <c r="F13" s="5">
        <v>36</v>
      </c>
      <c r="G13" s="5">
        <v>26</v>
      </c>
      <c r="H13" s="5">
        <v>46</v>
      </c>
      <c r="I13" s="5">
        <v>0</v>
      </c>
      <c r="J13" s="5">
        <v>3</v>
      </c>
      <c r="K13" s="5">
        <v>3</v>
      </c>
      <c r="L13" s="5">
        <f t="shared" si="0"/>
        <v>180</v>
      </c>
      <c r="M13" s="5">
        <f t="shared" si="1"/>
        <v>139</v>
      </c>
      <c r="N13" s="5">
        <f t="shared" si="2"/>
        <v>6</v>
      </c>
      <c r="O13" s="11">
        <f t="shared" si="3"/>
        <v>325</v>
      </c>
    </row>
    <row r="14" spans="1:15">
      <c r="A14" s="11" t="s">
        <v>1717</v>
      </c>
      <c r="B14" s="5">
        <v>34</v>
      </c>
      <c r="C14" s="5">
        <v>42</v>
      </c>
      <c r="D14" s="5">
        <v>91</v>
      </c>
      <c r="E14" s="5">
        <v>39</v>
      </c>
      <c r="F14" s="5">
        <v>39</v>
      </c>
      <c r="G14" s="5">
        <v>0</v>
      </c>
      <c r="H14" s="5">
        <v>63</v>
      </c>
      <c r="I14" s="5">
        <v>0</v>
      </c>
      <c r="J14" s="5">
        <v>4</v>
      </c>
      <c r="K14" s="5">
        <v>18</v>
      </c>
      <c r="L14" s="5">
        <f t="shared" si="0"/>
        <v>227</v>
      </c>
      <c r="M14" s="5">
        <f t="shared" si="1"/>
        <v>81</v>
      </c>
      <c r="N14" s="5">
        <f t="shared" si="2"/>
        <v>22</v>
      </c>
      <c r="O14" s="11">
        <f t="shared" si="3"/>
        <v>330</v>
      </c>
    </row>
    <row r="15" spans="1:15">
      <c r="A15" s="11" t="s">
        <v>1718</v>
      </c>
      <c r="B15" s="5">
        <v>29</v>
      </c>
      <c r="C15" s="5">
        <v>44</v>
      </c>
      <c r="D15" s="5">
        <v>91</v>
      </c>
      <c r="E15" s="5">
        <v>29</v>
      </c>
      <c r="F15" s="5">
        <v>43</v>
      </c>
      <c r="G15" s="5">
        <v>2</v>
      </c>
      <c r="H15" s="5">
        <v>63</v>
      </c>
      <c r="I15" s="5">
        <v>0</v>
      </c>
      <c r="J15" s="5">
        <v>5</v>
      </c>
      <c r="K15" s="5">
        <v>12</v>
      </c>
      <c r="L15" s="5">
        <f t="shared" si="0"/>
        <v>226</v>
      </c>
      <c r="M15" s="5">
        <f t="shared" si="1"/>
        <v>75</v>
      </c>
      <c r="N15" s="5">
        <f t="shared" si="2"/>
        <v>17</v>
      </c>
      <c r="O15" s="11">
        <f t="shared" si="3"/>
        <v>318</v>
      </c>
    </row>
    <row r="16" spans="1:15">
      <c r="A16" s="11" t="s">
        <v>1719</v>
      </c>
      <c r="B16" s="5">
        <v>27</v>
      </c>
      <c r="C16" s="5">
        <v>45</v>
      </c>
      <c r="D16" s="5">
        <v>151</v>
      </c>
      <c r="E16" s="5">
        <v>17</v>
      </c>
      <c r="F16" s="5">
        <v>27</v>
      </c>
      <c r="G16" s="5">
        <v>0</v>
      </c>
      <c r="H16" s="5">
        <v>0</v>
      </c>
      <c r="I16" s="5">
        <v>0</v>
      </c>
      <c r="J16" s="5">
        <v>7</v>
      </c>
      <c r="K16" s="5">
        <v>50</v>
      </c>
      <c r="L16" s="5">
        <f t="shared" si="0"/>
        <v>205</v>
      </c>
      <c r="M16" s="5">
        <f t="shared" si="1"/>
        <v>62</v>
      </c>
      <c r="N16" s="5">
        <f t="shared" si="2"/>
        <v>57</v>
      </c>
      <c r="O16" s="11">
        <f t="shared" si="3"/>
        <v>324</v>
      </c>
    </row>
    <row r="17" spans="1:15">
      <c r="A17" s="11" t="s">
        <v>1720</v>
      </c>
      <c r="B17" s="5">
        <v>41</v>
      </c>
      <c r="C17" s="5">
        <v>48</v>
      </c>
      <c r="D17" s="5">
        <v>130</v>
      </c>
      <c r="E17" s="5">
        <v>24</v>
      </c>
      <c r="F17" s="5">
        <v>41</v>
      </c>
      <c r="G17" s="5">
        <v>0</v>
      </c>
      <c r="H17" s="5">
        <v>5</v>
      </c>
      <c r="I17" s="5">
        <v>0</v>
      </c>
      <c r="J17" s="5">
        <v>7</v>
      </c>
      <c r="K17" s="5">
        <v>73</v>
      </c>
      <c r="L17" s="5">
        <f t="shared" si="0"/>
        <v>217</v>
      </c>
      <c r="M17" s="5">
        <f t="shared" si="1"/>
        <v>72</v>
      </c>
      <c r="N17" s="5">
        <f t="shared" si="2"/>
        <v>80</v>
      </c>
      <c r="O17" s="11">
        <f t="shared" si="3"/>
        <v>369</v>
      </c>
    </row>
    <row r="18" spans="1:15">
      <c r="A18" s="11" t="s">
        <v>1721</v>
      </c>
      <c r="B18" s="5">
        <v>26</v>
      </c>
      <c r="C18" s="5">
        <v>33</v>
      </c>
      <c r="D18" s="5">
        <v>138</v>
      </c>
      <c r="E18" s="5">
        <v>28</v>
      </c>
      <c r="F18" s="5">
        <v>28</v>
      </c>
      <c r="G18" s="5">
        <v>0</v>
      </c>
      <c r="H18" s="5">
        <v>2</v>
      </c>
      <c r="I18" s="5">
        <v>0</v>
      </c>
      <c r="J18" s="5">
        <v>7</v>
      </c>
      <c r="K18" s="5">
        <v>128</v>
      </c>
      <c r="L18" s="5">
        <f t="shared" si="0"/>
        <v>194</v>
      </c>
      <c r="M18" s="5">
        <f t="shared" si="1"/>
        <v>61</v>
      </c>
      <c r="N18" s="5">
        <f t="shared" si="2"/>
        <v>135</v>
      </c>
      <c r="O18" s="11">
        <f t="shared" si="3"/>
        <v>390</v>
      </c>
    </row>
    <row r="19" spans="1:15">
      <c r="A19" s="11" t="s">
        <v>1722</v>
      </c>
      <c r="B19" s="5">
        <v>47</v>
      </c>
      <c r="C19" s="5">
        <v>24</v>
      </c>
      <c r="D19" s="5">
        <v>109</v>
      </c>
      <c r="E19" s="5">
        <v>13</v>
      </c>
      <c r="F19" s="5">
        <v>37</v>
      </c>
      <c r="G19" s="5">
        <v>0</v>
      </c>
      <c r="H19" s="5">
        <v>11</v>
      </c>
      <c r="I19" s="5">
        <v>0</v>
      </c>
      <c r="J19" s="5">
        <v>8</v>
      </c>
      <c r="K19" s="5">
        <v>85</v>
      </c>
      <c r="L19" s="5">
        <f t="shared" si="0"/>
        <v>204</v>
      </c>
      <c r="M19" s="5">
        <f t="shared" si="1"/>
        <v>37</v>
      </c>
      <c r="N19" s="5">
        <f t="shared" si="2"/>
        <v>93</v>
      </c>
      <c r="O19" s="11">
        <f t="shared" si="3"/>
        <v>334</v>
      </c>
    </row>
    <row r="20" spans="1:15">
      <c r="A20" s="11" t="s">
        <v>1723</v>
      </c>
      <c r="B20" s="5">
        <v>36</v>
      </c>
      <c r="C20" s="5">
        <v>57</v>
      </c>
      <c r="D20" s="5">
        <v>57</v>
      </c>
      <c r="E20" s="5">
        <v>52</v>
      </c>
      <c r="F20" s="5">
        <v>92</v>
      </c>
      <c r="G20" s="5">
        <v>13</v>
      </c>
      <c r="H20" s="5">
        <v>12</v>
      </c>
      <c r="I20" s="5">
        <v>0</v>
      </c>
      <c r="J20" s="5">
        <v>7</v>
      </c>
      <c r="K20" s="5">
        <v>29</v>
      </c>
      <c r="L20" s="5">
        <f t="shared" si="0"/>
        <v>197</v>
      </c>
      <c r="M20" s="5">
        <f t="shared" si="1"/>
        <v>122</v>
      </c>
      <c r="N20" s="5">
        <f t="shared" si="2"/>
        <v>36</v>
      </c>
      <c r="O20" s="11">
        <f t="shared" si="3"/>
        <v>355</v>
      </c>
    </row>
    <row r="21" spans="1:15">
      <c r="A21" s="11" t="s">
        <v>1724</v>
      </c>
      <c r="B21" s="5">
        <v>48</v>
      </c>
      <c r="C21" s="5">
        <v>39</v>
      </c>
      <c r="D21" s="5">
        <v>32</v>
      </c>
      <c r="E21" s="5">
        <v>21</v>
      </c>
      <c r="F21" s="5">
        <v>44</v>
      </c>
      <c r="G21" s="5">
        <v>1</v>
      </c>
      <c r="H21" s="5">
        <v>51</v>
      </c>
      <c r="I21" s="5">
        <v>0</v>
      </c>
      <c r="J21" s="5">
        <v>5</v>
      </c>
      <c r="K21" s="5">
        <v>12</v>
      </c>
      <c r="L21" s="5">
        <f t="shared" si="0"/>
        <v>175</v>
      </c>
      <c r="M21" s="5">
        <f t="shared" si="1"/>
        <v>61</v>
      </c>
      <c r="N21" s="5">
        <f t="shared" si="2"/>
        <v>17</v>
      </c>
      <c r="O21" s="11">
        <f t="shared" si="3"/>
        <v>253</v>
      </c>
    </row>
    <row r="22" spans="1:15">
      <c r="A22" s="11" t="s">
        <v>1725</v>
      </c>
      <c r="B22" s="5">
        <v>49</v>
      </c>
      <c r="C22" s="5">
        <v>19</v>
      </c>
      <c r="D22" s="5">
        <v>67</v>
      </c>
      <c r="E22" s="5">
        <v>7</v>
      </c>
      <c r="F22" s="5">
        <v>41</v>
      </c>
      <c r="G22" s="5">
        <v>1</v>
      </c>
      <c r="H22" s="5">
        <v>51</v>
      </c>
      <c r="I22" s="5">
        <v>0</v>
      </c>
      <c r="J22" s="5">
        <v>5</v>
      </c>
      <c r="K22" s="5">
        <v>12</v>
      </c>
      <c r="L22" s="5">
        <f t="shared" si="0"/>
        <v>208</v>
      </c>
      <c r="M22" s="5">
        <f t="shared" si="1"/>
        <v>27</v>
      </c>
      <c r="N22" s="5">
        <f t="shared" si="2"/>
        <v>17</v>
      </c>
      <c r="O22" s="11">
        <f t="shared" si="3"/>
        <v>252</v>
      </c>
    </row>
    <row r="23" spans="1:15">
      <c r="A23" s="11" t="s">
        <v>1726</v>
      </c>
      <c r="B23" s="5">
        <v>0</v>
      </c>
      <c r="C23" s="5">
        <v>39</v>
      </c>
      <c r="D23" s="5">
        <v>9</v>
      </c>
      <c r="E23" s="5">
        <v>0</v>
      </c>
      <c r="F23" s="5">
        <v>41</v>
      </c>
      <c r="G23" s="5">
        <v>1</v>
      </c>
      <c r="H23" s="5">
        <v>51</v>
      </c>
      <c r="I23" s="5">
        <v>0</v>
      </c>
      <c r="J23" s="5">
        <v>5</v>
      </c>
      <c r="K23" s="5">
        <v>12</v>
      </c>
      <c r="L23" s="5">
        <f t="shared" si="0"/>
        <v>101</v>
      </c>
      <c r="M23" s="5">
        <f t="shared" si="1"/>
        <v>40</v>
      </c>
      <c r="N23" s="5">
        <f t="shared" si="2"/>
        <v>17</v>
      </c>
      <c r="O23" s="11">
        <f t="shared" si="3"/>
        <v>158</v>
      </c>
    </row>
    <row r="24" spans="1:15">
      <c r="A24" s="11" t="s">
        <v>1727</v>
      </c>
      <c r="B24" s="5">
        <v>0</v>
      </c>
      <c r="C24" s="5">
        <v>61</v>
      </c>
      <c r="D24" s="5">
        <v>25</v>
      </c>
      <c r="E24" s="5">
        <v>6</v>
      </c>
      <c r="F24" s="5">
        <v>17</v>
      </c>
      <c r="G24" s="5">
        <v>0</v>
      </c>
      <c r="H24" s="5">
        <v>58</v>
      </c>
      <c r="I24" s="5">
        <v>0</v>
      </c>
      <c r="J24" s="5">
        <v>1</v>
      </c>
      <c r="K24" s="5">
        <v>14</v>
      </c>
      <c r="L24" s="5">
        <f t="shared" si="0"/>
        <v>100</v>
      </c>
      <c r="M24" s="5">
        <f t="shared" si="1"/>
        <v>67</v>
      </c>
      <c r="N24" s="5">
        <f t="shared" si="2"/>
        <v>15</v>
      </c>
      <c r="O24" s="11">
        <f t="shared" si="3"/>
        <v>182</v>
      </c>
    </row>
    <row r="25" spans="1:15">
      <c r="A25" s="11" t="s">
        <v>1728</v>
      </c>
      <c r="B25" s="5">
        <v>58</v>
      </c>
      <c r="C25" s="5">
        <v>34</v>
      </c>
      <c r="D25" s="5">
        <v>124</v>
      </c>
      <c r="E25" s="5">
        <v>3</v>
      </c>
      <c r="F25" s="5">
        <v>74</v>
      </c>
      <c r="G25" s="5">
        <v>0</v>
      </c>
      <c r="H25" s="5">
        <v>41</v>
      </c>
      <c r="I25" s="5">
        <v>0</v>
      </c>
      <c r="J25" s="5">
        <v>8</v>
      </c>
      <c r="K25" s="5">
        <v>61</v>
      </c>
      <c r="L25" s="5">
        <f t="shared" si="0"/>
        <v>297</v>
      </c>
      <c r="M25" s="5">
        <f t="shared" si="1"/>
        <v>37</v>
      </c>
      <c r="N25" s="5">
        <f t="shared" si="2"/>
        <v>69</v>
      </c>
      <c r="O25" s="11">
        <f t="shared" si="3"/>
        <v>403</v>
      </c>
    </row>
    <row r="26" spans="1:15">
      <c r="A26" s="11" t="s">
        <v>1729</v>
      </c>
      <c r="B26" s="5">
        <v>49</v>
      </c>
      <c r="C26" s="5">
        <v>15</v>
      </c>
      <c r="D26" s="5">
        <v>102</v>
      </c>
      <c r="E26" s="5">
        <v>5</v>
      </c>
      <c r="F26" s="5">
        <v>83</v>
      </c>
      <c r="G26" s="5">
        <v>0</v>
      </c>
      <c r="H26" s="5">
        <v>69</v>
      </c>
      <c r="I26" s="5">
        <v>0</v>
      </c>
      <c r="J26" s="5">
        <v>7</v>
      </c>
      <c r="K26" s="5">
        <v>0</v>
      </c>
      <c r="L26" s="5">
        <f t="shared" si="0"/>
        <v>303</v>
      </c>
      <c r="M26" s="5">
        <f t="shared" si="1"/>
        <v>20</v>
      </c>
      <c r="N26" s="5">
        <f t="shared" si="2"/>
        <v>7</v>
      </c>
      <c r="O26" s="11">
        <f t="shared" si="3"/>
        <v>330</v>
      </c>
    </row>
    <row r="27" spans="1:15">
      <c r="A27" s="11" t="s">
        <v>1730</v>
      </c>
      <c r="B27" s="5">
        <v>61</v>
      </c>
      <c r="C27" s="5">
        <v>10</v>
      </c>
      <c r="D27" s="5">
        <v>70</v>
      </c>
      <c r="E27" s="5">
        <v>0</v>
      </c>
      <c r="F27" s="5">
        <v>57</v>
      </c>
      <c r="G27" s="5">
        <v>2</v>
      </c>
      <c r="H27" s="5">
        <v>46</v>
      </c>
      <c r="I27" s="5">
        <v>0</v>
      </c>
      <c r="J27" s="5">
        <v>6</v>
      </c>
      <c r="K27" s="5">
        <v>6</v>
      </c>
      <c r="L27" s="5">
        <f t="shared" si="0"/>
        <v>234</v>
      </c>
      <c r="M27" s="5">
        <f t="shared" si="1"/>
        <v>12</v>
      </c>
      <c r="N27" s="5">
        <f t="shared" si="2"/>
        <v>12</v>
      </c>
      <c r="O27" s="11">
        <f t="shared" si="3"/>
        <v>258</v>
      </c>
    </row>
    <row r="28" spans="1:15">
      <c r="A28" s="11" t="s">
        <v>1731</v>
      </c>
      <c r="B28" s="5">
        <v>44</v>
      </c>
      <c r="C28" s="5">
        <v>15</v>
      </c>
      <c r="D28" s="5">
        <v>78</v>
      </c>
      <c r="E28" s="5">
        <v>3</v>
      </c>
      <c r="F28" s="5">
        <v>57</v>
      </c>
      <c r="G28" s="5">
        <v>0</v>
      </c>
      <c r="H28" s="5">
        <v>20</v>
      </c>
      <c r="I28" s="5">
        <v>0</v>
      </c>
      <c r="J28" s="5">
        <v>6</v>
      </c>
      <c r="K28" s="5">
        <v>12</v>
      </c>
      <c r="L28" s="5">
        <f t="shared" si="0"/>
        <v>199</v>
      </c>
      <c r="M28" s="5">
        <f t="shared" si="1"/>
        <v>18</v>
      </c>
      <c r="N28" s="5">
        <f t="shared" si="2"/>
        <v>18</v>
      </c>
      <c r="O28" s="11">
        <f t="shared" si="3"/>
        <v>235</v>
      </c>
    </row>
    <row r="29" spans="1:15">
      <c r="A29" s="11" t="s">
        <v>1732</v>
      </c>
      <c r="B29" s="5">
        <v>51</v>
      </c>
      <c r="C29" s="5">
        <v>27</v>
      </c>
      <c r="D29" s="5">
        <v>79</v>
      </c>
      <c r="E29" s="5">
        <v>6</v>
      </c>
      <c r="F29" s="5">
        <v>65</v>
      </c>
      <c r="G29" s="5">
        <v>2</v>
      </c>
      <c r="H29" s="5">
        <v>76</v>
      </c>
      <c r="I29" s="5">
        <v>0</v>
      </c>
      <c r="J29" s="5">
        <v>5</v>
      </c>
      <c r="K29" s="5">
        <v>0</v>
      </c>
      <c r="L29" s="5">
        <f t="shared" si="0"/>
        <v>271</v>
      </c>
      <c r="M29" s="5">
        <f t="shared" si="1"/>
        <v>35</v>
      </c>
      <c r="N29" s="5">
        <f t="shared" si="2"/>
        <v>5</v>
      </c>
      <c r="O29" s="11">
        <f t="shared" si="3"/>
        <v>311</v>
      </c>
    </row>
    <row r="30" spans="1:15">
      <c r="A30" s="11" t="s">
        <v>1733</v>
      </c>
      <c r="B30" s="5">
        <v>48</v>
      </c>
      <c r="C30" s="5">
        <v>24</v>
      </c>
      <c r="D30" s="5">
        <v>57</v>
      </c>
      <c r="E30" s="5">
        <v>4</v>
      </c>
      <c r="F30" s="5">
        <v>59</v>
      </c>
      <c r="G30" s="5">
        <v>18</v>
      </c>
      <c r="H30" s="5">
        <v>69</v>
      </c>
      <c r="I30" s="5">
        <v>0</v>
      </c>
      <c r="J30" s="5">
        <v>11</v>
      </c>
      <c r="K30" s="5">
        <v>0</v>
      </c>
      <c r="L30" s="5">
        <f t="shared" si="0"/>
        <v>233</v>
      </c>
      <c r="M30" s="5">
        <f t="shared" si="1"/>
        <v>46</v>
      </c>
      <c r="N30" s="5">
        <f t="shared" si="2"/>
        <v>11</v>
      </c>
      <c r="O30" s="11">
        <f t="shared" si="3"/>
        <v>290</v>
      </c>
    </row>
    <row r="31" spans="1:15">
      <c r="A31" s="11" t="s">
        <v>1734</v>
      </c>
      <c r="B31" s="5">
        <v>41</v>
      </c>
      <c r="C31" s="5">
        <v>31</v>
      </c>
      <c r="D31" s="5">
        <v>69</v>
      </c>
      <c r="E31" s="5">
        <v>44</v>
      </c>
      <c r="F31" s="5">
        <v>57</v>
      </c>
      <c r="G31" s="5">
        <v>16</v>
      </c>
      <c r="H31" s="5">
        <v>43</v>
      </c>
      <c r="I31" s="5">
        <v>0</v>
      </c>
      <c r="J31" s="5">
        <v>8</v>
      </c>
      <c r="K31" s="5">
        <v>61</v>
      </c>
      <c r="L31" s="5">
        <f t="shared" si="0"/>
        <v>210</v>
      </c>
      <c r="M31" s="5">
        <f t="shared" si="1"/>
        <v>91</v>
      </c>
      <c r="N31" s="5">
        <f t="shared" si="2"/>
        <v>69</v>
      </c>
      <c r="O31" s="11">
        <f t="shared" si="3"/>
        <v>370</v>
      </c>
    </row>
    <row r="32" spans="1:15">
      <c r="A32" s="11" t="s">
        <v>1735</v>
      </c>
      <c r="B32" s="5">
        <v>36</v>
      </c>
      <c r="C32" s="5">
        <v>25</v>
      </c>
      <c r="D32" s="5">
        <v>46</v>
      </c>
      <c r="E32" s="5">
        <v>13</v>
      </c>
      <c r="F32" s="5">
        <v>52</v>
      </c>
      <c r="G32" s="5">
        <v>9</v>
      </c>
      <c r="H32" s="5">
        <v>51</v>
      </c>
      <c r="I32" s="5">
        <v>0</v>
      </c>
      <c r="J32" s="5">
        <v>12</v>
      </c>
      <c r="K32" s="5">
        <v>54</v>
      </c>
      <c r="L32" s="5">
        <f t="shared" si="0"/>
        <v>185</v>
      </c>
      <c r="M32" s="5">
        <f t="shared" si="1"/>
        <v>47</v>
      </c>
      <c r="N32" s="5">
        <f t="shared" si="2"/>
        <v>66</v>
      </c>
      <c r="O32" s="11">
        <f t="shared" si="3"/>
        <v>298</v>
      </c>
    </row>
    <row r="33" spans="1:15">
      <c r="A33" s="11" t="s">
        <v>1736</v>
      </c>
      <c r="B33" s="5">
        <v>50</v>
      </c>
      <c r="C33" s="5">
        <v>38</v>
      </c>
      <c r="D33" s="5">
        <v>64</v>
      </c>
      <c r="E33" s="5">
        <v>4</v>
      </c>
      <c r="F33" s="5">
        <v>51</v>
      </c>
      <c r="G33" s="5">
        <v>6</v>
      </c>
      <c r="H33" s="5">
        <v>28</v>
      </c>
      <c r="I33" s="5">
        <v>0</v>
      </c>
      <c r="J33" s="5">
        <v>9</v>
      </c>
      <c r="K33" s="5">
        <v>46</v>
      </c>
      <c r="L33" s="5">
        <f t="shared" si="0"/>
        <v>193</v>
      </c>
      <c r="M33" s="5">
        <f t="shared" si="1"/>
        <v>48</v>
      </c>
      <c r="N33" s="5">
        <f t="shared" si="2"/>
        <v>55</v>
      </c>
      <c r="O33" s="11">
        <f t="shared" si="3"/>
        <v>296</v>
      </c>
    </row>
    <row r="34" spans="1:15">
      <c r="A34" s="11" t="s">
        <v>1737</v>
      </c>
      <c r="B34" s="5">
        <v>44</v>
      </c>
      <c r="C34" s="5">
        <v>27</v>
      </c>
      <c r="D34" s="5">
        <v>54</v>
      </c>
      <c r="E34" s="5">
        <v>11</v>
      </c>
      <c r="F34" s="5">
        <v>58</v>
      </c>
      <c r="G34" s="5">
        <v>27</v>
      </c>
      <c r="H34" s="5">
        <v>42</v>
      </c>
      <c r="I34" s="5">
        <v>0</v>
      </c>
      <c r="J34" s="5">
        <v>9</v>
      </c>
      <c r="K34" s="5">
        <v>32</v>
      </c>
      <c r="L34" s="5">
        <f t="shared" si="0"/>
        <v>198</v>
      </c>
      <c r="M34" s="5">
        <f t="shared" si="1"/>
        <v>65</v>
      </c>
      <c r="N34" s="5">
        <f t="shared" si="2"/>
        <v>41</v>
      </c>
      <c r="O34" s="11">
        <f t="shared" si="3"/>
        <v>304</v>
      </c>
    </row>
    <row r="35" spans="1:15">
      <c r="A35" s="11" t="s">
        <v>1738</v>
      </c>
      <c r="B35" s="5">
        <v>52</v>
      </c>
      <c r="C35" s="5">
        <v>18</v>
      </c>
      <c r="D35" s="5">
        <v>53</v>
      </c>
      <c r="E35" s="5">
        <v>21</v>
      </c>
      <c r="F35" s="5">
        <v>47</v>
      </c>
      <c r="G35" s="5">
        <v>21</v>
      </c>
      <c r="H35" s="5">
        <v>70</v>
      </c>
      <c r="I35" s="5">
        <v>0</v>
      </c>
      <c r="J35" s="5">
        <v>5</v>
      </c>
      <c r="K35" s="5">
        <v>24</v>
      </c>
      <c r="L35" s="5">
        <f t="shared" si="0"/>
        <v>222</v>
      </c>
      <c r="M35" s="5">
        <f t="shared" si="1"/>
        <v>60</v>
      </c>
      <c r="N35" s="5">
        <f t="shared" si="2"/>
        <v>29</v>
      </c>
      <c r="O35" s="11">
        <f t="shared" si="3"/>
        <v>311</v>
      </c>
    </row>
    <row r="36" spans="1:15">
      <c r="A36" s="11" t="s">
        <v>1739</v>
      </c>
      <c r="B36" s="5">
        <v>50</v>
      </c>
      <c r="C36" s="5">
        <v>13</v>
      </c>
      <c r="D36" s="5">
        <v>54</v>
      </c>
      <c r="E36" s="5">
        <v>4</v>
      </c>
      <c r="F36" s="5">
        <v>60</v>
      </c>
      <c r="G36" s="5">
        <v>0</v>
      </c>
      <c r="H36" s="5">
        <v>23</v>
      </c>
      <c r="I36" s="5">
        <v>0</v>
      </c>
      <c r="J36" s="5">
        <v>13</v>
      </c>
      <c r="K36" s="5">
        <v>40</v>
      </c>
      <c r="L36" s="5">
        <f t="shared" si="0"/>
        <v>187</v>
      </c>
      <c r="M36" s="5">
        <f t="shared" si="1"/>
        <v>17</v>
      </c>
      <c r="N36" s="5">
        <f t="shared" si="2"/>
        <v>53</v>
      </c>
      <c r="O36" s="11">
        <f t="shared" si="3"/>
        <v>257</v>
      </c>
    </row>
    <row r="37" spans="1:15">
      <c r="A37" s="11" t="s">
        <v>1740</v>
      </c>
      <c r="B37" s="5">
        <v>35</v>
      </c>
      <c r="C37" s="5">
        <v>17</v>
      </c>
      <c r="D37" s="5">
        <v>53</v>
      </c>
      <c r="E37" s="5">
        <v>22</v>
      </c>
      <c r="F37" s="5">
        <v>48</v>
      </c>
      <c r="G37" s="5">
        <v>32</v>
      </c>
      <c r="H37" s="5">
        <v>46</v>
      </c>
      <c r="I37" s="5">
        <v>0</v>
      </c>
      <c r="J37" s="5">
        <v>6</v>
      </c>
      <c r="K37" s="5">
        <v>23</v>
      </c>
      <c r="L37" s="5">
        <f t="shared" si="0"/>
        <v>182</v>
      </c>
      <c r="M37" s="5">
        <f t="shared" si="1"/>
        <v>71</v>
      </c>
      <c r="N37" s="5">
        <f t="shared" si="2"/>
        <v>29</v>
      </c>
      <c r="O37" s="11">
        <f t="shared" si="3"/>
        <v>282</v>
      </c>
    </row>
    <row r="38" spans="1:15">
      <c r="A38" s="11" t="s">
        <v>1741</v>
      </c>
      <c r="B38" s="5">
        <v>34</v>
      </c>
      <c r="C38" s="5">
        <v>0</v>
      </c>
      <c r="D38" s="5">
        <v>36</v>
      </c>
      <c r="E38" s="5">
        <v>0</v>
      </c>
      <c r="F38" s="5">
        <v>32</v>
      </c>
      <c r="G38" s="5">
        <v>5</v>
      </c>
      <c r="H38" s="5">
        <v>28</v>
      </c>
      <c r="I38" s="5">
        <v>0</v>
      </c>
      <c r="J38" s="5">
        <v>7</v>
      </c>
      <c r="K38" s="5">
        <v>20</v>
      </c>
      <c r="L38" s="5">
        <f t="shared" si="0"/>
        <v>130</v>
      </c>
      <c r="M38" s="5">
        <f t="shared" si="1"/>
        <v>5</v>
      </c>
      <c r="N38" s="5">
        <f t="shared" si="2"/>
        <v>27</v>
      </c>
      <c r="O38" s="11">
        <f t="shared" si="3"/>
        <v>162</v>
      </c>
    </row>
    <row r="39" spans="1:15">
      <c r="A39" s="11" t="s">
        <v>1742</v>
      </c>
      <c r="B39" s="5">
        <v>56</v>
      </c>
      <c r="C39" s="5">
        <v>5</v>
      </c>
      <c r="D39" s="5">
        <v>57</v>
      </c>
      <c r="E39" s="5">
        <v>1</v>
      </c>
      <c r="F39" s="5">
        <v>45</v>
      </c>
      <c r="G39" s="5">
        <v>7</v>
      </c>
      <c r="H39" s="5">
        <v>32</v>
      </c>
      <c r="I39" s="5">
        <v>0</v>
      </c>
      <c r="J39" s="5">
        <v>9</v>
      </c>
      <c r="K39" s="5">
        <v>35</v>
      </c>
      <c r="L39" s="5">
        <f t="shared" si="0"/>
        <v>190</v>
      </c>
      <c r="M39" s="5">
        <f t="shared" si="1"/>
        <v>13</v>
      </c>
      <c r="N39" s="5">
        <f t="shared" si="2"/>
        <v>44</v>
      </c>
      <c r="O39" s="11">
        <f t="shared" si="3"/>
        <v>247</v>
      </c>
    </row>
    <row r="40" spans="1:15">
      <c r="A40" s="11" t="s">
        <v>1743</v>
      </c>
      <c r="B40" s="5">
        <v>32</v>
      </c>
      <c r="C40" s="5">
        <v>0</v>
      </c>
      <c r="D40" s="5">
        <v>27</v>
      </c>
      <c r="E40" s="5">
        <v>0</v>
      </c>
      <c r="F40" s="5">
        <v>28</v>
      </c>
      <c r="G40" s="5">
        <v>0</v>
      </c>
      <c r="H40" s="5">
        <v>34</v>
      </c>
      <c r="I40" s="5">
        <v>0</v>
      </c>
      <c r="J40" s="5">
        <v>6</v>
      </c>
      <c r="K40" s="5">
        <v>2</v>
      </c>
      <c r="L40" s="5">
        <f t="shared" si="0"/>
        <v>121</v>
      </c>
      <c r="M40" s="5">
        <f t="shared" si="1"/>
        <v>0</v>
      </c>
      <c r="N40" s="5">
        <f t="shared" si="2"/>
        <v>8</v>
      </c>
      <c r="O40" s="11">
        <f t="shared" si="3"/>
        <v>129</v>
      </c>
    </row>
    <row r="41" spans="1:15">
      <c r="A41" s="11" t="s">
        <v>1744</v>
      </c>
      <c r="B41" s="5">
        <v>51</v>
      </c>
      <c r="C41" s="5">
        <v>6</v>
      </c>
      <c r="D41" s="5">
        <v>52</v>
      </c>
      <c r="E41" s="5">
        <v>2</v>
      </c>
      <c r="F41" s="5">
        <v>32</v>
      </c>
      <c r="G41" s="5">
        <v>11</v>
      </c>
      <c r="H41" s="5">
        <v>54</v>
      </c>
      <c r="I41" s="5">
        <v>0</v>
      </c>
      <c r="J41" s="5">
        <v>6</v>
      </c>
      <c r="K41" s="5">
        <v>2</v>
      </c>
      <c r="L41" s="5">
        <f t="shared" si="0"/>
        <v>189</v>
      </c>
      <c r="M41" s="5">
        <f t="shared" si="1"/>
        <v>19</v>
      </c>
      <c r="N41" s="5">
        <f t="shared" si="2"/>
        <v>8</v>
      </c>
      <c r="O41" s="11">
        <f t="shared" si="3"/>
        <v>216</v>
      </c>
    </row>
    <row r="42" spans="1:15">
      <c r="A42" s="11" t="s">
        <v>1745</v>
      </c>
      <c r="B42" s="5">
        <v>30</v>
      </c>
      <c r="C42" s="5">
        <v>0</v>
      </c>
      <c r="D42" s="5">
        <v>24</v>
      </c>
      <c r="E42" s="5">
        <v>0</v>
      </c>
      <c r="F42" s="5">
        <v>7</v>
      </c>
      <c r="G42" s="5">
        <v>0</v>
      </c>
      <c r="H42" s="5">
        <v>39</v>
      </c>
      <c r="I42" s="5">
        <v>0</v>
      </c>
      <c r="J42" s="5">
        <v>7</v>
      </c>
      <c r="K42" s="5">
        <v>2</v>
      </c>
      <c r="L42" s="5">
        <f t="shared" si="0"/>
        <v>100</v>
      </c>
      <c r="M42" s="5">
        <f t="shared" si="1"/>
        <v>0</v>
      </c>
      <c r="N42" s="5">
        <f t="shared" si="2"/>
        <v>9</v>
      </c>
      <c r="O42" s="11">
        <f t="shared" si="3"/>
        <v>109</v>
      </c>
    </row>
    <row r="43" spans="1:15">
      <c r="A43" s="11" t="s">
        <v>1746</v>
      </c>
      <c r="B43" s="5">
        <v>44</v>
      </c>
      <c r="C43" s="5">
        <v>0</v>
      </c>
      <c r="D43" s="5">
        <v>43</v>
      </c>
      <c r="E43" s="5">
        <v>0</v>
      </c>
      <c r="F43" s="5">
        <v>30</v>
      </c>
      <c r="G43" s="5">
        <v>0</v>
      </c>
      <c r="H43" s="5">
        <v>26</v>
      </c>
      <c r="I43" s="5">
        <v>0</v>
      </c>
      <c r="J43" s="5">
        <v>7</v>
      </c>
      <c r="K43" s="5">
        <v>2</v>
      </c>
      <c r="L43" s="5">
        <f t="shared" si="0"/>
        <v>143</v>
      </c>
      <c r="M43" s="5">
        <f t="shared" si="1"/>
        <v>0</v>
      </c>
      <c r="N43" s="5">
        <f t="shared" si="2"/>
        <v>9</v>
      </c>
      <c r="O43" s="11">
        <f t="shared" si="3"/>
        <v>152</v>
      </c>
    </row>
    <row r="44" spans="1:15">
      <c r="A44" s="11" t="s">
        <v>1747</v>
      </c>
      <c r="B44" s="5">
        <v>25</v>
      </c>
      <c r="C44" s="5">
        <v>0</v>
      </c>
      <c r="D44" s="5">
        <v>22</v>
      </c>
      <c r="E44" s="5">
        <v>0</v>
      </c>
      <c r="F44" s="5">
        <v>155</v>
      </c>
      <c r="G44" s="5">
        <v>0</v>
      </c>
      <c r="H44" s="5">
        <v>0</v>
      </c>
      <c r="I44" s="5">
        <v>0</v>
      </c>
      <c r="J44" s="5">
        <v>4</v>
      </c>
      <c r="K44" s="5">
        <v>62</v>
      </c>
      <c r="L44" s="5">
        <f t="shared" si="0"/>
        <v>202</v>
      </c>
      <c r="M44" s="5">
        <f t="shared" si="1"/>
        <v>0</v>
      </c>
      <c r="N44" s="5">
        <f t="shared" si="2"/>
        <v>66</v>
      </c>
      <c r="O44" s="11">
        <f t="shared" si="3"/>
        <v>268</v>
      </c>
    </row>
    <row r="45" spans="1:15">
      <c r="A45" s="11" t="s">
        <v>1748</v>
      </c>
      <c r="B45" s="5">
        <v>23</v>
      </c>
      <c r="C45" s="5">
        <v>5</v>
      </c>
      <c r="D45" s="5">
        <v>30</v>
      </c>
      <c r="E45" s="5">
        <v>3</v>
      </c>
      <c r="F45" s="5">
        <v>20</v>
      </c>
      <c r="G45" s="5">
        <v>1</v>
      </c>
      <c r="H45" s="5">
        <v>0</v>
      </c>
      <c r="I45" s="5">
        <v>0</v>
      </c>
      <c r="J45" s="5">
        <v>5</v>
      </c>
      <c r="K45" s="5">
        <v>35</v>
      </c>
      <c r="L45" s="5">
        <f t="shared" si="0"/>
        <v>73</v>
      </c>
      <c r="M45" s="5">
        <f t="shared" si="1"/>
        <v>9</v>
      </c>
      <c r="N45" s="5">
        <f t="shared" si="2"/>
        <v>40</v>
      </c>
      <c r="O45" s="11">
        <f t="shared" si="3"/>
        <v>122</v>
      </c>
    </row>
    <row r="46" spans="1:15">
      <c r="A46" s="11" t="s">
        <v>901</v>
      </c>
      <c r="B46" s="5">
        <v>17</v>
      </c>
      <c r="C46" s="5">
        <v>0</v>
      </c>
      <c r="D46" s="5">
        <v>14</v>
      </c>
      <c r="E46" s="5">
        <v>0</v>
      </c>
      <c r="F46" s="5">
        <v>18</v>
      </c>
      <c r="G46" s="5">
        <v>1</v>
      </c>
      <c r="H46" s="5">
        <v>0</v>
      </c>
      <c r="I46" s="5">
        <v>0</v>
      </c>
      <c r="J46" s="5">
        <v>3</v>
      </c>
      <c r="K46" s="5">
        <v>25</v>
      </c>
      <c r="L46" s="5">
        <f t="shared" si="0"/>
        <v>49</v>
      </c>
      <c r="M46" s="5">
        <f t="shared" si="1"/>
        <v>1</v>
      </c>
      <c r="N46" s="5">
        <f t="shared" si="2"/>
        <v>28</v>
      </c>
      <c r="O46" s="11">
        <f t="shared" si="3"/>
        <v>78</v>
      </c>
    </row>
    <row r="47" spans="1:15">
      <c r="A47" s="11" t="s">
        <v>905</v>
      </c>
      <c r="B47" s="5">
        <v>23</v>
      </c>
      <c r="C47" s="5">
        <v>0</v>
      </c>
      <c r="D47" s="5">
        <v>22</v>
      </c>
      <c r="E47" s="5">
        <v>0</v>
      </c>
      <c r="F47" s="5">
        <v>13</v>
      </c>
      <c r="G47" s="5">
        <v>0</v>
      </c>
      <c r="H47" s="5">
        <v>0</v>
      </c>
      <c r="I47" s="5">
        <v>0</v>
      </c>
      <c r="J47" s="5">
        <v>3</v>
      </c>
      <c r="K47" s="5">
        <v>67</v>
      </c>
      <c r="L47" s="5">
        <f t="shared" si="0"/>
        <v>58</v>
      </c>
      <c r="M47" s="5">
        <f t="shared" si="1"/>
        <v>0</v>
      </c>
      <c r="N47" s="5">
        <f t="shared" si="2"/>
        <v>70</v>
      </c>
      <c r="O47" s="11">
        <f t="shared" si="3"/>
        <v>128</v>
      </c>
    </row>
    <row r="48" spans="1:15">
      <c r="A48" s="11" t="s">
        <v>1749</v>
      </c>
      <c r="B48" s="5">
        <v>24</v>
      </c>
      <c r="C48" s="5">
        <v>0</v>
      </c>
      <c r="D48" s="5">
        <v>15</v>
      </c>
      <c r="E48" s="5">
        <v>0</v>
      </c>
      <c r="F48" s="5">
        <v>18</v>
      </c>
      <c r="G48" s="5">
        <v>0</v>
      </c>
      <c r="H48" s="5">
        <v>0</v>
      </c>
      <c r="I48" s="5">
        <v>0</v>
      </c>
      <c r="J48" s="5">
        <v>5</v>
      </c>
      <c r="K48" s="5">
        <v>26</v>
      </c>
      <c r="L48" s="5">
        <f t="shared" si="0"/>
        <v>57</v>
      </c>
      <c r="M48" s="5">
        <f t="shared" si="1"/>
        <v>0</v>
      </c>
      <c r="N48" s="5">
        <f t="shared" si="2"/>
        <v>31</v>
      </c>
      <c r="O48" s="11">
        <f t="shared" si="3"/>
        <v>88</v>
      </c>
    </row>
    <row r="49" spans="1:15">
      <c r="A49" s="11" t="s">
        <v>1750</v>
      </c>
      <c r="B49" s="5">
        <v>20</v>
      </c>
      <c r="C49" s="5">
        <v>0</v>
      </c>
      <c r="D49" s="5">
        <v>16</v>
      </c>
      <c r="E49" s="5">
        <v>0</v>
      </c>
      <c r="F49" s="5">
        <v>12</v>
      </c>
      <c r="G49" s="5">
        <v>0</v>
      </c>
      <c r="H49" s="5">
        <v>0</v>
      </c>
      <c r="I49" s="5">
        <v>0</v>
      </c>
      <c r="J49" s="5">
        <v>4</v>
      </c>
      <c r="K49" s="5">
        <v>38</v>
      </c>
      <c r="L49" s="5">
        <f t="shared" si="0"/>
        <v>48</v>
      </c>
      <c r="M49" s="5">
        <f t="shared" si="1"/>
        <v>0</v>
      </c>
      <c r="N49" s="5">
        <f t="shared" si="2"/>
        <v>42</v>
      </c>
      <c r="O49" s="11">
        <f t="shared" si="3"/>
        <v>90</v>
      </c>
    </row>
    <row r="50" spans="1:15">
      <c r="A50" s="11" t="s">
        <v>1751</v>
      </c>
      <c r="B50" s="5">
        <v>6</v>
      </c>
      <c r="C50" s="5">
        <v>0</v>
      </c>
      <c r="D50" s="5">
        <v>5</v>
      </c>
      <c r="E50" s="5">
        <v>0</v>
      </c>
      <c r="F50" s="5">
        <v>8</v>
      </c>
      <c r="G50" s="5">
        <v>0</v>
      </c>
      <c r="H50" s="5">
        <v>0</v>
      </c>
      <c r="I50" s="5">
        <v>0</v>
      </c>
      <c r="J50" s="5">
        <v>1</v>
      </c>
      <c r="K50" s="5">
        <v>36</v>
      </c>
      <c r="L50" s="5">
        <f t="shared" si="0"/>
        <v>19</v>
      </c>
      <c r="M50" s="5">
        <f t="shared" si="1"/>
        <v>0</v>
      </c>
      <c r="N50" s="5">
        <f t="shared" si="2"/>
        <v>37</v>
      </c>
      <c r="O50" s="11">
        <f t="shared" si="3"/>
        <v>56</v>
      </c>
    </row>
    <row r="51" spans="1:15">
      <c r="A51" s="11" t="s">
        <v>1752</v>
      </c>
      <c r="B51" s="5">
        <v>14</v>
      </c>
      <c r="C51" s="5">
        <v>1</v>
      </c>
      <c r="D51" s="5">
        <v>20</v>
      </c>
      <c r="E51" s="5">
        <v>0</v>
      </c>
      <c r="F51" s="5">
        <v>10</v>
      </c>
      <c r="G51" s="5">
        <v>0</v>
      </c>
      <c r="H51" s="5">
        <v>0</v>
      </c>
      <c r="I51" s="5">
        <v>0</v>
      </c>
      <c r="J51" s="5">
        <v>5</v>
      </c>
      <c r="K51" s="5">
        <v>54</v>
      </c>
      <c r="L51" s="5">
        <f t="shared" si="0"/>
        <v>44</v>
      </c>
      <c r="M51" s="5">
        <f t="shared" si="1"/>
        <v>1</v>
      </c>
      <c r="N51" s="5">
        <f t="shared" si="2"/>
        <v>59</v>
      </c>
      <c r="O51" s="11">
        <f t="shared" si="3"/>
        <v>104</v>
      </c>
    </row>
    <row r="52" spans="1:15">
      <c r="A52" s="11" t="s">
        <v>1753</v>
      </c>
      <c r="B52" s="5">
        <v>0</v>
      </c>
      <c r="C52" s="5">
        <v>0</v>
      </c>
      <c r="D52" s="5">
        <v>0</v>
      </c>
      <c r="E52" s="5">
        <v>0</v>
      </c>
      <c r="F52" s="5">
        <v>24</v>
      </c>
      <c r="G52" s="5">
        <v>0</v>
      </c>
      <c r="H52" s="5">
        <v>0</v>
      </c>
      <c r="I52" s="5">
        <v>0</v>
      </c>
      <c r="J52" s="5">
        <v>0</v>
      </c>
      <c r="K52" s="5">
        <v>47</v>
      </c>
      <c r="L52" s="5">
        <f t="shared" si="0"/>
        <v>24</v>
      </c>
      <c r="M52" s="5">
        <f t="shared" si="1"/>
        <v>0</v>
      </c>
      <c r="N52" s="5">
        <f t="shared" si="2"/>
        <v>47</v>
      </c>
      <c r="O52" s="11">
        <f t="shared" si="3"/>
        <v>71</v>
      </c>
    </row>
    <row r="53" spans="1:15">
      <c r="A53" s="11" t="s">
        <v>1754</v>
      </c>
      <c r="B53" s="5">
        <v>19</v>
      </c>
      <c r="C53" s="5">
        <v>3</v>
      </c>
      <c r="D53" s="5">
        <v>25</v>
      </c>
      <c r="E53" s="5">
        <v>0</v>
      </c>
      <c r="F53" s="5">
        <v>8</v>
      </c>
      <c r="G53" s="5">
        <v>0</v>
      </c>
      <c r="H53" s="5">
        <v>0</v>
      </c>
      <c r="I53" s="5">
        <v>0</v>
      </c>
      <c r="J53" s="5">
        <v>4</v>
      </c>
      <c r="K53" s="5">
        <v>34</v>
      </c>
      <c r="L53" s="5">
        <f t="shared" si="0"/>
        <v>52</v>
      </c>
      <c r="M53" s="5">
        <f t="shared" si="1"/>
        <v>3</v>
      </c>
      <c r="N53" s="5">
        <f t="shared" si="2"/>
        <v>38</v>
      </c>
      <c r="O53" s="11">
        <f t="shared" si="3"/>
        <v>93</v>
      </c>
    </row>
    <row r="54" spans="1:15">
      <c r="A54" s="11" t="s">
        <v>1755</v>
      </c>
      <c r="B54" s="5">
        <v>18</v>
      </c>
      <c r="C54" s="5">
        <v>0</v>
      </c>
      <c r="D54" s="5">
        <v>17</v>
      </c>
      <c r="E54" s="5">
        <v>0</v>
      </c>
      <c r="F54" s="5">
        <v>18</v>
      </c>
      <c r="G54" s="5">
        <v>0</v>
      </c>
      <c r="H54" s="5">
        <v>0</v>
      </c>
      <c r="I54" s="5">
        <v>0</v>
      </c>
      <c r="J54" s="5">
        <v>5</v>
      </c>
      <c r="K54" s="5">
        <v>14</v>
      </c>
      <c r="L54" s="5">
        <f t="shared" si="0"/>
        <v>53</v>
      </c>
      <c r="M54" s="5">
        <f t="shared" si="1"/>
        <v>0</v>
      </c>
      <c r="N54" s="5">
        <f t="shared" si="2"/>
        <v>19</v>
      </c>
      <c r="O54" s="11">
        <f t="shared" si="3"/>
        <v>72</v>
      </c>
    </row>
    <row r="55" spans="1:15">
      <c r="A55" s="11" t="s">
        <v>953</v>
      </c>
      <c r="B55" s="5">
        <v>16</v>
      </c>
      <c r="C55" s="5">
        <v>3</v>
      </c>
      <c r="D55" s="5">
        <v>15</v>
      </c>
      <c r="E55" s="5">
        <v>5</v>
      </c>
      <c r="F55" s="5">
        <v>5</v>
      </c>
      <c r="G55" s="5">
        <v>0</v>
      </c>
      <c r="H55" s="5">
        <v>11</v>
      </c>
      <c r="I55" s="5">
        <v>0</v>
      </c>
      <c r="J55" s="5">
        <v>5</v>
      </c>
      <c r="K55" s="5">
        <v>35</v>
      </c>
      <c r="L55" s="5">
        <f t="shared" si="0"/>
        <v>47</v>
      </c>
      <c r="M55" s="5">
        <f t="shared" si="1"/>
        <v>8</v>
      </c>
      <c r="N55" s="5">
        <f t="shared" si="2"/>
        <v>40</v>
      </c>
      <c r="O55" s="11">
        <f t="shared" si="3"/>
        <v>95</v>
      </c>
    </row>
    <row r="56" spans="1:15">
      <c r="A56" s="11" t="s">
        <v>963</v>
      </c>
      <c r="B56" s="5">
        <v>2</v>
      </c>
      <c r="C56" s="5">
        <v>0</v>
      </c>
      <c r="D56" s="5">
        <v>3</v>
      </c>
      <c r="E56" s="5">
        <v>0</v>
      </c>
      <c r="F56" s="5">
        <v>2</v>
      </c>
      <c r="G56" s="5">
        <v>0</v>
      </c>
      <c r="H56" s="5">
        <v>0</v>
      </c>
      <c r="I56" s="5">
        <v>0</v>
      </c>
      <c r="J56" s="5">
        <v>6</v>
      </c>
      <c r="K56" s="5">
        <v>29</v>
      </c>
      <c r="L56" s="5">
        <f t="shared" si="0"/>
        <v>7</v>
      </c>
      <c r="M56" s="5">
        <f t="shared" si="1"/>
        <v>0</v>
      </c>
      <c r="N56" s="5">
        <f t="shared" si="2"/>
        <v>35</v>
      </c>
      <c r="O56" s="11">
        <f t="shared" si="3"/>
        <v>42</v>
      </c>
    </row>
    <row r="57" spans="1:15">
      <c r="A57" s="11" t="s">
        <v>969</v>
      </c>
      <c r="B57" s="5">
        <v>11</v>
      </c>
      <c r="C57" s="5">
        <v>1</v>
      </c>
      <c r="D57" s="5">
        <v>10</v>
      </c>
      <c r="E57" s="5">
        <v>0</v>
      </c>
      <c r="F57" s="5">
        <v>10</v>
      </c>
      <c r="G57" s="5">
        <v>0</v>
      </c>
      <c r="H57" s="5">
        <v>0</v>
      </c>
      <c r="I57" s="5">
        <v>0</v>
      </c>
      <c r="J57" s="5">
        <v>3</v>
      </c>
      <c r="K57" s="5">
        <v>13</v>
      </c>
      <c r="L57" s="5">
        <f t="shared" si="0"/>
        <v>31</v>
      </c>
      <c r="M57" s="5">
        <f t="shared" si="1"/>
        <v>1</v>
      </c>
      <c r="N57" s="5">
        <f t="shared" si="2"/>
        <v>16</v>
      </c>
      <c r="O57" s="11">
        <f t="shared" si="3"/>
        <v>48</v>
      </c>
    </row>
    <row r="58" spans="1:15">
      <c r="A58" s="11" t="s">
        <v>973</v>
      </c>
      <c r="B58" s="5">
        <v>0</v>
      </c>
      <c r="C58" s="5">
        <v>6</v>
      </c>
      <c r="D58" s="5">
        <v>0</v>
      </c>
      <c r="E58" s="5">
        <v>3</v>
      </c>
      <c r="F58" s="5">
        <v>10</v>
      </c>
      <c r="G58" s="5">
        <v>0</v>
      </c>
      <c r="H58" s="5">
        <v>0</v>
      </c>
      <c r="I58" s="5">
        <v>0</v>
      </c>
      <c r="J58" s="5">
        <v>0</v>
      </c>
      <c r="K58" s="5">
        <v>86</v>
      </c>
      <c r="L58" s="5">
        <f t="shared" si="0"/>
        <v>10</v>
      </c>
      <c r="M58" s="5">
        <f t="shared" si="1"/>
        <v>9</v>
      </c>
      <c r="N58" s="5">
        <f t="shared" si="2"/>
        <v>86</v>
      </c>
      <c r="O58" s="11">
        <f t="shared" si="3"/>
        <v>105</v>
      </c>
    </row>
    <row r="59" spans="1:15">
      <c r="A59" s="11" t="s">
        <v>978</v>
      </c>
      <c r="B59" s="5">
        <v>13</v>
      </c>
      <c r="C59" s="5">
        <v>0</v>
      </c>
      <c r="D59" s="5">
        <v>9</v>
      </c>
      <c r="E59" s="5">
        <v>0</v>
      </c>
      <c r="F59" s="5">
        <v>5</v>
      </c>
      <c r="G59" s="5">
        <v>0</v>
      </c>
      <c r="H59" s="5">
        <v>0</v>
      </c>
      <c r="I59" s="5">
        <v>0</v>
      </c>
      <c r="J59" s="5">
        <v>2</v>
      </c>
      <c r="K59" s="5">
        <v>7</v>
      </c>
      <c r="L59" s="5">
        <f t="shared" si="0"/>
        <v>27</v>
      </c>
      <c r="M59" s="5">
        <f t="shared" si="1"/>
        <v>0</v>
      </c>
      <c r="N59" s="5">
        <f t="shared" si="2"/>
        <v>9</v>
      </c>
      <c r="O59" s="11">
        <f t="shared" si="3"/>
        <v>36</v>
      </c>
    </row>
    <row r="60" spans="1:15">
      <c r="A60" s="11" t="s">
        <v>992</v>
      </c>
      <c r="B60" s="5">
        <v>1</v>
      </c>
      <c r="C60" s="5">
        <v>0</v>
      </c>
      <c r="D60" s="5">
        <v>2</v>
      </c>
      <c r="E60" s="5">
        <v>0</v>
      </c>
      <c r="F60" s="5">
        <v>4</v>
      </c>
      <c r="G60" s="5">
        <v>0</v>
      </c>
      <c r="H60" s="5">
        <v>0</v>
      </c>
      <c r="I60" s="5">
        <v>0</v>
      </c>
      <c r="J60" s="5">
        <v>1</v>
      </c>
      <c r="K60" s="5">
        <v>23</v>
      </c>
      <c r="L60" s="5">
        <f t="shared" si="0"/>
        <v>7</v>
      </c>
      <c r="M60" s="5">
        <f t="shared" si="1"/>
        <v>0</v>
      </c>
      <c r="N60" s="5">
        <f t="shared" si="2"/>
        <v>24</v>
      </c>
      <c r="O60" s="11">
        <f t="shared" si="3"/>
        <v>31</v>
      </c>
    </row>
    <row r="61" spans="1:15">
      <c r="A61" s="11" t="s">
        <v>997</v>
      </c>
      <c r="B61" s="5">
        <v>12</v>
      </c>
      <c r="C61" s="5">
        <v>0</v>
      </c>
      <c r="D61" s="5">
        <v>9</v>
      </c>
      <c r="E61" s="5">
        <v>0</v>
      </c>
      <c r="F61" s="5">
        <v>5</v>
      </c>
      <c r="G61" s="5">
        <v>0</v>
      </c>
      <c r="H61" s="5">
        <v>4</v>
      </c>
      <c r="I61" s="5">
        <v>0</v>
      </c>
      <c r="J61" s="5">
        <v>2</v>
      </c>
      <c r="K61" s="5">
        <v>0</v>
      </c>
      <c r="L61" s="5">
        <f t="shared" si="0"/>
        <v>30</v>
      </c>
      <c r="M61" s="5">
        <f t="shared" si="1"/>
        <v>0</v>
      </c>
      <c r="N61" s="5">
        <f t="shared" si="2"/>
        <v>2</v>
      </c>
      <c r="O61" s="11">
        <f t="shared" si="3"/>
        <v>32</v>
      </c>
    </row>
    <row r="62" spans="1:15">
      <c r="A62" s="11" t="s">
        <v>1009</v>
      </c>
      <c r="B62" s="5">
        <v>0</v>
      </c>
      <c r="C62" s="5">
        <v>1</v>
      </c>
      <c r="D62" s="5">
        <v>0</v>
      </c>
      <c r="E62" s="5">
        <v>1</v>
      </c>
      <c r="F62" s="5">
        <v>0</v>
      </c>
      <c r="G62" s="5">
        <v>2</v>
      </c>
      <c r="H62" s="5">
        <v>13</v>
      </c>
      <c r="I62" s="5">
        <v>0</v>
      </c>
      <c r="J62" s="5">
        <v>2</v>
      </c>
      <c r="K62" s="5">
        <v>5</v>
      </c>
      <c r="L62" s="5">
        <f t="shared" si="0"/>
        <v>13</v>
      </c>
      <c r="M62" s="5">
        <f t="shared" si="1"/>
        <v>4</v>
      </c>
      <c r="N62" s="5">
        <f t="shared" si="2"/>
        <v>7</v>
      </c>
      <c r="O62" s="11">
        <f t="shared" si="3"/>
        <v>24</v>
      </c>
    </row>
    <row r="63" spans="1:15">
      <c r="A63" s="11" t="s">
        <v>1756</v>
      </c>
      <c r="B63" s="5">
        <v>0</v>
      </c>
      <c r="C63" s="5">
        <v>18</v>
      </c>
      <c r="D63" s="5">
        <v>0</v>
      </c>
      <c r="E63" s="5">
        <v>9</v>
      </c>
      <c r="F63" s="5">
        <v>9</v>
      </c>
      <c r="G63" s="5">
        <v>13</v>
      </c>
      <c r="H63" s="5">
        <v>0</v>
      </c>
      <c r="I63" s="5">
        <v>0</v>
      </c>
      <c r="J63" s="5">
        <v>0</v>
      </c>
      <c r="K63" s="5">
        <v>5</v>
      </c>
      <c r="L63" s="5">
        <f t="shared" si="0"/>
        <v>9</v>
      </c>
      <c r="M63" s="5">
        <f t="shared" si="1"/>
        <v>40</v>
      </c>
      <c r="N63" s="5">
        <f t="shared" si="2"/>
        <v>5</v>
      </c>
      <c r="O63" s="11">
        <f t="shared" si="3"/>
        <v>54</v>
      </c>
    </row>
    <row r="64" spans="1:15">
      <c r="A64" s="11" t="s">
        <v>1011</v>
      </c>
      <c r="B64" s="5">
        <v>9</v>
      </c>
      <c r="C64" s="5">
        <v>0</v>
      </c>
      <c r="D64" s="5">
        <v>18</v>
      </c>
      <c r="E64" s="5">
        <v>0</v>
      </c>
      <c r="F64" s="5">
        <v>14</v>
      </c>
      <c r="G64" s="5">
        <v>0</v>
      </c>
      <c r="H64" s="5">
        <v>13</v>
      </c>
      <c r="I64" s="5">
        <v>0</v>
      </c>
      <c r="J64" s="5">
        <v>1</v>
      </c>
      <c r="K64" s="5">
        <v>10</v>
      </c>
      <c r="L64" s="5">
        <f t="shared" si="0"/>
        <v>54</v>
      </c>
      <c r="M64" s="5">
        <f t="shared" si="1"/>
        <v>0</v>
      </c>
      <c r="N64" s="5">
        <f t="shared" si="2"/>
        <v>11</v>
      </c>
      <c r="O64" s="11">
        <f t="shared" si="3"/>
        <v>65</v>
      </c>
    </row>
    <row r="65" spans="1:15">
      <c r="A65" s="11" t="s">
        <v>1757</v>
      </c>
      <c r="B65" s="5">
        <v>0</v>
      </c>
      <c r="C65" s="5">
        <v>5</v>
      </c>
      <c r="D65" s="5">
        <v>0</v>
      </c>
      <c r="E65" s="5">
        <v>2</v>
      </c>
      <c r="F65" s="5">
        <v>0</v>
      </c>
      <c r="G65" s="5">
        <v>1</v>
      </c>
      <c r="H65" s="5">
        <v>0</v>
      </c>
      <c r="I65" s="5">
        <v>0</v>
      </c>
      <c r="J65" s="5">
        <v>0</v>
      </c>
      <c r="K65" s="5">
        <v>1</v>
      </c>
      <c r="L65" s="5">
        <f t="shared" si="0"/>
        <v>0</v>
      </c>
      <c r="M65" s="5">
        <f t="shared" si="1"/>
        <v>8</v>
      </c>
      <c r="N65" s="5">
        <f t="shared" si="2"/>
        <v>1</v>
      </c>
      <c r="O65" s="11">
        <f t="shared" si="3"/>
        <v>9</v>
      </c>
    </row>
    <row r="66" spans="1:15">
      <c r="A66" s="11" t="s">
        <v>1022</v>
      </c>
      <c r="B66" s="5">
        <v>19</v>
      </c>
      <c r="C66" s="5">
        <v>0</v>
      </c>
      <c r="D66" s="5">
        <v>12</v>
      </c>
      <c r="E66" s="5">
        <v>0</v>
      </c>
      <c r="F66" s="5">
        <v>10</v>
      </c>
      <c r="G66" s="5">
        <v>0</v>
      </c>
      <c r="H66" s="5">
        <v>19</v>
      </c>
      <c r="I66" s="5">
        <v>0</v>
      </c>
      <c r="J66" s="5">
        <v>2</v>
      </c>
      <c r="K66" s="5">
        <v>4</v>
      </c>
      <c r="L66" s="5">
        <f t="shared" si="0"/>
        <v>60</v>
      </c>
      <c r="M66" s="5">
        <f t="shared" si="1"/>
        <v>0</v>
      </c>
      <c r="N66" s="5">
        <f t="shared" si="2"/>
        <v>6</v>
      </c>
      <c r="O66" s="11">
        <f t="shared" si="3"/>
        <v>66</v>
      </c>
    </row>
    <row r="67" spans="1:15">
      <c r="A67" s="11" t="s">
        <v>1758</v>
      </c>
      <c r="B67" s="5">
        <v>0</v>
      </c>
      <c r="C67" s="5">
        <v>5</v>
      </c>
      <c r="D67" s="5">
        <v>0</v>
      </c>
      <c r="E67" s="5">
        <v>2</v>
      </c>
      <c r="F67" s="5">
        <v>2</v>
      </c>
      <c r="G67" s="5">
        <v>0</v>
      </c>
      <c r="H67" s="5">
        <v>0</v>
      </c>
      <c r="I67" s="5">
        <v>0</v>
      </c>
      <c r="J67" s="5">
        <v>0</v>
      </c>
      <c r="K67" s="5">
        <v>1</v>
      </c>
      <c r="L67" s="5">
        <f t="shared" ref="L67:L121" si="4">B67+D67+F67+H67</f>
        <v>2</v>
      </c>
      <c r="M67" s="5">
        <f t="shared" ref="M67:M121" si="5">C67+E67+G67+I67</f>
        <v>7</v>
      </c>
      <c r="N67" s="5">
        <f t="shared" ref="N67:N121" si="6">J67+K67</f>
        <v>1</v>
      </c>
      <c r="O67" s="11">
        <f t="shared" ref="O67:O121" si="7">B67+C67+D67+E67+F67+G67+H67+I67+J67+K67</f>
        <v>10</v>
      </c>
    </row>
    <row r="68" spans="1:15">
      <c r="A68" s="11" t="s">
        <v>1027</v>
      </c>
      <c r="B68" s="5">
        <v>15</v>
      </c>
      <c r="C68" s="5">
        <v>5</v>
      </c>
      <c r="D68" s="5">
        <v>29</v>
      </c>
      <c r="E68" s="5">
        <v>6</v>
      </c>
      <c r="F68" s="5">
        <v>5</v>
      </c>
      <c r="G68" s="5">
        <v>11</v>
      </c>
      <c r="H68" s="5">
        <v>9</v>
      </c>
      <c r="I68" s="5">
        <v>0</v>
      </c>
      <c r="J68" s="5">
        <v>2</v>
      </c>
      <c r="K68" s="5">
        <v>1</v>
      </c>
      <c r="L68" s="5">
        <f t="shared" si="4"/>
        <v>58</v>
      </c>
      <c r="M68" s="5">
        <f t="shared" si="5"/>
        <v>22</v>
      </c>
      <c r="N68" s="5">
        <f t="shared" si="6"/>
        <v>3</v>
      </c>
      <c r="O68" s="11">
        <f t="shared" si="7"/>
        <v>83</v>
      </c>
    </row>
    <row r="69" spans="1:15">
      <c r="A69" s="11" t="s">
        <v>1033</v>
      </c>
      <c r="B69" s="5">
        <v>0</v>
      </c>
      <c r="C69" s="5">
        <v>12</v>
      </c>
      <c r="D69" s="5">
        <v>0</v>
      </c>
      <c r="E69" s="5">
        <v>0</v>
      </c>
      <c r="F69" s="5">
        <v>7</v>
      </c>
      <c r="G69" s="5">
        <v>0</v>
      </c>
      <c r="H69" s="5">
        <v>6</v>
      </c>
      <c r="I69" s="5">
        <v>0</v>
      </c>
      <c r="J69" s="5">
        <v>0</v>
      </c>
      <c r="K69" s="5">
        <v>0</v>
      </c>
      <c r="L69" s="5">
        <f t="shared" si="4"/>
        <v>13</v>
      </c>
      <c r="M69" s="5">
        <f t="shared" si="5"/>
        <v>12</v>
      </c>
      <c r="N69" s="5">
        <f t="shared" si="6"/>
        <v>0</v>
      </c>
      <c r="O69" s="11">
        <f t="shared" si="7"/>
        <v>25</v>
      </c>
    </row>
    <row r="70" spans="1:15">
      <c r="A70" s="11" t="s">
        <v>1046</v>
      </c>
      <c r="B70" s="5">
        <v>15</v>
      </c>
      <c r="C70" s="5">
        <v>0</v>
      </c>
      <c r="D70" s="5">
        <v>29</v>
      </c>
      <c r="E70" s="5">
        <v>4</v>
      </c>
      <c r="F70" s="5">
        <v>26</v>
      </c>
      <c r="G70" s="5">
        <v>0</v>
      </c>
      <c r="H70" s="5">
        <v>0</v>
      </c>
      <c r="I70" s="5">
        <v>0</v>
      </c>
      <c r="J70" s="5">
        <v>3</v>
      </c>
      <c r="K70" s="5">
        <v>6</v>
      </c>
      <c r="L70" s="5">
        <f t="shared" si="4"/>
        <v>70</v>
      </c>
      <c r="M70" s="5">
        <f t="shared" si="5"/>
        <v>4</v>
      </c>
      <c r="N70" s="5">
        <f t="shared" si="6"/>
        <v>9</v>
      </c>
      <c r="O70" s="11">
        <f t="shared" si="7"/>
        <v>83</v>
      </c>
    </row>
    <row r="71" spans="1:15">
      <c r="A71" s="11" t="s">
        <v>1053</v>
      </c>
      <c r="B71" s="5">
        <v>20</v>
      </c>
      <c r="C71" s="5">
        <v>0</v>
      </c>
      <c r="D71" s="5">
        <v>21</v>
      </c>
      <c r="E71" s="5">
        <v>4</v>
      </c>
      <c r="F71" s="5">
        <v>4</v>
      </c>
      <c r="G71" s="5">
        <v>2</v>
      </c>
      <c r="H71" s="5">
        <v>4</v>
      </c>
      <c r="I71" s="5">
        <v>0</v>
      </c>
      <c r="J71" s="5">
        <v>2</v>
      </c>
      <c r="K71" s="5">
        <v>0</v>
      </c>
      <c r="L71" s="5">
        <f t="shared" si="4"/>
        <v>49</v>
      </c>
      <c r="M71" s="5">
        <f t="shared" si="5"/>
        <v>6</v>
      </c>
      <c r="N71" s="5">
        <f t="shared" si="6"/>
        <v>2</v>
      </c>
      <c r="O71" s="11">
        <f t="shared" si="7"/>
        <v>57</v>
      </c>
    </row>
    <row r="72" spans="1:15">
      <c r="A72" s="11" t="s">
        <v>1068</v>
      </c>
      <c r="B72" s="5">
        <v>25</v>
      </c>
      <c r="C72" s="5">
        <v>2</v>
      </c>
      <c r="D72" s="5">
        <v>54</v>
      </c>
      <c r="E72" s="5">
        <v>5</v>
      </c>
      <c r="F72" s="5">
        <v>33</v>
      </c>
      <c r="G72" s="5">
        <v>0</v>
      </c>
      <c r="H72" s="5">
        <v>4</v>
      </c>
      <c r="I72" s="5">
        <v>0</v>
      </c>
      <c r="J72" s="5">
        <v>4</v>
      </c>
      <c r="K72" s="5">
        <v>0</v>
      </c>
      <c r="L72" s="5">
        <f t="shared" si="4"/>
        <v>116</v>
      </c>
      <c r="M72" s="5">
        <f t="shared" si="5"/>
        <v>7</v>
      </c>
      <c r="N72" s="5">
        <f t="shared" si="6"/>
        <v>4</v>
      </c>
      <c r="O72" s="11">
        <f t="shared" si="7"/>
        <v>127</v>
      </c>
    </row>
    <row r="73" spans="1:15">
      <c r="A73" s="36" t="s">
        <v>1080</v>
      </c>
      <c r="B73" s="10">
        <v>21</v>
      </c>
      <c r="C73" s="10">
        <v>5</v>
      </c>
      <c r="D73" s="10">
        <v>30</v>
      </c>
      <c r="E73" s="10">
        <v>4</v>
      </c>
      <c r="F73" s="10">
        <v>23</v>
      </c>
      <c r="G73" s="10">
        <v>19</v>
      </c>
      <c r="H73" s="10">
        <v>13</v>
      </c>
      <c r="I73" s="5">
        <v>0</v>
      </c>
      <c r="J73" s="10">
        <v>2</v>
      </c>
      <c r="K73" s="5">
        <v>0</v>
      </c>
      <c r="L73" s="5">
        <f t="shared" si="4"/>
        <v>87</v>
      </c>
      <c r="M73" s="5">
        <f t="shared" si="5"/>
        <v>28</v>
      </c>
      <c r="N73" s="5">
        <f t="shared" si="6"/>
        <v>2</v>
      </c>
      <c r="O73" s="11">
        <f t="shared" si="7"/>
        <v>117</v>
      </c>
    </row>
    <row r="74" spans="1:15">
      <c r="A74" s="36" t="s">
        <v>1092</v>
      </c>
      <c r="B74" s="10">
        <v>27</v>
      </c>
      <c r="C74" s="5">
        <v>0</v>
      </c>
      <c r="D74" s="10">
        <v>39</v>
      </c>
      <c r="E74" s="5">
        <v>0</v>
      </c>
      <c r="F74" s="10">
        <v>42</v>
      </c>
      <c r="G74" s="5">
        <v>0</v>
      </c>
      <c r="H74" s="10">
        <v>3</v>
      </c>
      <c r="I74" s="5">
        <v>0</v>
      </c>
      <c r="J74" s="10">
        <v>7</v>
      </c>
      <c r="K74" s="10">
        <v>6</v>
      </c>
      <c r="L74" s="5">
        <f t="shared" si="4"/>
        <v>111</v>
      </c>
      <c r="M74" s="5">
        <f t="shared" si="5"/>
        <v>0</v>
      </c>
      <c r="N74" s="5">
        <f t="shared" si="6"/>
        <v>13</v>
      </c>
      <c r="O74" s="11">
        <f t="shared" si="7"/>
        <v>124</v>
      </c>
    </row>
    <row r="75" spans="1:15">
      <c r="A75" s="36" t="s">
        <v>1102</v>
      </c>
      <c r="B75" s="10">
        <v>25</v>
      </c>
      <c r="C75" s="5">
        <v>7</v>
      </c>
      <c r="D75" s="10">
        <v>32</v>
      </c>
      <c r="E75" s="10">
        <v>8</v>
      </c>
      <c r="F75" s="10">
        <v>11</v>
      </c>
      <c r="G75" s="10">
        <v>21</v>
      </c>
      <c r="H75" s="10">
        <v>11</v>
      </c>
      <c r="I75" s="5">
        <v>0</v>
      </c>
      <c r="J75" s="10">
        <v>3</v>
      </c>
      <c r="K75" s="5">
        <v>0</v>
      </c>
      <c r="L75" s="5">
        <f t="shared" si="4"/>
        <v>79</v>
      </c>
      <c r="M75" s="5">
        <f t="shared" si="5"/>
        <v>36</v>
      </c>
      <c r="N75" s="5">
        <f t="shared" si="6"/>
        <v>3</v>
      </c>
      <c r="O75" s="11">
        <f t="shared" si="7"/>
        <v>118</v>
      </c>
    </row>
    <row r="76" spans="1:15">
      <c r="A76" s="36" t="s">
        <v>1115</v>
      </c>
      <c r="B76" s="10">
        <v>25</v>
      </c>
      <c r="C76" s="5">
        <v>14</v>
      </c>
      <c r="D76" s="10">
        <v>40</v>
      </c>
      <c r="E76" s="10">
        <v>13</v>
      </c>
      <c r="F76" s="5">
        <v>0</v>
      </c>
      <c r="G76" s="10">
        <v>46</v>
      </c>
      <c r="H76" s="10">
        <v>18</v>
      </c>
      <c r="I76" s="5">
        <v>0</v>
      </c>
      <c r="J76" s="10">
        <v>2</v>
      </c>
      <c r="K76" s="10">
        <v>1</v>
      </c>
      <c r="L76" s="5">
        <f t="shared" si="4"/>
        <v>83</v>
      </c>
      <c r="M76" s="5">
        <f t="shared" si="5"/>
        <v>73</v>
      </c>
      <c r="N76" s="5">
        <f t="shared" si="6"/>
        <v>3</v>
      </c>
      <c r="O76" s="11">
        <f t="shared" si="7"/>
        <v>159</v>
      </c>
    </row>
    <row r="77" spans="1:15">
      <c r="A77" s="36" t="s">
        <v>1127</v>
      </c>
      <c r="B77" s="10">
        <v>21</v>
      </c>
      <c r="C77" s="5">
        <v>14</v>
      </c>
      <c r="D77" s="10">
        <v>24</v>
      </c>
      <c r="E77" s="10">
        <v>19</v>
      </c>
      <c r="F77" s="10">
        <v>19</v>
      </c>
      <c r="G77" s="10">
        <v>17</v>
      </c>
      <c r="H77" s="10">
        <v>10</v>
      </c>
      <c r="I77" s="5">
        <v>0</v>
      </c>
      <c r="J77" s="10">
        <v>1</v>
      </c>
      <c r="K77" s="5">
        <v>0</v>
      </c>
      <c r="L77" s="5">
        <f t="shared" si="4"/>
        <v>74</v>
      </c>
      <c r="M77" s="5">
        <f t="shared" si="5"/>
        <v>50</v>
      </c>
      <c r="N77" s="5">
        <f t="shared" si="6"/>
        <v>1</v>
      </c>
      <c r="O77" s="11">
        <f t="shared" si="7"/>
        <v>125</v>
      </c>
    </row>
    <row r="78" spans="1:15">
      <c r="A78" s="36" t="s">
        <v>1134</v>
      </c>
      <c r="B78" s="10">
        <v>25</v>
      </c>
      <c r="C78" s="5">
        <v>8</v>
      </c>
      <c r="D78" s="10">
        <v>28</v>
      </c>
      <c r="E78" s="10">
        <v>26</v>
      </c>
      <c r="F78" s="10">
        <v>8</v>
      </c>
      <c r="G78" s="10">
        <v>37</v>
      </c>
      <c r="H78" s="10">
        <v>14</v>
      </c>
      <c r="I78" s="5">
        <v>0</v>
      </c>
      <c r="J78" s="10">
        <v>3</v>
      </c>
      <c r="K78" s="5">
        <v>0</v>
      </c>
      <c r="L78" s="5">
        <f t="shared" si="4"/>
        <v>75</v>
      </c>
      <c r="M78" s="5">
        <f t="shared" si="5"/>
        <v>71</v>
      </c>
      <c r="N78" s="5">
        <f t="shared" si="6"/>
        <v>3</v>
      </c>
      <c r="O78" s="11">
        <f t="shared" si="7"/>
        <v>149</v>
      </c>
    </row>
    <row r="79" spans="1:15">
      <c r="A79" s="36" t="s">
        <v>1146</v>
      </c>
      <c r="B79" s="10">
        <v>19</v>
      </c>
      <c r="C79" s="5">
        <v>3</v>
      </c>
      <c r="D79" s="10">
        <v>35</v>
      </c>
      <c r="E79" s="10">
        <v>5</v>
      </c>
      <c r="F79" s="10">
        <v>15</v>
      </c>
      <c r="G79" s="10">
        <v>19</v>
      </c>
      <c r="H79" s="10">
        <v>9</v>
      </c>
      <c r="I79" s="5">
        <v>0</v>
      </c>
      <c r="J79" s="10">
        <v>3</v>
      </c>
      <c r="K79" s="5">
        <v>0</v>
      </c>
      <c r="L79" s="5">
        <f t="shared" si="4"/>
        <v>78</v>
      </c>
      <c r="M79" s="5">
        <f t="shared" si="5"/>
        <v>27</v>
      </c>
      <c r="N79" s="5">
        <f t="shared" si="6"/>
        <v>3</v>
      </c>
      <c r="O79" s="11">
        <f t="shared" si="7"/>
        <v>108</v>
      </c>
    </row>
    <row r="80" spans="1:15">
      <c r="A80" s="36" t="s">
        <v>1173</v>
      </c>
      <c r="B80" s="10">
        <v>21</v>
      </c>
      <c r="C80" s="5">
        <v>0</v>
      </c>
      <c r="D80" s="10">
        <v>42</v>
      </c>
      <c r="E80" s="10">
        <v>2</v>
      </c>
      <c r="F80" s="10">
        <v>16</v>
      </c>
      <c r="G80" s="10">
        <v>20</v>
      </c>
      <c r="H80" s="10">
        <v>15</v>
      </c>
      <c r="I80" s="5">
        <v>0</v>
      </c>
      <c r="J80" s="10">
        <v>4</v>
      </c>
      <c r="K80" s="5">
        <v>0</v>
      </c>
      <c r="L80" s="5">
        <f t="shared" si="4"/>
        <v>94</v>
      </c>
      <c r="M80" s="5">
        <f t="shared" si="5"/>
        <v>22</v>
      </c>
      <c r="N80" s="5">
        <f t="shared" si="6"/>
        <v>4</v>
      </c>
      <c r="O80" s="11">
        <f t="shared" si="7"/>
        <v>120</v>
      </c>
    </row>
    <row r="81" spans="1:15">
      <c r="A81" s="36" t="s">
        <v>1181</v>
      </c>
      <c r="B81" s="10">
        <v>11</v>
      </c>
      <c r="C81" s="5">
        <v>0</v>
      </c>
      <c r="D81" s="10">
        <v>16</v>
      </c>
      <c r="E81" s="5">
        <v>0</v>
      </c>
      <c r="F81" s="10">
        <v>8</v>
      </c>
      <c r="G81" s="5">
        <v>0</v>
      </c>
      <c r="H81" s="10">
        <v>3</v>
      </c>
      <c r="I81" s="5">
        <v>0</v>
      </c>
      <c r="J81" s="10">
        <v>4</v>
      </c>
      <c r="K81" s="5">
        <v>0</v>
      </c>
      <c r="L81" s="5">
        <f t="shared" si="4"/>
        <v>38</v>
      </c>
      <c r="M81" s="5">
        <f t="shared" si="5"/>
        <v>0</v>
      </c>
      <c r="N81" s="5">
        <f t="shared" si="6"/>
        <v>4</v>
      </c>
      <c r="O81" s="11">
        <f t="shared" si="7"/>
        <v>42</v>
      </c>
    </row>
    <row r="82" spans="1:15">
      <c r="A82" s="36" t="s">
        <v>1187</v>
      </c>
      <c r="B82" s="10">
        <v>11</v>
      </c>
      <c r="C82" s="5">
        <v>0</v>
      </c>
      <c r="D82" s="10">
        <v>15</v>
      </c>
      <c r="E82" s="5">
        <v>0</v>
      </c>
      <c r="F82" s="10">
        <v>7</v>
      </c>
      <c r="G82" s="5">
        <v>0</v>
      </c>
      <c r="H82" s="10">
        <v>3</v>
      </c>
      <c r="I82" s="5">
        <v>0</v>
      </c>
      <c r="J82" s="10">
        <v>2</v>
      </c>
      <c r="K82" s="5">
        <v>0</v>
      </c>
      <c r="L82" s="5">
        <f t="shared" si="4"/>
        <v>36</v>
      </c>
      <c r="M82" s="5">
        <f t="shared" si="5"/>
        <v>0</v>
      </c>
      <c r="N82" s="5">
        <f t="shared" si="6"/>
        <v>2</v>
      </c>
      <c r="O82" s="11">
        <f t="shared" si="7"/>
        <v>38</v>
      </c>
    </row>
    <row r="83" spans="1:15">
      <c r="A83" s="36" t="s">
        <v>1190</v>
      </c>
      <c r="B83" s="10">
        <v>13</v>
      </c>
      <c r="C83" s="5">
        <v>0</v>
      </c>
      <c r="D83" s="10">
        <v>17</v>
      </c>
      <c r="E83" s="5">
        <v>0</v>
      </c>
      <c r="F83" s="10">
        <v>7</v>
      </c>
      <c r="G83" s="5">
        <v>0</v>
      </c>
      <c r="H83" s="10">
        <v>3</v>
      </c>
      <c r="I83" s="5">
        <v>0</v>
      </c>
      <c r="J83" s="10">
        <v>2</v>
      </c>
      <c r="K83" s="5">
        <v>0</v>
      </c>
      <c r="L83" s="5">
        <f t="shared" si="4"/>
        <v>40</v>
      </c>
      <c r="M83" s="5">
        <f t="shared" si="5"/>
        <v>0</v>
      </c>
      <c r="N83" s="5">
        <f t="shared" si="6"/>
        <v>2</v>
      </c>
      <c r="O83" s="11">
        <f t="shared" si="7"/>
        <v>42</v>
      </c>
    </row>
    <row r="84" spans="1:15">
      <c r="A84" s="36" t="s">
        <v>1197</v>
      </c>
      <c r="B84" s="10">
        <v>11</v>
      </c>
      <c r="C84" s="5">
        <v>0</v>
      </c>
      <c r="D84" s="10">
        <v>16</v>
      </c>
      <c r="E84" s="5">
        <v>0</v>
      </c>
      <c r="F84" s="10">
        <v>11</v>
      </c>
      <c r="G84" s="5">
        <v>0</v>
      </c>
      <c r="H84" s="10">
        <v>3</v>
      </c>
      <c r="I84" s="5">
        <v>0</v>
      </c>
      <c r="J84" s="5">
        <v>0</v>
      </c>
      <c r="K84" s="5">
        <v>0</v>
      </c>
      <c r="L84" s="5">
        <f t="shared" si="4"/>
        <v>41</v>
      </c>
      <c r="M84" s="5">
        <f t="shared" si="5"/>
        <v>0</v>
      </c>
      <c r="N84" s="5">
        <f t="shared" si="6"/>
        <v>0</v>
      </c>
      <c r="O84" s="11">
        <f t="shared" si="7"/>
        <v>41</v>
      </c>
    </row>
    <row r="85" spans="1:15">
      <c r="A85" s="36" t="s">
        <v>1200</v>
      </c>
      <c r="B85" s="10">
        <v>10</v>
      </c>
      <c r="C85" s="5">
        <v>0</v>
      </c>
      <c r="D85" s="10">
        <v>14</v>
      </c>
      <c r="E85" s="5">
        <v>0</v>
      </c>
      <c r="F85" s="10">
        <v>9</v>
      </c>
      <c r="G85" s="5">
        <v>0</v>
      </c>
      <c r="H85" s="10">
        <v>3</v>
      </c>
      <c r="I85" s="5">
        <v>0</v>
      </c>
      <c r="J85" s="5">
        <v>0</v>
      </c>
      <c r="K85" s="5">
        <v>0</v>
      </c>
      <c r="L85" s="5">
        <f t="shared" si="4"/>
        <v>36</v>
      </c>
      <c r="M85" s="5">
        <f t="shared" si="5"/>
        <v>0</v>
      </c>
      <c r="N85" s="5">
        <f t="shared" si="6"/>
        <v>0</v>
      </c>
      <c r="O85" s="11">
        <f t="shared" si="7"/>
        <v>36</v>
      </c>
    </row>
    <row r="86" spans="1:15">
      <c r="A86" s="36" t="s">
        <v>1759</v>
      </c>
      <c r="B86" s="5">
        <v>0</v>
      </c>
      <c r="C86" s="5">
        <v>10</v>
      </c>
      <c r="D86" s="5">
        <v>0</v>
      </c>
      <c r="E86" s="5">
        <v>18</v>
      </c>
      <c r="F86" s="5">
        <v>0</v>
      </c>
      <c r="G86" s="5">
        <v>15</v>
      </c>
      <c r="H86" s="10">
        <v>5</v>
      </c>
      <c r="I86" s="5">
        <v>0</v>
      </c>
      <c r="J86" s="5">
        <v>0</v>
      </c>
      <c r="K86" s="5">
        <v>0</v>
      </c>
      <c r="L86" s="5">
        <f t="shared" si="4"/>
        <v>5</v>
      </c>
      <c r="M86" s="5">
        <f t="shared" si="5"/>
        <v>43</v>
      </c>
      <c r="N86" s="5">
        <f t="shared" si="6"/>
        <v>0</v>
      </c>
      <c r="O86" s="11">
        <f t="shared" si="7"/>
        <v>48</v>
      </c>
    </row>
    <row r="87" spans="1:15">
      <c r="A87" s="36" t="s">
        <v>1204</v>
      </c>
      <c r="B87" s="5">
        <v>9</v>
      </c>
      <c r="C87" s="5">
        <v>0</v>
      </c>
      <c r="D87" s="5">
        <v>12</v>
      </c>
      <c r="E87" s="5">
        <v>0</v>
      </c>
      <c r="F87" s="5">
        <v>3</v>
      </c>
      <c r="G87" s="5">
        <v>7</v>
      </c>
      <c r="H87" s="10">
        <v>6</v>
      </c>
      <c r="I87" s="5">
        <v>0</v>
      </c>
      <c r="J87" s="5">
        <v>4</v>
      </c>
      <c r="K87" s="5">
        <v>1</v>
      </c>
      <c r="L87" s="5">
        <f t="shared" si="4"/>
        <v>30</v>
      </c>
      <c r="M87" s="5">
        <f t="shared" si="5"/>
        <v>7</v>
      </c>
      <c r="N87" s="5">
        <f t="shared" si="6"/>
        <v>5</v>
      </c>
      <c r="O87" s="11">
        <f t="shared" si="7"/>
        <v>42</v>
      </c>
    </row>
    <row r="88" spans="1:15">
      <c r="A88" s="36" t="s">
        <v>1214</v>
      </c>
      <c r="B88" s="5">
        <v>0</v>
      </c>
      <c r="C88" s="5">
        <v>11</v>
      </c>
      <c r="D88" s="5">
        <v>0</v>
      </c>
      <c r="E88" s="5">
        <v>17</v>
      </c>
      <c r="F88" s="5">
        <v>2</v>
      </c>
      <c r="G88" s="5">
        <v>8</v>
      </c>
      <c r="H88" s="10">
        <v>5</v>
      </c>
      <c r="I88" s="5">
        <v>0</v>
      </c>
      <c r="J88" s="5">
        <v>1</v>
      </c>
      <c r="K88" s="5">
        <v>0</v>
      </c>
      <c r="L88" s="5">
        <f t="shared" si="4"/>
        <v>7</v>
      </c>
      <c r="M88" s="5">
        <f t="shared" si="5"/>
        <v>36</v>
      </c>
      <c r="N88" s="5">
        <f t="shared" si="6"/>
        <v>1</v>
      </c>
      <c r="O88" s="11">
        <f t="shared" si="7"/>
        <v>44</v>
      </c>
    </row>
    <row r="89" spans="1:15">
      <c r="A89" s="11" t="s">
        <v>1219</v>
      </c>
      <c r="B89" s="5">
        <v>0</v>
      </c>
      <c r="C89" s="5">
        <v>6</v>
      </c>
      <c r="D89" s="5">
        <v>0</v>
      </c>
      <c r="E89" s="5">
        <v>8</v>
      </c>
      <c r="F89" s="5">
        <v>2</v>
      </c>
      <c r="G89" s="5">
        <v>5</v>
      </c>
      <c r="H89" s="10">
        <v>3</v>
      </c>
      <c r="I89" s="5">
        <v>0</v>
      </c>
      <c r="J89" s="5">
        <v>0</v>
      </c>
      <c r="K89" s="5">
        <v>0</v>
      </c>
      <c r="L89" s="5">
        <f t="shared" si="4"/>
        <v>5</v>
      </c>
      <c r="M89" s="5">
        <f t="shared" si="5"/>
        <v>19</v>
      </c>
      <c r="N89" s="5">
        <f t="shared" si="6"/>
        <v>0</v>
      </c>
      <c r="O89" s="11">
        <f t="shared" si="7"/>
        <v>24</v>
      </c>
    </row>
    <row r="90" spans="1:15">
      <c r="A90" s="11" t="s">
        <v>1225</v>
      </c>
      <c r="B90" s="5">
        <v>0</v>
      </c>
      <c r="C90" s="5">
        <v>11</v>
      </c>
      <c r="D90" s="5">
        <v>0</v>
      </c>
      <c r="E90" s="5">
        <v>17</v>
      </c>
      <c r="F90" s="5">
        <v>3</v>
      </c>
      <c r="G90" s="5">
        <v>5</v>
      </c>
      <c r="H90" s="10">
        <v>8</v>
      </c>
      <c r="I90" s="5">
        <v>0</v>
      </c>
      <c r="J90" s="5">
        <v>4</v>
      </c>
      <c r="K90" s="5">
        <v>0</v>
      </c>
      <c r="L90" s="5">
        <f t="shared" si="4"/>
        <v>11</v>
      </c>
      <c r="M90" s="5">
        <f t="shared" si="5"/>
        <v>33</v>
      </c>
      <c r="N90" s="5">
        <f t="shared" si="6"/>
        <v>4</v>
      </c>
      <c r="O90" s="11">
        <f t="shared" si="7"/>
        <v>48</v>
      </c>
    </row>
    <row r="91" spans="1:15">
      <c r="A91" s="11" t="s">
        <v>1760</v>
      </c>
      <c r="B91" s="5">
        <v>0</v>
      </c>
      <c r="C91" s="5">
        <v>6</v>
      </c>
      <c r="D91" s="5">
        <v>0</v>
      </c>
      <c r="E91" s="5">
        <v>13</v>
      </c>
      <c r="F91" s="5">
        <v>0</v>
      </c>
      <c r="G91" s="5">
        <v>9</v>
      </c>
      <c r="H91" s="5">
        <v>0</v>
      </c>
      <c r="I91" s="5">
        <v>0</v>
      </c>
      <c r="J91" s="5">
        <v>6</v>
      </c>
      <c r="K91" s="5">
        <v>0</v>
      </c>
      <c r="L91" s="5">
        <f t="shared" si="4"/>
        <v>0</v>
      </c>
      <c r="M91" s="5">
        <f t="shared" si="5"/>
        <v>28</v>
      </c>
      <c r="N91" s="5">
        <f t="shared" si="6"/>
        <v>6</v>
      </c>
      <c r="O91" s="11">
        <f t="shared" si="7"/>
        <v>34</v>
      </c>
    </row>
    <row r="92" spans="1:15">
      <c r="A92" s="11" t="s">
        <v>1228</v>
      </c>
      <c r="B92" s="5">
        <v>0</v>
      </c>
      <c r="C92" s="5">
        <v>10</v>
      </c>
      <c r="D92" s="5">
        <v>0</v>
      </c>
      <c r="E92" s="5">
        <v>15</v>
      </c>
      <c r="F92" s="5">
        <v>3</v>
      </c>
      <c r="G92" s="5">
        <v>9</v>
      </c>
      <c r="H92" s="5">
        <v>7</v>
      </c>
      <c r="I92" s="5">
        <v>0</v>
      </c>
      <c r="J92" s="5">
        <v>0</v>
      </c>
      <c r="K92" s="5">
        <v>0</v>
      </c>
      <c r="L92" s="5">
        <f t="shared" si="4"/>
        <v>10</v>
      </c>
      <c r="M92" s="5">
        <f t="shared" si="5"/>
        <v>34</v>
      </c>
      <c r="N92" s="5">
        <f t="shared" si="6"/>
        <v>0</v>
      </c>
      <c r="O92" s="11">
        <f t="shared" si="7"/>
        <v>44</v>
      </c>
    </row>
    <row r="93" spans="1:15">
      <c r="A93" s="11" t="s">
        <v>1761</v>
      </c>
      <c r="B93" s="5">
        <v>0</v>
      </c>
      <c r="C93" s="5">
        <v>2</v>
      </c>
      <c r="D93" s="5">
        <v>0</v>
      </c>
      <c r="E93" s="5">
        <v>2</v>
      </c>
      <c r="F93" s="5">
        <v>7</v>
      </c>
      <c r="G93" s="5">
        <v>0</v>
      </c>
      <c r="H93" s="5">
        <v>3</v>
      </c>
      <c r="I93" s="5">
        <v>0</v>
      </c>
      <c r="J93" s="5">
        <v>0</v>
      </c>
      <c r="K93" s="5">
        <v>0</v>
      </c>
      <c r="L93" s="5">
        <f t="shared" si="4"/>
        <v>10</v>
      </c>
      <c r="M93" s="5">
        <f t="shared" si="5"/>
        <v>4</v>
      </c>
      <c r="N93" s="5">
        <f t="shared" si="6"/>
        <v>0</v>
      </c>
      <c r="O93" s="11">
        <f t="shared" si="7"/>
        <v>14</v>
      </c>
    </row>
    <row r="94" spans="1:15">
      <c r="A94" s="11" t="s">
        <v>1762</v>
      </c>
      <c r="B94" s="5">
        <v>0</v>
      </c>
      <c r="C94" s="5">
        <v>2</v>
      </c>
      <c r="D94" s="5">
        <v>0</v>
      </c>
      <c r="E94" s="5">
        <v>2</v>
      </c>
      <c r="F94" s="5">
        <v>6</v>
      </c>
      <c r="G94" s="5">
        <v>0</v>
      </c>
      <c r="H94" s="5">
        <v>2</v>
      </c>
      <c r="I94" s="5">
        <v>0</v>
      </c>
      <c r="J94" s="5">
        <v>0</v>
      </c>
      <c r="K94" s="5">
        <v>0</v>
      </c>
      <c r="L94" s="5">
        <f t="shared" si="4"/>
        <v>8</v>
      </c>
      <c r="M94" s="5">
        <f t="shared" si="5"/>
        <v>4</v>
      </c>
      <c r="N94" s="5">
        <f t="shared" si="6"/>
        <v>0</v>
      </c>
      <c r="O94" s="11">
        <f t="shared" si="7"/>
        <v>12</v>
      </c>
    </row>
    <row r="95" spans="1:15">
      <c r="A95" s="36" t="s">
        <v>1229</v>
      </c>
      <c r="B95" s="5">
        <v>0</v>
      </c>
      <c r="C95" s="5">
        <v>0</v>
      </c>
      <c r="D95" s="5">
        <v>0</v>
      </c>
      <c r="E95" s="10">
        <v>2</v>
      </c>
      <c r="F95" s="5">
        <v>0</v>
      </c>
      <c r="G95" s="10">
        <v>4</v>
      </c>
      <c r="H95" s="10">
        <v>4</v>
      </c>
      <c r="I95" s="5">
        <v>0</v>
      </c>
      <c r="J95" s="5">
        <v>0</v>
      </c>
      <c r="K95" s="5">
        <v>0</v>
      </c>
      <c r="L95" s="5">
        <f t="shared" si="4"/>
        <v>4</v>
      </c>
      <c r="M95" s="5">
        <f t="shared" si="5"/>
        <v>6</v>
      </c>
      <c r="N95" s="5">
        <f t="shared" si="6"/>
        <v>0</v>
      </c>
      <c r="O95" s="11">
        <f t="shared" si="7"/>
        <v>10</v>
      </c>
    </row>
    <row r="96" spans="1:15">
      <c r="A96" s="36" t="s">
        <v>1763</v>
      </c>
      <c r="B96" s="5">
        <v>0</v>
      </c>
      <c r="C96" s="5">
        <v>0</v>
      </c>
      <c r="D96" s="5">
        <v>0</v>
      </c>
      <c r="E96" s="10">
        <v>1</v>
      </c>
      <c r="F96" s="5">
        <v>0</v>
      </c>
      <c r="G96" s="10">
        <v>2</v>
      </c>
      <c r="H96" s="10">
        <v>1</v>
      </c>
      <c r="I96" s="5">
        <v>0</v>
      </c>
      <c r="J96" s="5">
        <v>0</v>
      </c>
      <c r="K96" s="5">
        <v>0</v>
      </c>
      <c r="L96" s="5">
        <f t="shared" si="4"/>
        <v>1</v>
      </c>
      <c r="M96" s="5">
        <f t="shared" si="5"/>
        <v>3</v>
      </c>
      <c r="N96" s="5">
        <f t="shared" si="6"/>
        <v>0</v>
      </c>
      <c r="O96" s="11">
        <f t="shared" si="7"/>
        <v>4</v>
      </c>
    </row>
    <row r="97" spans="1:15">
      <c r="A97" s="36" t="s">
        <v>1236</v>
      </c>
      <c r="B97" s="5">
        <v>0</v>
      </c>
      <c r="C97" s="5">
        <v>0</v>
      </c>
      <c r="D97" s="5">
        <v>36</v>
      </c>
      <c r="E97" s="10">
        <v>9</v>
      </c>
      <c r="F97" s="5">
        <v>26</v>
      </c>
      <c r="G97" s="5">
        <v>0</v>
      </c>
      <c r="H97" s="10">
        <v>9</v>
      </c>
      <c r="I97" s="5">
        <v>0</v>
      </c>
      <c r="J97" s="5">
        <v>2</v>
      </c>
      <c r="K97" s="5">
        <v>0</v>
      </c>
      <c r="L97" s="5">
        <f t="shared" si="4"/>
        <v>71</v>
      </c>
      <c r="M97" s="5">
        <f t="shared" si="5"/>
        <v>9</v>
      </c>
      <c r="N97" s="5">
        <f t="shared" si="6"/>
        <v>2</v>
      </c>
      <c r="O97" s="11">
        <f t="shared" si="7"/>
        <v>82</v>
      </c>
    </row>
    <row r="98" spans="1:15">
      <c r="A98" s="36" t="s">
        <v>1242</v>
      </c>
      <c r="B98" s="5">
        <v>0</v>
      </c>
      <c r="C98" s="5">
        <v>0</v>
      </c>
      <c r="D98" s="5">
        <v>44</v>
      </c>
      <c r="E98" s="10">
        <v>4</v>
      </c>
      <c r="F98" s="5">
        <v>20</v>
      </c>
      <c r="G98" s="5">
        <v>10</v>
      </c>
      <c r="H98" s="10">
        <v>17</v>
      </c>
      <c r="I98" s="5">
        <v>0</v>
      </c>
      <c r="J98" s="5">
        <v>2</v>
      </c>
      <c r="K98" s="5">
        <v>12</v>
      </c>
      <c r="L98" s="5">
        <f t="shared" si="4"/>
        <v>81</v>
      </c>
      <c r="M98" s="5">
        <f t="shared" si="5"/>
        <v>14</v>
      </c>
      <c r="N98" s="5">
        <f t="shared" si="6"/>
        <v>14</v>
      </c>
      <c r="O98" s="11">
        <f t="shared" si="7"/>
        <v>109</v>
      </c>
    </row>
    <row r="99" spans="1:15">
      <c r="A99" s="36" t="s">
        <v>1252</v>
      </c>
      <c r="B99" s="5">
        <v>0</v>
      </c>
      <c r="C99" s="5">
        <v>0</v>
      </c>
      <c r="D99" s="5">
        <v>37</v>
      </c>
      <c r="E99" s="5">
        <v>0</v>
      </c>
      <c r="F99" s="5">
        <v>19</v>
      </c>
      <c r="G99" s="5">
        <v>13</v>
      </c>
      <c r="H99" s="5">
        <v>0</v>
      </c>
      <c r="I99" s="5">
        <v>0</v>
      </c>
      <c r="J99" s="5">
        <v>3</v>
      </c>
      <c r="K99" s="5">
        <v>12</v>
      </c>
      <c r="L99" s="5">
        <f t="shared" si="4"/>
        <v>56</v>
      </c>
      <c r="M99" s="5">
        <f t="shared" si="5"/>
        <v>13</v>
      </c>
      <c r="N99" s="5">
        <f t="shared" si="6"/>
        <v>15</v>
      </c>
      <c r="O99" s="11">
        <f t="shared" si="7"/>
        <v>84</v>
      </c>
    </row>
    <row r="100" spans="1:15">
      <c r="A100" s="36" t="s">
        <v>1258</v>
      </c>
      <c r="B100" s="5">
        <v>0</v>
      </c>
      <c r="C100" s="5">
        <v>0</v>
      </c>
      <c r="D100" s="5">
        <v>48</v>
      </c>
      <c r="E100" s="5">
        <v>14</v>
      </c>
      <c r="F100" s="5">
        <v>18</v>
      </c>
      <c r="G100" s="5">
        <v>56</v>
      </c>
      <c r="H100" s="5">
        <v>5</v>
      </c>
      <c r="I100" s="5">
        <v>0</v>
      </c>
      <c r="J100" s="5">
        <v>0</v>
      </c>
      <c r="K100" s="5">
        <v>26</v>
      </c>
      <c r="L100" s="5">
        <f t="shared" si="4"/>
        <v>71</v>
      </c>
      <c r="M100" s="5">
        <f t="shared" si="5"/>
        <v>70</v>
      </c>
      <c r="N100" s="5">
        <f t="shared" si="6"/>
        <v>26</v>
      </c>
      <c r="O100" s="11">
        <f t="shared" si="7"/>
        <v>167</v>
      </c>
    </row>
    <row r="101" spans="1:15">
      <c r="A101" s="36" t="s">
        <v>1268</v>
      </c>
      <c r="B101" s="5">
        <v>0</v>
      </c>
      <c r="C101" s="5">
        <v>0</v>
      </c>
      <c r="D101" s="5">
        <v>35</v>
      </c>
      <c r="E101" s="5">
        <v>5</v>
      </c>
      <c r="F101" s="5">
        <v>51</v>
      </c>
      <c r="G101" s="5">
        <v>7</v>
      </c>
      <c r="H101" s="5">
        <v>0</v>
      </c>
      <c r="I101" s="5">
        <v>0</v>
      </c>
      <c r="J101" s="5">
        <v>0</v>
      </c>
      <c r="K101" s="5">
        <v>5</v>
      </c>
      <c r="L101" s="5">
        <f t="shared" si="4"/>
        <v>86</v>
      </c>
      <c r="M101" s="5">
        <f t="shared" si="5"/>
        <v>12</v>
      </c>
      <c r="N101" s="5">
        <f t="shared" si="6"/>
        <v>5</v>
      </c>
      <c r="O101" s="11">
        <f t="shared" si="7"/>
        <v>103</v>
      </c>
    </row>
    <row r="102" spans="1:15">
      <c r="A102" s="36" t="s">
        <v>1272</v>
      </c>
      <c r="B102" s="5">
        <v>0</v>
      </c>
      <c r="C102" s="5">
        <v>0</v>
      </c>
      <c r="D102" s="5">
        <v>47</v>
      </c>
      <c r="E102" s="5">
        <v>5</v>
      </c>
      <c r="F102" s="5">
        <v>31</v>
      </c>
      <c r="G102" s="5">
        <v>10</v>
      </c>
      <c r="H102" s="5">
        <v>0</v>
      </c>
      <c r="I102" s="5">
        <v>0</v>
      </c>
      <c r="J102" s="5">
        <v>3</v>
      </c>
      <c r="K102" s="5">
        <v>27</v>
      </c>
      <c r="L102" s="5">
        <f t="shared" si="4"/>
        <v>78</v>
      </c>
      <c r="M102" s="5">
        <f t="shared" si="5"/>
        <v>15</v>
      </c>
      <c r="N102" s="5">
        <f t="shared" si="6"/>
        <v>30</v>
      </c>
      <c r="O102" s="11">
        <f t="shared" si="7"/>
        <v>123</v>
      </c>
    </row>
    <row r="103" spans="1:15">
      <c r="A103" s="36" t="s">
        <v>1284</v>
      </c>
      <c r="B103" s="5">
        <v>0</v>
      </c>
      <c r="C103" s="5">
        <v>0</v>
      </c>
      <c r="D103" s="5">
        <v>36</v>
      </c>
      <c r="E103" s="5">
        <v>1</v>
      </c>
      <c r="F103" s="5">
        <v>19</v>
      </c>
      <c r="G103" s="5">
        <v>0</v>
      </c>
      <c r="H103" s="5">
        <v>0</v>
      </c>
      <c r="I103" s="5">
        <v>0</v>
      </c>
      <c r="J103" s="5">
        <v>1</v>
      </c>
      <c r="K103" s="5">
        <v>8</v>
      </c>
      <c r="L103" s="5">
        <f t="shared" si="4"/>
        <v>55</v>
      </c>
      <c r="M103" s="5">
        <f t="shared" si="5"/>
        <v>1</v>
      </c>
      <c r="N103" s="5">
        <f t="shared" si="6"/>
        <v>9</v>
      </c>
      <c r="O103" s="11">
        <f t="shared" si="7"/>
        <v>65</v>
      </c>
    </row>
    <row r="104" spans="1:15">
      <c r="A104" s="36" t="s">
        <v>1291</v>
      </c>
      <c r="B104" s="5">
        <v>0</v>
      </c>
      <c r="C104" s="5">
        <v>0</v>
      </c>
      <c r="D104" s="5">
        <v>31</v>
      </c>
      <c r="E104" s="5">
        <v>20</v>
      </c>
      <c r="F104" s="5">
        <v>3</v>
      </c>
      <c r="G104" s="5">
        <v>7</v>
      </c>
      <c r="H104" s="5">
        <v>8</v>
      </c>
      <c r="I104" s="5">
        <v>0</v>
      </c>
      <c r="J104" s="5">
        <v>3</v>
      </c>
      <c r="K104" s="5">
        <v>1</v>
      </c>
      <c r="L104" s="5">
        <f t="shared" si="4"/>
        <v>42</v>
      </c>
      <c r="M104" s="5">
        <f t="shared" si="5"/>
        <v>27</v>
      </c>
      <c r="N104" s="5">
        <f t="shared" si="6"/>
        <v>4</v>
      </c>
      <c r="O104" s="11">
        <f t="shared" si="7"/>
        <v>73</v>
      </c>
    </row>
    <row r="105" spans="1:15">
      <c r="A105" s="36" t="s">
        <v>1296</v>
      </c>
      <c r="B105" s="5">
        <v>0</v>
      </c>
      <c r="C105" s="5">
        <v>0</v>
      </c>
      <c r="D105" s="5">
        <v>30</v>
      </c>
      <c r="E105" s="5">
        <v>8</v>
      </c>
      <c r="F105" s="5">
        <v>6</v>
      </c>
      <c r="G105" s="5">
        <v>24</v>
      </c>
      <c r="H105" s="5">
        <v>13</v>
      </c>
      <c r="I105" s="5">
        <v>0</v>
      </c>
      <c r="J105" s="5">
        <v>2</v>
      </c>
      <c r="K105" s="5">
        <v>2</v>
      </c>
      <c r="L105" s="5">
        <f t="shared" si="4"/>
        <v>49</v>
      </c>
      <c r="M105" s="5">
        <f t="shared" si="5"/>
        <v>32</v>
      </c>
      <c r="N105" s="5">
        <f t="shared" si="6"/>
        <v>4</v>
      </c>
      <c r="O105" s="11">
        <f t="shared" si="7"/>
        <v>85</v>
      </c>
    </row>
    <row r="106" spans="1:15">
      <c r="A106" s="36" t="s">
        <v>1305</v>
      </c>
      <c r="B106" s="5">
        <v>0</v>
      </c>
      <c r="C106" s="5">
        <v>0</v>
      </c>
      <c r="D106" s="5">
        <v>32</v>
      </c>
      <c r="E106" s="5">
        <v>20</v>
      </c>
      <c r="F106" s="5">
        <v>0</v>
      </c>
      <c r="G106" s="5">
        <v>20</v>
      </c>
      <c r="H106" s="5">
        <v>9</v>
      </c>
      <c r="I106" s="5">
        <v>0</v>
      </c>
      <c r="J106" s="5">
        <v>3</v>
      </c>
      <c r="K106" s="5">
        <v>2</v>
      </c>
      <c r="L106" s="5">
        <f t="shared" si="4"/>
        <v>41</v>
      </c>
      <c r="M106" s="5">
        <f t="shared" si="5"/>
        <v>40</v>
      </c>
      <c r="N106" s="5">
        <f t="shared" si="6"/>
        <v>5</v>
      </c>
      <c r="O106" s="11">
        <f t="shared" si="7"/>
        <v>86</v>
      </c>
    </row>
    <row r="107" spans="1:15">
      <c r="A107" s="11" t="s">
        <v>1308</v>
      </c>
      <c r="B107" s="5">
        <v>0</v>
      </c>
      <c r="C107" s="5">
        <v>0</v>
      </c>
      <c r="D107" s="5">
        <v>36</v>
      </c>
      <c r="E107" s="5">
        <v>42</v>
      </c>
      <c r="F107" s="5">
        <v>0</v>
      </c>
      <c r="G107" s="5">
        <v>30</v>
      </c>
      <c r="H107" s="5">
        <v>13</v>
      </c>
      <c r="I107" s="5">
        <v>0</v>
      </c>
      <c r="J107" s="5">
        <v>3</v>
      </c>
      <c r="K107" s="5">
        <v>1</v>
      </c>
      <c r="L107" s="5">
        <f t="shared" si="4"/>
        <v>49</v>
      </c>
      <c r="M107" s="5">
        <f t="shared" si="5"/>
        <v>72</v>
      </c>
      <c r="N107" s="5">
        <f t="shared" si="6"/>
        <v>4</v>
      </c>
      <c r="O107" s="11">
        <f t="shared" si="7"/>
        <v>125</v>
      </c>
    </row>
    <row r="108" spans="1:15">
      <c r="A108" s="11" t="s">
        <v>1319</v>
      </c>
      <c r="B108" s="5">
        <v>0</v>
      </c>
      <c r="C108" s="5">
        <v>0</v>
      </c>
      <c r="D108" s="5">
        <v>38</v>
      </c>
      <c r="E108" s="5">
        <v>63</v>
      </c>
      <c r="F108" s="5">
        <v>0</v>
      </c>
      <c r="G108" s="5">
        <v>40</v>
      </c>
      <c r="H108" s="5">
        <v>19</v>
      </c>
      <c r="I108" s="5">
        <v>0</v>
      </c>
      <c r="J108" s="5">
        <v>0</v>
      </c>
      <c r="K108" s="5">
        <v>5</v>
      </c>
      <c r="L108" s="5">
        <f t="shared" si="4"/>
        <v>57</v>
      </c>
      <c r="M108" s="5">
        <f t="shared" si="5"/>
        <v>103</v>
      </c>
      <c r="N108" s="5">
        <f t="shared" si="6"/>
        <v>5</v>
      </c>
      <c r="O108" s="11">
        <f t="shared" si="7"/>
        <v>165</v>
      </c>
    </row>
    <row r="109" spans="1:15">
      <c r="A109" s="11" t="s">
        <v>1333</v>
      </c>
      <c r="B109" s="5">
        <v>0</v>
      </c>
      <c r="C109" s="5">
        <v>0</v>
      </c>
      <c r="D109" s="5">
        <v>0</v>
      </c>
      <c r="E109" s="5">
        <v>62</v>
      </c>
      <c r="F109" s="5">
        <v>84</v>
      </c>
      <c r="G109" s="5">
        <v>13</v>
      </c>
      <c r="H109" s="5">
        <v>12</v>
      </c>
      <c r="I109" s="5">
        <v>0</v>
      </c>
      <c r="J109" s="5">
        <v>0</v>
      </c>
      <c r="K109" s="5">
        <v>0</v>
      </c>
      <c r="L109" s="5">
        <f t="shared" si="4"/>
        <v>96</v>
      </c>
      <c r="M109" s="5">
        <f t="shared" si="5"/>
        <v>75</v>
      </c>
      <c r="N109" s="5">
        <f t="shared" si="6"/>
        <v>0</v>
      </c>
      <c r="O109" s="11">
        <f t="shared" si="7"/>
        <v>171</v>
      </c>
    </row>
    <row r="110" spans="1:15">
      <c r="A110" s="11" t="s">
        <v>1343</v>
      </c>
      <c r="B110" s="5">
        <v>0</v>
      </c>
      <c r="C110" s="5">
        <v>0</v>
      </c>
      <c r="D110" s="5">
        <v>0</v>
      </c>
      <c r="E110" s="5">
        <v>68</v>
      </c>
      <c r="F110" s="5">
        <v>17</v>
      </c>
      <c r="G110" s="5">
        <v>21</v>
      </c>
      <c r="H110" s="5">
        <v>20</v>
      </c>
      <c r="I110" s="5">
        <v>0</v>
      </c>
      <c r="J110" s="5">
        <v>0</v>
      </c>
      <c r="K110" s="5">
        <v>0</v>
      </c>
      <c r="L110" s="5">
        <f t="shared" si="4"/>
        <v>37</v>
      </c>
      <c r="M110" s="5">
        <f t="shared" si="5"/>
        <v>89</v>
      </c>
      <c r="N110" s="5">
        <f t="shared" si="6"/>
        <v>0</v>
      </c>
      <c r="O110" s="11">
        <f t="shared" si="7"/>
        <v>126</v>
      </c>
    </row>
    <row r="111" spans="1:15">
      <c r="A111" s="11" t="s">
        <v>1764</v>
      </c>
      <c r="B111" s="5">
        <v>0</v>
      </c>
      <c r="C111" s="5">
        <v>0</v>
      </c>
      <c r="D111" s="5">
        <v>0</v>
      </c>
      <c r="E111" s="5">
        <v>98</v>
      </c>
      <c r="F111" s="5">
        <v>39</v>
      </c>
      <c r="G111" s="5">
        <v>24</v>
      </c>
      <c r="H111" s="5">
        <v>16</v>
      </c>
      <c r="I111" s="5">
        <v>0</v>
      </c>
      <c r="J111" s="5">
        <v>0</v>
      </c>
      <c r="K111" s="5">
        <v>0</v>
      </c>
      <c r="L111" s="5">
        <f t="shared" si="4"/>
        <v>55</v>
      </c>
      <c r="M111" s="5">
        <f t="shared" si="5"/>
        <v>122</v>
      </c>
      <c r="N111" s="5">
        <f t="shared" si="6"/>
        <v>0</v>
      </c>
      <c r="O111" s="11">
        <f t="shared" si="7"/>
        <v>177</v>
      </c>
    </row>
    <row r="112" spans="1:15">
      <c r="A112" s="11" t="s">
        <v>1350</v>
      </c>
      <c r="B112" s="5">
        <v>0</v>
      </c>
      <c r="C112" s="5">
        <v>0</v>
      </c>
      <c r="D112" s="5">
        <v>40</v>
      </c>
      <c r="E112" s="5">
        <v>42</v>
      </c>
      <c r="F112" s="5">
        <v>0</v>
      </c>
      <c r="G112" s="5">
        <v>29</v>
      </c>
      <c r="H112" s="5">
        <v>0</v>
      </c>
      <c r="I112" s="5">
        <v>0</v>
      </c>
      <c r="J112" s="5">
        <v>1</v>
      </c>
      <c r="K112" s="5">
        <v>16</v>
      </c>
      <c r="L112" s="5">
        <f t="shared" si="4"/>
        <v>40</v>
      </c>
      <c r="M112" s="5">
        <f t="shared" si="5"/>
        <v>71</v>
      </c>
      <c r="N112" s="5">
        <f t="shared" si="6"/>
        <v>17</v>
      </c>
      <c r="O112" s="11">
        <f t="shared" si="7"/>
        <v>128</v>
      </c>
    </row>
    <row r="113" spans="1:15">
      <c r="A113" s="11" t="s">
        <v>1357</v>
      </c>
      <c r="B113" s="5">
        <v>0</v>
      </c>
      <c r="C113" s="5">
        <v>0</v>
      </c>
      <c r="D113" s="5">
        <v>60</v>
      </c>
      <c r="E113" s="5">
        <v>46</v>
      </c>
      <c r="F113" s="5">
        <v>0</v>
      </c>
      <c r="G113" s="5">
        <v>38</v>
      </c>
      <c r="H113" s="5">
        <v>12</v>
      </c>
      <c r="I113" s="5">
        <v>0</v>
      </c>
      <c r="J113" s="5">
        <v>1</v>
      </c>
      <c r="K113" s="5">
        <v>0</v>
      </c>
      <c r="L113" s="5">
        <f t="shared" si="4"/>
        <v>72</v>
      </c>
      <c r="M113" s="5">
        <f t="shared" si="5"/>
        <v>84</v>
      </c>
      <c r="N113" s="5">
        <f t="shared" si="6"/>
        <v>1</v>
      </c>
      <c r="O113" s="11">
        <f t="shared" si="7"/>
        <v>157</v>
      </c>
    </row>
    <row r="114" spans="1:15">
      <c r="A114" s="11" t="s">
        <v>1361</v>
      </c>
      <c r="B114" s="5">
        <v>0</v>
      </c>
      <c r="C114" s="5">
        <v>0</v>
      </c>
      <c r="D114" s="5">
        <v>14</v>
      </c>
      <c r="E114" s="5">
        <v>71</v>
      </c>
      <c r="F114" s="5">
        <v>85</v>
      </c>
      <c r="G114" s="5">
        <v>32</v>
      </c>
      <c r="H114" s="5">
        <v>40</v>
      </c>
      <c r="I114" s="5">
        <v>0</v>
      </c>
      <c r="J114" s="5">
        <v>2</v>
      </c>
      <c r="K114" s="5">
        <v>0</v>
      </c>
      <c r="L114" s="5">
        <f t="shared" si="4"/>
        <v>139</v>
      </c>
      <c r="M114" s="5">
        <f t="shared" si="5"/>
        <v>103</v>
      </c>
      <c r="N114" s="5">
        <f t="shared" si="6"/>
        <v>2</v>
      </c>
      <c r="O114" s="11">
        <f t="shared" si="7"/>
        <v>244</v>
      </c>
    </row>
    <row r="115" spans="1:15">
      <c r="A115" s="11" t="s">
        <v>1375</v>
      </c>
      <c r="B115" s="5">
        <v>0</v>
      </c>
      <c r="C115" s="5">
        <v>0</v>
      </c>
      <c r="D115" s="5">
        <v>19</v>
      </c>
      <c r="E115" s="5">
        <v>47</v>
      </c>
      <c r="F115" s="5">
        <v>0</v>
      </c>
      <c r="G115" s="5">
        <v>53</v>
      </c>
      <c r="H115" s="5">
        <v>39</v>
      </c>
      <c r="I115" s="5">
        <v>0</v>
      </c>
      <c r="J115" s="5">
        <v>1</v>
      </c>
      <c r="K115" s="5">
        <v>0</v>
      </c>
      <c r="L115" s="5">
        <f t="shared" si="4"/>
        <v>58</v>
      </c>
      <c r="M115" s="5">
        <f t="shared" si="5"/>
        <v>100</v>
      </c>
      <c r="N115" s="5">
        <f t="shared" si="6"/>
        <v>1</v>
      </c>
      <c r="O115" s="11">
        <f t="shared" si="7"/>
        <v>159</v>
      </c>
    </row>
    <row r="116" spans="1:15">
      <c r="A116" s="11" t="s">
        <v>1385</v>
      </c>
      <c r="B116" s="5">
        <v>0</v>
      </c>
      <c r="C116" s="5">
        <v>0</v>
      </c>
      <c r="D116" s="89">
        <v>30</v>
      </c>
      <c r="E116" s="89">
        <v>44</v>
      </c>
      <c r="F116" s="5">
        <v>0</v>
      </c>
      <c r="G116" s="89">
        <v>49</v>
      </c>
      <c r="H116" s="89">
        <v>27</v>
      </c>
      <c r="I116" s="5">
        <v>0</v>
      </c>
      <c r="J116" s="89">
        <v>4</v>
      </c>
      <c r="K116" s="89">
        <v>18</v>
      </c>
      <c r="L116" s="5">
        <f t="shared" si="4"/>
        <v>57</v>
      </c>
      <c r="M116" s="5">
        <f t="shared" si="5"/>
        <v>93</v>
      </c>
      <c r="N116" s="5">
        <f t="shared" si="6"/>
        <v>22</v>
      </c>
      <c r="O116" s="11">
        <f t="shared" si="7"/>
        <v>172</v>
      </c>
    </row>
    <row r="117" spans="1:15">
      <c r="A117" s="11" t="s">
        <v>1398</v>
      </c>
      <c r="B117" s="5">
        <v>0</v>
      </c>
      <c r="C117" s="5">
        <v>0</v>
      </c>
      <c r="D117" s="5">
        <v>22</v>
      </c>
      <c r="E117" s="5">
        <v>31</v>
      </c>
      <c r="F117" s="5">
        <v>0</v>
      </c>
      <c r="G117" s="5">
        <v>43</v>
      </c>
      <c r="H117" s="5">
        <v>18</v>
      </c>
      <c r="I117" s="5">
        <v>0</v>
      </c>
      <c r="J117" s="5">
        <v>6</v>
      </c>
      <c r="K117" s="5">
        <v>1</v>
      </c>
      <c r="L117" s="5">
        <f t="shared" si="4"/>
        <v>40</v>
      </c>
      <c r="M117" s="5">
        <f t="shared" si="5"/>
        <v>74</v>
      </c>
      <c r="N117" s="5">
        <f t="shared" si="6"/>
        <v>7</v>
      </c>
      <c r="O117" s="11">
        <f t="shared" si="7"/>
        <v>121</v>
      </c>
    </row>
    <row r="118" spans="1:15">
      <c r="A118" s="11" t="s">
        <v>1408</v>
      </c>
      <c r="B118" s="5">
        <v>0</v>
      </c>
      <c r="C118" s="5">
        <v>0</v>
      </c>
      <c r="D118" s="5">
        <v>31</v>
      </c>
      <c r="E118" s="5">
        <v>36</v>
      </c>
      <c r="F118" s="5">
        <v>0</v>
      </c>
      <c r="G118" s="5">
        <v>43</v>
      </c>
      <c r="H118" s="5">
        <v>0</v>
      </c>
      <c r="I118" s="5">
        <v>0</v>
      </c>
      <c r="J118" s="5">
        <v>2</v>
      </c>
      <c r="K118" s="5">
        <v>17</v>
      </c>
      <c r="L118" s="5">
        <f t="shared" si="4"/>
        <v>31</v>
      </c>
      <c r="M118" s="5">
        <f t="shared" si="5"/>
        <v>79</v>
      </c>
      <c r="N118" s="5">
        <f t="shared" si="6"/>
        <v>19</v>
      </c>
      <c r="O118" s="11">
        <f t="shared" si="7"/>
        <v>129</v>
      </c>
    </row>
    <row r="119" spans="1:15">
      <c r="A119" s="11" t="s">
        <v>1417</v>
      </c>
      <c r="B119" s="5">
        <v>0</v>
      </c>
      <c r="C119" s="5">
        <v>0</v>
      </c>
      <c r="D119" s="5">
        <v>24</v>
      </c>
      <c r="E119" s="5">
        <v>47</v>
      </c>
      <c r="F119" s="5">
        <v>0</v>
      </c>
      <c r="G119" s="5">
        <v>41</v>
      </c>
      <c r="H119" s="5">
        <v>17</v>
      </c>
      <c r="I119" s="5">
        <v>0</v>
      </c>
      <c r="J119" s="5">
        <v>2</v>
      </c>
      <c r="K119" s="5">
        <v>1</v>
      </c>
      <c r="L119" s="5">
        <f t="shared" si="4"/>
        <v>41</v>
      </c>
      <c r="M119" s="5">
        <f t="shared" si="5"/>
        <v>88</v>
      </c>
      <c r="N119" s="5">
        <f t="shared" si="6"/>
        <v>3</v>
      </c>
      <c r="O119" s="11">
        <f t="shared" si="7"/>
        <v>132</v>
      </c>
    </row>
    <row r="120" spans="1:15">
      <c r="A120" s="11" t="s">
        <v>1426</v>
      </c>
      <c r="B120" s="5">
        <v>0</v>
      </c>
      <c r="C120" s="5">
        <v>0</v>
      </c>
      <c r="D120" s="5">
        <v>33</v>
      </c>
      <c r="E120" s="5">
        <v>37</v>
      </c>
      <c r="F120" s="5">
        <v>0</v>
      </c>
      <c r="G120" s="5">
        <v>29</v>
      </c>
      <c r="H120" s="5">
        <v>13</v>
      </c>
      <c r="I120" s="5">
        <v>0</v>
      </c>
      <c r="J120" s="5">
        <v>6</v>
      </c>
      <c r="K120" s="5">
        <v>8</v>
      </c>
      <c r="L120" s="5">
        <f t="shared" si="4"/>
        <v>46</v>
      </c>
      <c r="M120" s="5">
        <f t="shared" si="5"/>
        <v>66</v>
      </c>
      <c r="N120" s="5">
        <f t="shared" si="6"/>
        <v>14</v>
      </c>
      <c r="O120" s="11">
        <f t="shared" si="7"/>
        <v>126</v>
      </c>
    </row>
    <row r="121" spans="1:15">
      <c r="A121" s="11" t="s">
        <v>1435</v>
      </c>
      <c r="B121" s="5">
        <v>0</v>
      </c>
      <c r="C121" s="5">
        <v>0</v>
      </c>
      <c r="D121" s="5">
        <v>35</v>
      </c>
      <c r="E121" s="5">
        <v>47</v>
      </c>
      <c r="F121" s="5">
        <v>0</v>
      </c>
      <c r="G121" s="5">
        <v>27</v>
      </c>
      <c r="H121" s="5">
        <v>10</v>
      </c>
      <c r="I121" s="5">
        <v>0</v>
      </c>
      <c r="J121" s="5">
        <v>5</v>
      </c>
      <c r="K121" s="5">
        <v>0</v>
      </c>
      <c r="L121" s="5">
        <f t="shared" si="4"/>
        <v>45</v>
      </c>
      <c r="M121" s="5">
        <f t="shared" si="5"/>
        <v>74</v>
      </c>
      <c r="N121" s="5">
        <f t="shared" si="6"/>
        <v>5</v>
      </c>
      <c r="O121" s="11">
        <f t="shared" si="7"/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activeCell="A7" sqref="A7"/>
    </sheetView>
  </sheetViews>
  <sheetFormatPr defaultRowHeight="15"/>
  <cols>
    <col min="1" max="1" width="13.5703125" customWidth="1"/>
    <col min="2" max="2" width="12.5703125" customWidth="1"/>
    <col min="3" max="3" width="15.5703125" customWidth="1"/>
    <col min="4" max="4" width="14.7109375" customWidth="1"/>
    <col min="5" max="5" width="11.7109375" customWidth="1"/>
    <col min="6" max="6" width="13.42578125" customWidth="1"/>
    <col min="7" max="7" width="12.7109375" customWidth="1"/>
    <col min="8" max="8" width="12" customWidth="1"/>
  </cols>
  <sheetData>
    <row r="1" spans="1:8" ht="30">
      <c r="A1" s="102" t="s">
        <v>1765</v>
      </c>
      <c r="B1" s="103" t="s">
        <v>1766</v>
      </c>
      <c r="C1" s="103" t="s">
        <v>1767</v>
      </c>
      <c r="D1" s="103" t="s">
        <v>1768</v>
      </c>
      <c r="E1" s="104" t="s">
        <v>1769</v>
      </c>
      <c r="F1" s="103" t="s">
        <v>1770</v>
      </c>
      <c r="G1" s="103" t="s">
        <v>1771</v>
      </c>
      <c r="H1" s="105" t="s">
        <v>1772</v>
      </c>
    </row>
    <row r="2" spans="1:8">
      <c r="A2" s="174" t="s">
        <v>2113</v>
      </c>
      <c r="B2" s="11">
        <v>5040</v>
      </c>
      <c r="C2" s="11">
        <v>38225</v>
      </c>
      <c r="D2" s="11">
        <v>196732</v>
      </c>
      <c r="E2" s="11">
        <v>19412</v>
      </c>
      <c r="F2" s="11">
        <v>150370</v>
      </c>
      <c r="G2" s="11">
        <v>25630</v>
      </c>
      <c r="H2" s="106">
        <v>88608</v>
      </c>
    </row>
    <row r="3" spans="1:8">
      <c r="A3" s="174" t="s">
        <v>2114</v>
      </c>
      <c r="B3" s="11">
        <v>107310</v>
      </c>
      <c r="C3" s="11">
        <v>90740</v>
      </c>
      <c r="D3" s="11">
        <v>122617</v>
      </c>
      <c r="E3" s="11">
        <v>91946</v>
      </c>
      <c r="F3" s="11">
        <v>156970</v>
      </c>
      <c r="G3" s="11">
        <v>87082</v>
      </c>
      <c r="H3" s="107">
        <v>120560</v>
      </c>
    </row>
    <row r="4" spans="1:8">
      <c r="A4" s="174" t="s">
        <v>2115</v>
      </c>
      <c r="B4" s="11">
        <v>35595</v>
      </c>
      <c r="C4" s="11">
        <v>11965</v>
      </c>
      <c r="D4" s="11">
        <v>130142</v>
      </c>
      <c r="E4" s="11">
        <v>11826</v>
      </c>
      <c r="F4" s="11">
        <v>0</v>
      </c>
      <c r="G4" s="11">
        <v>14520</v>
      </c>
      <c r="H4" s="107">
        <v>69631</v>
      </c>
    </row>
    <row r="5" spans="1:8">
      <c r="A5" s="172" t="s">
        <v>2116</v>
      </c>
      <c r="B5" s="11">
        <v>6615</v>
      </c>
      <c r="C5" s="11">
        <v>0</v>
      </c>
      <c r="D5" s="11">
        <v>25621</v>
      </c>
      <c r="E5" s="11">
        <v>0</v>
      </c>
      <c r="F5" s="11">
        <v>0</v>
      </c>
      <c r="G5" s="11">
        <v>3410</v>
      </c>
      <c r="H5" s="107">
        <v>2429</v>
      </c>
    </row>
    <row r="6" spans="1:8" ht="15.75" thickBot="1">
      <c r="A6" s="173" t="s">
        <v>2117</v>
      </c>
      <c r="B6" s="108">
        <v>0</v>
      </c>
      <c r="C6" s="108">
        <v>0</v>
      </c>
      <c r="D6" s="108">
        <v>0</v>
      </c>
      <c r="E6" s="108">
        <v>0</v>
      </c>
      <c r="F6" s="108">
        <v>0</v>
      </c>
      <c r="G6" s="108">
        <v>0</v>
      </c>
      <c r="H6" s="10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01"/>
  <sheetViews>
    <sheetView topLeftCell="A12" workbookViewId="0">
      <selection activeCell="O39" sqref="O39"/>
    </sheetView>
  </sheetViews>
  <sheetFormatPr defaultColWidth="12.5703125" defaultRowHeight="15"/>
  <cols>
    <col min="15" max="15" width="12.5703125" style="182"/>
  </cols>
  <sheetData>
    <row r="1" spans="1:23" ht="30">
      <c r="A1" s="58" t="s">
        <v>0</v>
      </c>
      <c r="B1" s="59" t="s">
        <v>1507</v>
      </c>
      <c r="C1" s="59" t="s">
        <v>1508</v>
      </c>
      <c r="D1" s="59" t="s">
        <v>1509</v>
      </c>
      <c r="E1" s="59" t="s">
        <v>1510</v>
      </c>
      <c r="F1" s="59" t="s">
        <v>1511</v>
      </c>
      <c r="G1" s="59" t="s">
        <v>1512</v>
      </c>
      <c r="H1" s="59" t="s">
        <v>1513</v>
      </c>
      <c r="I1" s="60" t="s">
        <v>1514</v>
      </c>
      <c r="J1" s="59" t="s">
        <v>1515</v>
      </c>
      <c r="K1" s="60" t="s">
        <v>1516</v>
      </c>
      <c r="L1" s="59" t="s">
        <v>1517</v>
      </c>
      <c r="M1" s="59" t="s">
        <v>1518</v>
      </c>
      <c r="N1" s="61" t="s">
        <v>1519</v>
      </c>
      <c r="O1" s="181" t="s">
        <v>1520</v>
      </c>
      <c r="P1" s="62" t="s">
        <v>1521</v>
      </c>
      <c r="Q1" s="63" t="s">
        <v>1522</v>
      </c>
      <c r="R1" s="59" t="s">
        <v>1523</v>
      </c>
      <c r="S1" s="59" t="s">
        <v>1524</v>
      </c>
      <c r="T1" s="59" t="s">
        <v>1525</v>
      </c>
      <c r="U1" s="64" t="s">
        <v>1526</v>
      </c>
      <c r="V1" s="65" t="s">
        <v>1527</v>
      </c>
      <c r="W1" s="66" t="s">
        <v>1528</v>
      </c>
    </row>
    <row r="2" spans="1:23">
      <c r="A2" s="67" t="s">
        <v>1529</v>
      </c>
      <c r="B2" s="68" t="s">
        <v>1530</v>
      </c>
      <c r="C2" s="68" t="s">
        <v>24</v>
      </c>
      <c r="D2" s="68" t="s">
        <v>1531</v>
      </c>
      <c r="E2" s="68" t="s">
        <v>22</v>
      </c>
      <c r="F2" s="5">
        <v>7550</v>
      </c>
      <c r="G2" s="10" t="s">
        <v>1532</v>
      </c>
      <c r="H2" s="5">
        <v>1720</v>
      </c>
      <c r="I2" s="69">
        <v>0.22781456953642384</v>
      </c>
      <c r="J2" s="5">
        <v>1174</v>
      </c>
      <c r="K2" s="70">
        <v>0.15549668874172184</v>
      </c>
      <c r="L2" s="5">
        <v>4176</v>
      </c>
      <c r="M2" s="71">
        <v>0.55311258278145692</v>
      </c>
      <c r="N2" s="72">
        <v>42</v>
      </c>
      <c r="O2" s="180">
        <f>N2/F2*100</f>
        <v>0.55629139072847678</v>
      </c>
      <c r="P2" s="72">
        <v>438</v>
      </c>
      <c r="Q2" s="73">
        <v>5.801324503311258E-2</v>
      </c>
      <c r="R2" s="10">
        <v>0</v>
      </c>
      <c r="S2" s="70">
        <v>0</v>
      </c>
      <c r="T2" s="10">
        <v>0</v>
      </c>
      <c r="U2" s="74">
        <v>0</v>
      </c>
      <c r="V2" s="75">
        <v>6.3576158940397351E-2</v>
      </c>
      <c r="W2" s="168" t="s">
        <v>2104</v>
      </c>
    </row>
    <row r="3" spans="1:23">
      <c r="A3" s="67" t="s">
        <v>1529</v>
      </c>
      <c r="B3" s="68" t="s">
        <v>1530</v>
      </c>
      <c r="C3" s="68" t="s">
        <v>1533</v>
      </c>
      <c r="D3" s="68" t="s">
        <v>1531</v>
      </c>
      <c r="E3" s="68" t="s">
        <v>22</v>
      </c>
      <c r="F3" s="5">
        <v>8675</v>
      </c>
      <c r="G3" s="10" t="s">
        <v>1533</v>
      </c>
      <c r="H3" s="5">
        <v>2479</v>
      </c>
      <c r="I3" s="69">
        <v>0.28576368876080693</v>
      </c>
      <c r="J3" s="5">
        <v>3073</v>
      </c>
      <c r="K3" s="70">
        <v>0.35423631123919308</v>
      </c>
      <c r="L3" s="5">
        <v>2726</v>
      </c>
      <c r="M3" s="71">
        <v>0.3142363112391931</v>
      </c>
      <c r="N3" s="72">
        <v>85</v>
      </c>
      <c r="O3" s="180">
        <f t="shared" ref="O3:O66" si="0">N3/F3*100</f>
        <v>0.97982708933717577</v>
      </c>
      <c r="P3" s="72">
        <v>312</v>
      </c>
      <c r="Q3" s="73">
        <v>3.5965417867435158E-2</v>
      </c>
      <c r="R3" s="10">
        <v>0</v>
      </c>
      <c r="S3" s="70">
        <v>0</v>
      </c>
      <c r="T3" s="5">
        <v>0</v>
      </c>
      <c r="U3" s="74">
        <v>0</v>
      </c>
      <c r="V3" s="75">
        <v>4.5763688760806914E-2</v>
      </c>
      <c r="W3" s="168" t="s">
        <v>2104</v>
      </c>
    </row>
    <row r="4" spans="1:23">
      <c r="A4" s="67" t="s">
        <v>1529</v>
      </c>
      <c r="B4" s="68" t="s">
        <v>1530</v>
      </c>
      <c r="C4" s="76" t="s">
        <v>27</v>
      </c>
      <c r="D4" s="68" t="s">
        <v>1534</v>
      </c>
      <c r="E4" s="68" t="s">
        <v>22</v>
      </c>
      <c r="F4" s="5">
        <v>1178</v>
      </c>
      <c r="G4" s="10" t="s">
        <v>1535</v>
      </c>
      <c r="H4" s="5">
        <v>973</v>
      </c>
      <c r="I4" s="69">
        <v>0.82597623089983019</v>
      </c>
      <c r="J4" s="5">
        <v>15</v>
      </c>
      <c r="K4" s="70">
        <v>1.2733446519524618E-2</v>
      </c>
      <c r="L4" s="5">
        <v>36</v>
      </c>
      <c r="M4" s="71">
        <v>3.0560271646859084E-2</v>
      </c>
      <c r="N4" s="72">
        <v>25</v>
      </c>
      <c r="O4" s="180">
        <f t="shared" si="0"/>
        <v>2.1222410865874362</v>
      </c>
      <c r="P4" s="72">
        <v>57</v>
      </c>
      <c r="Q4" s="73">
        <v>4.8387096774193547E-2</v>
      </c>
      <c r="R4" s="10">
        <v>0</v>
      </c>
      <c r="S4" s="70">
        <v>0</v>
      </c>
      <c r="T4" s="10">
        <v>72</v>
      </c>
      <c r="U4" s="74">
        <v>6.1120543293718167E-2</v>
      </c>
      <c r="V4" s="75">
        <v>0.13073005093378606</v>
      </c>
      <c r="W4" s="168" t="s">
        <v>2104</v>
      </c>
    </row>
    <row r="5" spans="1:23">
      <c r="A5" s="67" t="s">
        <v>1529</v>
      </c>
      <c r="B5" s="68" t="s">
        <v>1530</v>
      </c>
      <c r="C5" s="68" t="s">
        <v>1533</v>
      </c>
      <c r="D5" s="68" t="s">
        <v>1536</v>
      </c>
      <c r="E5" s="68" t="s">
        <v>22</v>
      </c>
      <c r="F5" s="5">
        <v>5600</v>
      </c>
      <c r="G5" s="10" t="s">
        <v>1533</v>
      </c>
      <c r="H5" s="5">
        <v>4990</v>
      </c>
      <c r="I5" s="69">
        <v>0.89107142857142863</v>
      </c>
      <c r="J5" s="5">
        <v>25</v>
      </c>
      <c r="K5" s="70">
        <v>4.464285714285714E-3</v>
      </c>
      <c r="L5" s="5">
        <v>411</v>
      </c>
      <c r="M5" s="71">
        <v>7.3392857142857149E-2</v>
      </c>
      <c r="N5" s="72">
        <v>120</v>
      </c>
      <c r="O5" s="180">
        <f t="shared" si="0"/>
        <v>2.1428571428571428</v>
      </c>
      <c r="P5" s="72">
        <v>54</v>
      </c>
      <c r="Q5" s="73">
        <v>9.6428571428571423E-3</v>
      </c>
      <c r="R5" s="10">
        <v>0</v>
      </c>
      <c r="S5" s="70">
        <v>0</v>
      </c>
      <c r="T5" s="10">
        <v>0</v>
      </c>
      <c r="U5" s="74">
        <v>0</v>
      </c>
      <c r="V5" s="75">
        <v>3.1071428571428569E-2</v>
      </c>
      <c r="W5" s="168" t="s">
        <v>2104</v>
      </c>
    </row>
    <row r="6" spans="1:23">
      <c r="A6" s="67" t="s">
        <v>1529</v>
      </c>
      <c r="B6" s="68" t="s">
        <v>1530</v>
      </c>
      <c r="C6" s="68" t="s">
        <v>31</v>
      </c>
      <c r="D6" s="68" t="s">
        <v>1536</v>
      </c>
      <c r="E6" s="68" t="s">
        <v>22</v>
      </c>
      <c r="F6" s="5">
        <v>7848</v>
      </c>
      <c r="G6" s="10" t="s">
        <v>1537</v>
      </c>
      <c r="H6" s="5">
        <v>4923</v>
      </c>
      <c r="I6" s="69">
        <v>0.62729357798165142</v>
      </c>
      <c r="J6" s="5">
        <v>74</v>
      </c>
      <c r="K6" s="70">
        <v>9.4291539245667678E-3</v>
      </c>
      <c r="L6" s="5">
        <v>1379</v>
      </c>
      <c r="M6" s="71">
        <v>0.17571355759429155</v>
      </c>
      <c r="N6" s="72">
        <v>400</v>
      </c>
      <c r="O6" s="180">
        <f t="shared" si="0"/>
        <v>5.0968399592252798</v>
      </c>
      <c r="P6" s="72">
        <v>195</v>
      </c>
      <c r="Q6" s="73">
        <v>2.4847094801223241E-2</v>
      </c>
      <c r="R6" s="10">
        <v>877</v>
      </c>
      <c r="S6" s="70">
        <v>0.11174821610601426</v>
      </c>
      <c r="T6" s="10">
        <v>0</v>
      </c>
      <c r="U6" s="74">
        <v>0</v>
      </c>
      <c r="V6" s="75">
        <v>0.1875637104994903</v>
      </c>
      <c r="W6" s="168" t="s">
        <v>2104</v>
      </c>
    </row>
    <row r="7" spans="1:23">
      <c r="A7" s="67" t="s">
        <v>1529</v>
      </c>
      <c r="B7" s="68" t="s">
        <v>1538</v>
      </c>
      <c r="C7" s="68" t="s">
        <v>31</v>
      </c>
      <c r="D7" s="68" t="s">
        <v>1536</v>
      </c>
      <c r="E7" s="68" t="s">
        <v>1539</v>
      </c>
      <c r="F7" s="5">
        <v>6840</v>
      </c>
      <c r="G7" s="77" t="s">
        <v>1540</v>
      </c>
      <c r="H7" s="5">
        <v>5289</v>
      </c>
      <c r="I7" s="69">
        <v>0.77324561403508774</v>
      </c>
      <c r="J7" s="5">
        <v>247</v>
      </c>
      <c r="K7" s="70">
        <v>3.6111111111111108E-2</v>
      </c>
      <c r="L7" s="5">
        <v>267</v>
      </c>
      <c r="M7" s="71">
        <v>3.9035087719298249E-2</v>
      </c>
      <c r="N7" s="72">
        <v>545</v>
      </c>
      <c r="O7" s="180">
        <f t="shared" si="0"/>
        <v>7.9678362573099415</v>
      </c>
      <c r="P7" s="72">
        <v>218</v>
      </c>
      <c r="Q7" s="73">
        <v>3.1871345029239766E-2</v>
      </c>
      <c r="R7" s="10">
        <v>0</v>
      </c>
      <c r="S7" s="70">
        <v>0</v>
      </c>
      <c r="T7" s="10">
        <v>274</v>
      </c>
      <c r="U7" s="74">
        <v>4.0058479532163745E-2</v>
      </c>
      <c r="V7" s="75">
        <v>0.15160818713450291</v>
      </c>
      <c r="W7" s="168" t="s">
        <v>1195</v>
      </c>
    </row>
    <row r="8" spans="1:23">
      <c r="A8" s="67" t="s">
        <v>1541</v>
      </c>
      <c r="B8" s="68" t="s">
        <v>1530</v>
      </c>
      <c r="C8" s="68" t="s">
        <v>24</v>
      </c>
      <c r="D8" s="68" t="s">
        <v>1531</v>
      </c>
      <c r="E8" s="68" t="s">
        <v>22</v>
      </c>
      <c r="F8" s="5">
        <v>9233</v>
      </c>
      <c r="G8" s="10" t="s">
        <v>1532</v>
      </c>
      <c r="H8" s="5">
        <v>2765</v>
      </c>
      <c r="I8" s="69">
        <v>0.29946929492039426</v>
      </c>
      <c r="J8" s="5">
        <v>1582</v>
      </c>
      <c r="K8" s="70">
        <v>0.17134192570128887</v>
      </c>
      <c r="L8" s="5">
        <v>4093</v>
      </c>
      <c r="M8" s="71">
        <v>0.44330120220946606</v>
      </c>
      <c r="N8" s="72">
        <v>42</v>
      </c>
      <c r="O8" s="180">
        <f t="shared" si="0"/>
        <v>0.45489006823351025</v>
      </c>
      <c r="P8" s="72">
        <v>751</v>
      </c>
      <c r="Q8" s="73">
        <v>8.1338676486515757E-2</v>
      </c>
      <c r="R8" s="10">
        <v>0</v>
      </c>
      <c r="S8" s="70">
        <v>0</v>
      </c>
      <c r="T8" s="10">
        <v>0</v>
      </c>
      <c r="U8" s="74">
        <v>0</v>
      </c>
      <c r="V8" s="75">
        <v>8.5887577168850857E-2</v>
      </c>
      <c r="W8" s="168" t="s">
        <v>2104</v>
      </c>
    </row>
    <row r="9" spans="1:23">
      <c r="A9" s="67" t="s">
        <v>1541</v>
      </c>
      <c r="B9" s="68" t="s">
        <v>1530</v>
      </c>
      <c r="C9" s="68" t="s">
        <v>1533</v>
      </c>
      <c r="D9" s="68" t="s">
        <v>1531</v>
      </c>
      <c r="E9" s="68" t="s">
        <v>22</v>
      </c>
      <c r="F9" s="5">
        <v>8706</v>
      </c>
      <c r="G9" s="10" t="s">
        <v>1533</v>
      </c>
      <c r="H9" s="5">
        <v>1951</v>
      </c>
      <c r="I9" s="69">
        <v>0.2240983229956352</v>
      </c>
      <c r="J9" s="5">
        <v>1959</v>
      </c>
      <c r="K9" s="70">
        <v>0.2250172294968987</v>
      </c>
      <c r="L9" s="5">
        <v>4145</v>
      </c>
      <c r="M9" s="71">
        <v>0.47610843096714911</v>
      </c>
      <c r="N9" s="72">
        <v>55</v>
      </c>
      <c r="O9" s="180">
        <f t="shared" si="0"/>
        <v>0.63174821961865379</v>
      </c>
      <c r="P9" s="72">
        <v>596</v>
      </c>
      <c r="Q9" s="73">
        <v>6.8458534344130489E-2</v>
      </c>
      <c r="R9" s="10">
        <v>0</v>
      </c>
      <c r="S9" s="70">
        <v>0</v>
      </c>
      <c r="T9" s="10">
        <v>0</v>
      </c>
      <c r="U9" s="74">
        <v>0</v>
      </c>
      <c r="V9" s="75">
        <v>7.4776016540317028E-2</v>
      </c>
      <c r="W9" s="168" t="s">
        <v>2104</v>
      </c>
    </row>
    <row r="10" spans="1:23">
      <c r="A10" s="67" t="s">
        <v>1541</v>
      </c>
      <c r="B10" s="68" t="s">
        <v>1530</v>
      </c>
      <c r="C10" s="76" t="s">
        <v>27</v>
      </c>
      <c r="D10" s="68" t="s">
        <v>1534</v>
      </c>
      <c r="E10" s="68" t="s">
        <v>22</v>
      </c>
      <c r="F10" s="5">
        <v>5831</v>
      </c>
      <c r="G10" s="10" t="s">
        <v>1535</v>
      </c>
      <c r="H10" s="5">
        <v>4802</v>
      </c>
      <c r="I10" s="69">
        <v>0.82352941176470584</v>
      </c>
      <c r="J10" s="5">
        <v>324</v>
      </c>
      <c r="K10" s="70">
        <v>5.5565083176127593E-2</v>
      </c>
      <c r="L10" s="5">
        <v>244</v>
      </c>
      <c r="M10" s="71">
        <v>4.1845309552392386E-2</v>
      </c>
      <c r="N10" s="72">
        <v>108</v>
      </c>
      <c r="O10" s="180">
        <f t="shared" si="0"/>
        <v>1.8521694392042531</v>
      </c>
      <c r="P10" s="72">
        <v>109</v>
      </c>
      <c r="Q10" s="73">
        <v>1.8693191562339222E-2</v>
      </c>
      <c r="R10" s="10">
        <v>0</v>
      </c>
      <c r="S10" s="70">
        <v>0</v>
      </c>
      <c r="T10" s="10">
        <v>244</v>
      </c>
      <c r="U10" s="74">
        <v>4.1845309552392386E-2</v>
      </c>
      <c r="V10" s="75">
        <v>7.906019550677415E-2</v>
      </c>
      <c r="W10" s="168" t="s">
        <v>2104</v>
      </c>
    </row>
    <row r="11" spans="1:23">
      <c r="A11" s="67" t="s">
        <v>1541</v>
      </c>
      <c r="B11" s="68" t="s">
        <v>1530</v>
      </c>
      <c r="C11" s="68" t="s">
        <v>31</v>
      </c>
      <c r="D11" s="68" t="s">
        <v>1536</v>
      </c>
      <c r="E11" s="68" t="s">
        <v>22</v>
      </c>
      <c r="F11" s="5">
        <v>7164</v>
      </c>
      <c r="G11" s="10" t="s">
        <v>1537</v>
      </c>
      <c r="H11" s="5">
        <v>3804</v>
      </c>
      <c r="I11" s="69">
        <v>0.53098827470686771</v>
      </c>
      <c r="J11" s="5">
        <v>69</v>
      </c>
      <c r="K11" s="70">
        <v>9.6314907872696812E-3</v>
      </c>
      <c r="L11" s="5">
        <v>1893</v>
      </c>
      <c r="M11" s="71">
        <v>0.26423785594639865</v>
      </c>
      <c r="N11" s="72">
        <v>425</v>
      </c>
      <c r="O11" s="180">
        <f t="shared" si="0"/>
        <v>5.9324399776661085</v>
      </c>
      <c r="P11" s="72">
        <v>343</v>
      </c>
      <c r="Q11" s="73">
        <v>4.7878280290340594E-2</v>
      </c>
      <c r="R11" s="5">
        <v>630</v>
      </c>
      <c r="S11" s="70">
        <v>8.7939698492462318E-2</v>
      </c>
      <c r="T11" s="5">
        <v>0</v>
      </c>
      <c r="U11" s="74">
        <v>0</v>
      </c>
      <c r="V11" s="75">
        <v>0.19514237855946398</v>
      </c>
      <c r="W11" s="168" t="s">
        <v>2104</v>
      </c>
    </row>
    <row r="12" spans="1:23">
      <c r="A12" s="67" t="s">
        <v>1541</v>
      </c>
      <c r="B12" s="68" t="s">
        <v>1530</v>
      </c>
      <c r="C12" s="68" t="s">
        <v>1533</v>
      </c>
      <c r="D12" s="68" t="s">
        <v>1536</v>
      </c>
      <c r="E12" s="68" t="s">
        <v>22</v>
      </c>
      <c r="F12" s="5">
        <v>6266</v>
      </c>
      <c r="G12" s="10" t="s">
        <v>1533</v>
      </c>
      <c r="H12" s="5">
        <v>5688</v>
      </c>
      <c r="I12" s="69">
        <v>0.90775614427066709</v>
      </c>
      <c r="J12" s="5">
        <v>38</v>
      </c>
      <c r="K12" s="70">
        <v>6.0644749441429941E-3</v>
      </c>
      <c r="L12" s="5">
        <v>228</v>
      </c>
      <c r="M12" s="71">
        <v>3.6386849664857966E-2</v>
      </c>
      <c r="N12" s="72">
        <v>182</v>
      </c>
      <c r="O12" s="180">
        <f t="shared" si="0"/>
        <v>2.904564315352697</v>
      </c>
      <c r="P12" s="72">
        <v>130</v>
      </c>
      <c r="Q12" s="73">
        <v>2.0746887966804978E-2</v>
      </c>
      <c r="R12" s="10">
        <v>0</v>
      </c>
      <c r="S12" s="70">
        <v>0</v>
      </c>
      <c r="T12" s="5">
        <v>0</v>
      </c>
      <c r="U12" s="74">
        <v>0</v>
      </c>
      <c r="V12" s="75">
        <v>4.9792531120331954E-2</v>
      </c>
      <c r="W12" s="168" t="s">
        <v>2104</v>
      </c>
    </row>
    <row r="13" spans="1:23">
      <c r="A13" s="67" t="s">
        <v>1541</v>
      </c>
      <c r="B13" s="68" t="s">
        <v>1530</v>
      </c>
      <c r="C13" s="76" t="s">
        <v>27</v>
      </c>
      <c r="D13" s="68" t="s">
        <v>1534</v>
      </c>
      <c r="E13" s="68" t="s">
        <v>22</v>
      </c>
      <c r="F13" s="5">
        <v>1080</v>
      </c>
      <c r="G13" s="10" t="s">
        <v>1535</v>
      </c>
      <c r="H13" s="5">
        <v>892</v>
      </c>
      <c r="I13" s="69">
        <v>0.82592592592592595</v>
      </c>
      <c r="J13" s="5">
        <v>14</v>
      </c>
      <c r="K13" s="70">
        <v>1.2962962962962963E-2</v>
      </c>
      <c r="L13" s="5">
        <v>27</v>
      </c>
      <c r="M13" s="71">
        <v>2.5000000000000001E-2</v>
      </c>
      <c r="N13" s="72">
        <v>40</v>
      </c>
      <c r="O13" s="180">
        <f t="shared" si="0"/>
        <v>3.7037037037037033</v>
      </c>
      <c r="P13" s="72">
        <v>36</v>
      </c>
      <c r="Q13" s="73">
        <v>3.3333333333333333E-2</v>
      </c>
      <c r="R13" s="10">
        <v>0</v>
      </c>
      <c r="S13" s="70">
        <v>0</v>
      </c>
      <c r="T13" s="10">
        <v>71</v>
      </c>
      <c r="U13" s="74">
        <v>6.5740740740740738E-2</v>
      </c>
      <c r="V13" s="75">
        <v>0.1361111111111111</v>
      </c>
      <c r="W13" s="168" t="s">
        <v>2104</v>
      </c>
    </row>
    <row r="14" spans="1:23">
      <c r="A14" s="67" t="s">
        <v>1541</v>
      </c>
      <c r="B14" s="68" t="s">
        <v>1538</v>
      </c>
      <c r="C14" s="68" t="s">
        <v>31</v>
      </c>
      <c r="D14" s="68" t="s">
        <v>1536</v>
      </c>
      <c r="E14" s="68" t="s">
        <v>1539</v>
      </c>
      <c r="F14" s="5">
        <v>7740</v>
      </c>
      <c r="G14" s="77" t="s">
        <v>1540</v>
      </c>
      <c r="H14" s="5">
        <v>6058</v>
      </c>
      <c r="I14" s="69">
        <v>0.78268733850129202</v>
      </c>
      <c r="J14" s="5">
        <v>312</v>
      </c>
      <c r="K14" s="70">
        <v>4.0310077519379844E-2</v>
      </c>
      <c r="L14" s="5">
        <v>302</v>
      </c>
      <c r="M14" s="71">
        <v>3.9018087855297159E-2</v>
      </c>
      <c r="N14" s="72">
        <v>560</v>
      </c>
      <c r="O14" s="180">
        <f t="shared" si="0"/>
        <v>7.2351421188630489</v>
      </c>
      <c r="P14" s="72">
        <v>312</v>
      </c>
      <c r="Q14" s="73">
        <v>4.0310077519379844E-2</v>
      </c>
      <c r="R14" s="10">
        <v>0</v>
      </c>
      <c r="S14" s="70">
        <v>0</v>
      </c>
      <c r="T14" s="10">
        <v>196</v>
      </c>
      <c r="U14" s="74">
        <v>2.5322997416020673E-2</v>
      </c>
      <c r="V14" s="75">
        <v>0.13798449612403099</v>
      </c>
      <c r="W14" s="168" t="s">
        <v>1195</v>
      </c>
    </row>
    <row r="15" spans="1:23">
      <c r="A15" s="67" t="s">
        <v>1542</v>
      </c>
      <c r="B15" s="68" t="s">
        <v>1530</v>
      </c>
      <c r="C15" s="68" t="s">
        <v>24</v>
      </c>
      <c r="D15" s="68" t="s">
        <v>1531</v>
      </c>
      <c r="E15" s="68" t="s">
        <v>22</v>
      </c>
      <c r="F15" s="5">
        <v>9380</v>
      </c>
      <c r="G15" s="10" t="s">
        <v>1532</v>
      </c>
      <c r="H15" s="5">
        <v>2491</v>
      </c>
      <c r="I15" s="69">
        <v>0.26556503198294246</v>
      </c>
      <c r="J15" s="5">
        <v>1385</v>
      </c>
      <c r="K15" s="70">
        <v>0.1476545842217484</v>
      </c>
      <c r="L15" s="5">
        <v>4660</v>
      </c>
      <c r="M15" s="71">
        <v>0.49680170575692961</v>
      </c>
      <c r="N15" s="72">
        <v>150</v>
      </c>
      <c r="O15" s="180">
        <f t="shared" si="0"/>
        <v>1.5991471215351813</v>
      </c>
      <c r="P15" s="72">
        <v>694</v>
      </c>
      <c r="Q15" s="73">
        <v>7.3987206823027715E-2</v>
      </c>
      <c r="R15" s="10">
        <v>0</v>
      </c>
      <c r="S15" s="70">
        <v>0</v>
      </c>
      <c r="T15" s="10">
        <v>0</v>
      </c>
      <c r="U15" s="74">
        <v>0</v>
      </c>
      <c r="V15" s="75">
        <v>8.9978678038379528E-2</v>
      </c>
      <c r="W15" s="168" t="s">
        <v>2104</v>
      </c>
    </row>
    <row r="16" spans="1:23">
      <c r="A16" s="67" t="s">
        <v>1542</v>
      </c>
      <c r="B16" s="68" t="s">
        <v>1530</v>
      </c>
      <c r="C16" s="68" t="s">
        <v>1533</v>
      </c>
      <c r="D16" s="68" t="s">
        <v>1531</v>
      </c>
      <c r="E16" s="68" t="s">
        <v>22</v>
      </c>
      <c r="F16" s="5">
        <v>3820</v>
      </c>
      <c r="G16" s="10" t="s">
        <v>1533</v>
      </c>
      <c r="H16" s="5">
        <v>1095</v>
      </c>
      <c r="I16" s="69">
        <v>0.28664921465968585</v>
      </c>
      <c r="J16" s="5">
        <v>934</v>
      </c>
      <c r="K16" s="70">
        <v>0.24450261780104712</v>
      </c>
      <c r="L16" s="5">
        <v>1503</v>
      </c>
      <c r="M16" s="71">
        <v>0.39345549738219893</v>
      </c>
      <c r="N16" s="72">
        <v>50</v>
      </c>
      <c r="O16" s="180">
        <f t="shared" si="0"/>
        <v>1.3089005235602094</v>
      </c>
      <c r="P16" s="72">
        <v>238</v>
      </c>
      <c r="Q16" s="73">
        <v>6.2303664921465968E-2</v>
      </c>
      <c r="R16" s="10">
        <v>0</v>
      </c>
      <c r="S16" s="70">
        <v>0</v>
      </c>
      <c r="T16" s="10">
        <v>0</v>
      </c>
      <c r="U16" s="74">
        <v>0</v>
      </c>
      <c r="V16" s="75">
        <v>7.5392670157068062E-2</v>
      </c>
      <c r="W16" s="168" t="s">
        <v>2104</v>
      </c>
    </row>
    <row r="17" spans="1:23">
      <c r="A17" s="67" t="s">
        <v>1542</v>
      </c>
      <c r="B17" s="68" t="s">
        <v>1530</v>
      </c>
      <c r="C17" s="68" t="s">
        <v>1533</v>
      </c>
      <c r="D17" s="68" t="s">
        <v>1536</v>
      </c>
      <c r="E17" s="68" t="s">
        <v>22</v>
      </c>
      <c r="F17" s="5">
        <v>5400</v>
      </c>
      <c r="G17" s="10" t="s">
        <v>1533</v>
      </c>
      <c r="H17" s="5">
        <v>4699</v>
      </c>
      <c r="I17" s="69">
        <v>0.87018518518518517</v>
      </c>
      <c r="J17" s="5">
        <v>0</v>
      </c>
      <c r="K17" s="70">
        <v>0</v>
      </c>
      <c r="L17" s="5">
        <v>348</v>
      </c>
      <c r="M17" s="71">
        <v>6.4444444444444443E-2</v>
      </c>
      <c r="N17" s="72">
        <v>154</v>
      </c>
      <c r="O17" s="180">
        <f t="shared" si="0"/>
        <v>2.8518518518518521</v>
      </c>
      <c r="P17" s="72">
        <v>199</v>
      </c>
      <c r="Q17" s="73">
        <v>3.6851851851851851E-2</v>
      </c>
      <c r="R17" s="10">
        <v>0</v>
      </c>
      <c r="S17" s="70">
        <v>0</v>
      </c>
      <c r="T17" s="10">
        <v>0</v>
      </c>
      <c r="U17" s="74">
        <v>0</v>
      </c>
      <c r="V17" s="75">
        <v>6.537037037037037E-2</v>
      </c>
      <c r="W17" s="168" t="s">
        <v>2104</v>
      </c>
    </row>
    <row r="18" spans="1:23">
      <c r="A18" s="67" t="s">
        <v>1542</v>
      </c>
      <c r="B18" s="68" t="s">
        <v>1530</v>
      </c>
      <c r="C18" s="68" t="s">
        <v>31</v>
      </c>
      <c r="D18" s="68" t="s">
        <v>1536</v>
      </c>
      <c r="E18" s="68" t="s">
        <v>22</v>
      </c>
      <c r="F18" s="5">
        <v>6480</v>
      </c>
      <c r="G18" s="10" t="s">
        <v>1537</v>
      </c>
      <c r="H18" s="5">
        <v>4768</v>
      </c>
      <c r="I18" s="69">
        <v>0.73580246913580249</v>
      </c>
      <c r="J18" s="5">
        <v>157</v>
      </c>
      <c r="K18" s="70">
        <v>2.4228395061728396E-2</v>
      </c>
      <c r="L18" s="5">
        <v>1072</v>
      </c>
      <c r="M18" s="71">
        <v>0.16543209876543211</v>
      </c>
      <c r="N18" s="72">
        <v>98</v>
      </c>
      <c r="O18" s="180">
        <f t="shared" si="0"/>
        <v>1.5123456790123457</v>
      </c>
      <c r="P18" s="72">
        <v>31</v>
      </c>
      <c r="Q18" s="73">
        <v>4.7839506172839509E-3</v>
      </c>
      <c r="R18" s="10">
        <v>113</v>
      </c>
      <c r="S18" s="70">
        <v>1.7438271604938271E-2</v>
      </c>
      <c r="T18" s="10">
        <v>241</v>
      </c>
      <c r="U18" s="74">
        <v>3.7191358024691361E-2</v>
      </c>
      <c r="V18" s="75">
        <v>7.4537037037037041E-2</v>
      </c>
      <c r="W18" s="168" t="s">
        <v>2104</v>
      </c>
    </row>
    <row r="19" spans="1:23">
      <c r="A19" s="67" t="s">
        <v>1542</v>
      </c>
      <c r="B19" s="68" t="s">
        <v>1538</v>
      </c>
      <c r="C19" s="68" t="s">
        <v>31</v>
      </c>
      <c r="D19" s="68" t="s">
        <v>1536</v>
      </c>
      <c r="E19" s="68" t="s">
        <v>1539</v>
      </c>
      <c r="F19" s="5">
        <v>2700</v>
      </c>
      <c r="G19" s="77" t="s">
        <v>1540</v>
      </c>
      <c r="H19" s="5">
        <v>2209</v>
      </c>
      <c r="I19" s="69">
        <v>0.81814814814814818</v>
      </c>
      <c r="J19" s="10">
        <v>143</v>
      </c>
      <c r="K19" s="70">
        <v>5.2962962962962962E-2</v>
      </c>
      <c r="L19" s="5">
        <v>68</v>
      </c>
      <c r="M19" s="71">
        <v>2.5185185185185185E-2</v>
      </c>
      <c r="N19" s="72">
        <v>157</v>
      </c>
      <c r="O19" s="180">
        <f t="shared" si="0"/>
        <v>5.8148148148148149</v>
      </c>
      <c r="P19" s="72">
        <v>43</v>
      </c>
      <c r="Q19" s="73">
        <v>1.5925925925925927E-2</v>
      </c>
      <c r="R19" s="5">
        <v>0</v>
      </c>
      <c r="S19" s="70">
        <v>0</v>
      </c>
      <c r="T19" s="5">
        <v>80</v>
      </c>
      <c r="U19" s="74">
        <v>2.9629629629629631E-2</v>
      </c>
      <c r="V19" s="75">
        <v>0.1037037037037037</v>
      </c>
      <c r="W19" s="168" t="s">
        <v>1195</v>
      </c>
    </row>
    <row r="20" spans="1:23">
      <c r="A20" s="67" t="s">
        <v>1542</v>
      </c>
      <c r="B20" s="68" t="s">
        <v>1530</v>
      </c>
      <c r="C20" s="68" t="s">
        <v>1533</v>
      </c>
      <c r="D20" s="68" t="s">
        <v>1531</v>
      </c>
      <c r="E20" s="68" t="s">
        <v>22</v>
      </c>
      <c r="F20" s="5">
        <v>8660</v>
      </c>
      <c r="G20" s="10" t="s">
        <v>1533</v>
      </c>
      <c r="H20" s="5">
        <v>2250</v>
      </c>
      <c r="I20" s="69">
        <v>0.25981524249422633</v>
      </c>
      <c r="J20" s="10">
        <v>3253</v>
      </c>
      <c r="K20" s="70">
        <v>0.375635103926097</v>
      </c>
      <c r="L20" s="5">
        <v>2906</v>
      </c>
      <c r="M20" s="71">
        <v>0.33556581986143186</v>
      </c>
      <c r="N20" s="72">
        <v>55</v>
      </c>
      <c r="O20" s="180">
        <f t="shared" si="0"/>
        <v>0.63510392609699762</v>
      </c>
      <c r="P20" s="72">
        <v>196</v>
      </c>
      <c r="Q20" s="73">
        <v>2.2632794457274827E-2</v>
      </c>
      <c r="R20" s="5">
        <v>0</v>
      </c>
      <c r="S20" s="70">
        <v>0</v>
      </c>
      <c r="T20" s="5">
        <v>0</v>
      </c>
      <c r="U20" s="74">
        <v>0</v>
      </c>
      <c r="V20" s="75">
        <v>2.8983833718244804E-2</v>
      </c>
      <c r="W20" s="168" t="s">
        <v>2104</v>
      </c>
    </row>
    <row r="21" spans="1:23">
      <c r="A21" s="67" t="s">
        <v>1543</v>
      </c>
      <c r="B21" s="68" t="s">
        <v>1530</v>
      </c>
      <c r="C21" s="68" t="s">
        <v>24</v>
      </c>
      <c r="D21" s="68" t="s">
        <v>1536</v>
      </c>
      <c r="E21" s="68" t="s">
        <v>22</v>
      </c>
      <c r="F21" s="5">
        <v>1850</v>
      </c>
      <c r="G21" s="10" t="s">
        <v>1544</v>
      </c>
      <c r="H21" s="5">
        <v>1620</v>
      </c>
      <c r="I21" s="69">
        <v>0.87567567567567572</v>
      </c>
      <c r="J21" s="5">
        <v>0</v>
      </c>
      <c r="K21" s="70">
        <v>0</v>
      </c>
      <c r="L21" s="5">
        <v>73</v>
      </c>
      <c r="M21" s="71">
        <v>3.9459459459459459E-2</v>
      </c>
      <c r="N21" s="72">
        <v>18</v>
      </c>
      <c r="O21" s="180">
        <f t="shared" si="0"/>
        <v>0.97297297297297292</v>
      </c>
      <c r="P21" s="72">
        <v>114</v>
      </c>
      <c r="Q21" s="73">
        <v>6.1621621621621624E-2</v>
      </c>
      <c r="R21" s="10">
        <v>0</v>
      </c>
      <c r="S21" s="70">
        <v>0</v>
      </c>
      <c r="T21" s="10">
        <v>25</v>
      </c>
      <c r="U21" s="74">
        <v>1.3513513513513514E-2</v>
      </c>
      <c r="V21" s="75">
        <v>8.4864864864864872E-2</v>
      </c>
      <c r="W21" s="168" t="s">
        <v>2104</v>
      </c>
    </row>
    <row r="22" spans="1:23">
      <c r="A22" s="67" t="s">
        <v>1543</v>
      </c>
      <c r="B22" s="68" t="s">
        <v>1530</v>
      </c>
      <c r="C22" s="68" t="s">
        <v>31</v>
      </c>
      <c r="D22" s="68" t="s">
        <v>1536</v>
      </c>
      <c r="E22" s="68" t="s">
        <v>22</v>
      </c>
      <c r="F22" s="5">
        <v>6544</v>
      </c>
      <c r="G22" s="10" t="s">
        <v>1537</v>
      </c>
      <c r="H22" s="5">
        <v>5372</v>
      </c>
      <c r="I22" s="69">
        <v>0.82090464547677267</v>
      </c>
      <c r="J22" s="5">
        <v>76</v>
      </c>
      <c r="K22" s="70">
        <v>1.1613691931540342E-2</v>
      </c>
      <c r="L22" s="5">
        <v>235</v>
      </c>
      <c r="M22" s="71">
        <v>3.5910757946210271E-2</v>
      </c>
      <c r="N22" s="72">
        <v>284</v>
      </c>
      <c r="O22" s="180">
        <f t="shared" si="0"/>
        <v>4.3398533007334965</v>
      </c>
      <c r="P22" s="72">
        <v>317</v>
      </c>
      <c r="Q22" s="73">
        <v>4.8441320293398531E-2</v>
      </c>
      <c r="R22" s="10">
        <v>0</v>
      </c>
      <c r="S22" s="70">
        <v>0</v>
      </c>
      <c r="T22" s="10">
        <v>260</v>
      </c>
      <c r="U22" s="74">
        <v>3.9731051344743279E-2</v>
      </c>
      <c r="V22" s="75">
        <v>0.13157090464547677</v>
      </c>
      <c r="W22" s="168" t="s">
        <v>2105</v>
      </c>
    </row>
    <row r="23" spans="1:23">
      <c r="A23" s="67" t="s">
        <v>1543</v>
      </c>
      <c r="B23" s="68" t="s">
        <v>1530</v>
      </c>
      <c r="C23" s="68" t="s">
        <v>1533</v>
      </c>
      <c r="D23" s="68" t="s">
        <v>1536</v>
      </c>
      <c r="E23" s="68" t="s">
        <v>22</v>
      </c>
      <c r="F23" s="5">
        <v>6840</v>
      </c>
      <c r="G23" s="10" t="s">
        <v>1533</v>
      </c>
      <c r="H23" s="5">
        <v>6175</v>
      </c>
      <c r="I23" s="69">
        <v>0.90277777777777779</v>
      </c>
      <c r="J23" s="5">
        <v>42</v>
      </c>
      <c r="K23" s="70">
        <v>6.1403508771929825E-3</v>
      </c>
      <c r="L23" s="5">
        <v>283</v>
      </c>
      <c r="M23" s="71">
        <v>4.1374269005847952E-2</v>
      </c>
      <c r="N23" s="72">
        <v>118</v>
      </c>
      <c r="O23" s="180">
        <f t="shared" si="0"/>
        <v>1.7251461988304093</v>
      </c>
      <c r="P23" s="72">
        <v>222</v>
      </c>
      <c r="Q23" s="73">
        <v>3.245614035087719E-2</v>
      </c>
      <c r="R23" s="10">
        <v>0</v>
      </c>
      <c r="S23" s="70">
        <v>0</v>
      </c>
      <c r="T23" s="10">
        <v>0</v>
      </c>
      <c r="U23" s="74">
        <v>0</v>
      </c>
      <c r="V23" s="75">
        <v>4.9707602339181284E-2</v>
      </c>
      <c r="W23" s="168" t="s">
        <v>2104</v>
      </c>
    </row>
    <row r="24" spans="1:23">
      <c r="A24" s="67" t="s">
        <v>1543</v>
      </c>
      <c r="B24" s="68" t="s">
        <v>1530</v>
      </c>
      <c r="C24" s="76" t="s">
        <v>29</v>
      </c>
      <c r="D24" s="68" t="s">
        <v>1534</v>
      </c>
      <c r="E24" s="68" t="s">
        <v>22</v>
      </c>
      <c r="F24" s="5">
        <v>1620</v>
      </c>
      <c r="G24" s="10" t="s">
        <v>1545</v>
      </c>
      <c r="H24" s="5">
        <v>1384</v>
      </c>
      <c r="I24" s="69">
        <v>0.85432098765432096</v>
      </c>
      <c r="J24" s="5">
        <v>0</v>
      </c>
      <c r="K24" s="70">
        <v>0</v>
      </c>
      <c r="L24" s="5">
        <v>0</v>
      </c>
      <c r="M24" s="71">
        <v>0</v>
      </c>
      <c r="N24" s="72">
        <v>20</v>
      </c>
      <c r="O24" s="180">
        <f t="shared" si="0"/>
        <v>1.2345679012345678</v>
      </c>
      <c r="P24" s="72">
        <v>9</v>
      </c>
      <c r="Q24" s="73">
        <v>5.5555555555555558E-3</v>
      </c>
      <c r="R24" s="10">
        <v>207</v>
      </c>
      <c r="S24" s="70">
        <v>0.12777777777777777</v>
      </c>
      <c r="T24" s="10">
        <v>0</v>
      </c>
      <c r="U24" s="74">
        <v>0</v>
      </c>
      <c r="V24" s="75">
        <v>0.14567901234567901</v>
      </c>
      <c r="W24" s="168" t="s">
        <v>2104</v>
      </c>
    </row>
    <row r="25" spans="1:23">
      <c r="A25" s="67" t="s">
        <v>1543</v>
      </c>
      <c r="B25" s="68" t="s">
        <v>1538</v>
      </c>
      <c r="C25" s="68" t="s">
        <v>31</v>
      </c>
      <c r="D25" s="68" t="s">
        <v>1536</v>
      </c>
      <c r="E25" s="68" t="s">
        <v>1539</v>
      </c>
      <c r="F25" s="5">
        <v>5940</v>
      </c>
      <c r="G25" s="77" t="s">
        <v>1540</v>
      </c>
      <c r="H25" s="5">
        <v>4618</v>
      </c>
      <c r="I25" s="69">
        <v>0.77744107744107749</v>
      </c>
      <c r="J25" s="5">
        <v>207</v>
      </c>
      <c r="K25" s="70">
        <v>3.4848484848484851E-2</v>
      </c>
      <c r="L25" s="5">
        <v>260</v>
      </c>
      <c r="M25" s="71">
        <v>4.3771043771043773E-2</v>
      </c>
      <c r="N25" s="72">
        <v>300</v>
      </c>
      <c r="O25" s="180">
        <f t="shared" si="0"/>
        <v>5.0505050505050502</v>
      </c>
      <c r="P25" s="72">
        <v>313</v>
      </c>
      <c r="Q25" s="73">
        <v>5.2693602693602695E-2</v>
      </c>
      <c r="R25" s="10">
        <v>0</v>
      </c>
      <c r="S25" s="70">
        <v>0</v>
      </c>
      <c r="T25" s="10">
        <v>242</v>
      </c>
      <c r="U25" s="74">
        <v>4.0740740740740744E-2</v>
      </c>
      <c r="V25" s="75">
        <v>0.14393939393939395</v>
      </c>
      <c r="W25" s="168" t="s">
        <v>1195</v>
      </c>
    </row>
    <row r="26" spans="1:23">
      <c r="A26" s="67" t="s">
        <v>1546</v>
      </c>
      <c r="B26" s="68" t="s">
        <v>1530</v>
      </c>
      <c r="C26" s="68" t="s">
        <v>1533</v>
      </c>
      <c r="D26" s="68" t="s">
        <v>1531</v>
      </c>
      <c r="E26" s="68" t="s">
        <v>22</v>
      </c>
      <c r="F26" s="5">
        <v>8820</v>
      </c>
      <c r="G26" s="10" t="s">
        <v>1533</v>
      </c>
      <c r="H26" s="5">
        <v>4313</v>
      </c>
      <c r="I26" s="69">
        <v>0.48900226757369614</v>
      </c>
      <c r="J26" s="5">
        <v>4016</v>
      </c>
      <c r="K26" s="70">
        <v>0.45532879818594102</v>
      </c>
      <c r="L26" s="5">
        <v>0</v>
      </c>
      <c r="M26" s="71">
        <v>0</v>
      </c>
      <c r="N26" s="78">
        <v>53</v>
      </c>
      <c r="O26" s="180">
        <f t="shared" si="0"/>
        <v>0.60090702947845809</v>
      </c>
      <c r="P26" s="78">
        <v>438</v>
      </c>
      <c r="Q26" s="73">
        <v>4.9659863945578232E-2</v>
      </c>
      <c r="R26" s="10">
        <v>0</v>
      </c>
      <c r="S26" s="70">
        <v>0</v>
      </c>
      <c r="T26" s="10">
        <v>0</v>
      </c>
      <c r="U26" s="74">
        <v>0</v>
      </c>
      <c r="V26" s="75">
        <v>5.5668934240362816E-2</v>
      </c>
      <c r="W26" s="168" t="s">
        <v>2104</v>
      </c>
    </row>
    <row r="27" spans="1:23">
      <c r="A27" s="67" t="s">
        <v>1546</v>
      </c>
      <c r="B27" s="68" t="s">
        <v>1530</v>
      </c>
      <c r="C27" s="76" t="s">
        <v>29</v>
      </c>
      <c r="D27" s="68" t="s">
        <v>1534</v>
      </c>
      <c r="E27" s="68" t="s">
        <v>22</v>
      </c>
      <c r="F27" s="5">
        <v>720</v>
      </c>
      <c r="G27" s="10" t="s">
        <v>1545</v>
      </c>
      <c r="H27" s="5">
        <v>630</v>
      </c>
      <c r="I27" s="69">
        <v>0.875</v>
      </c>
      <c r="J27" s="5">
        <v>0</v>
      </c>
      <c r="K27" s="70">
        <v>0</v>
      </c>
      <c r="L27" s="5">
        <v>0</v>
      </c>
      <c r="M27" s="71">
        <v>0</v>
      </c>
      <c r="N27" s="72">
        <v>7</v>
      </c>
      <c r="O27" s="180">
        <f t="shared" si="0"/>
        <v>0.97222222222222221</v>
      </c>
      <c r="P27" s="72">
        <v>83</v>
      </c>
      <c r="Q27" s="73">
        <v>0.11527777777777778</v>
      </c>
      <c r="R27" s="10">
        <v>0</v>
      </c>
      <c r="S27" s="70">
        <v>0</v>
      </c>
      <c r="T27" s="10">
        <v>0</v>
      </c>
      <c r="U27" s="74">
        <v>0</v>
      </c>
      <c r="V27" s="75">
        <v>0.125</v>
      </c>
      <c r="W27" s="168" t="s">
        <v>2104</v>
      </c>
    </row>
    <row r="28" spans="1:23">
      <c r="A28" s="67" t="s">
        <v>1546</v>
      </c>
      <c r="B28" s="68" t="s">
        <v>1530</v>
      </c>
      <c r="C28" s="68" t="s">
        <v>24</v>
      </c>
      <c r="D28" s="68" t="s">
        <v>1536</v>
      </c>
      <c r="E28" s="68" t="s">
        <v>22</v>
      </c>
      <c r="F28" s="5">
        <v>1490</v>
      </c>
      <c r="G28" s="10" t="s">
        <v>1532</v>
      </c>
      <c r="H28" s="5">
        <v>1207</v>
      </c>
      <c r="I28" s="69">
        <v>0.81006711409395971</v>
      </c>
      <c r="J28" s="5">
        <v>20</v>
      </c>
      <c r="K28" s="70">
        <v>1.3422818791946308E-2</v>
      </c>
      <c r="L28" s="5">
        <v>195</v>
      </c>
      <c r="M28" s="71">
        <v>0.13087248322147652</v>
      </c>
      <c r="N28" s="72">
        <v>52</v>
      </c>
      <c r="O28" s="180">
        <f t="shared" si="0"/>
        <v>3.4899328859060401</v>
      </c>
      <c r="P28" s="72">
        <v>16</v>
      </c>
      <c r="Q28" s="73">
        <v>1.0738255033557046E-2</v>
      </c>
      <c r="R28" s="5">
        <v>0</v>
      </c>
      <c r="S28" s="70">
        <v>0</v>
      </c>
      <c r="T28" s="10">
        <v>0</v>
      </c>
      <c r="U28" s="74">
        <v>0</v>
      </c>
      <c r="V28" s="75">
        <v>4.5637583892617448E-2</v>
      </c>
      <c r="W28" s="168" t="s">
        <v>2104</v>
      </c>
    </row>
    <row r="29" spans="1:23">
      <c r="A29" s="67" t="s">
        <v>1546</v>
      </c>
      <c r="B29" s="68" t="s">
        <v>1530</v>
      </c>
      <c r="C29" s="76" t="s">
        <v>27</v>
      </c>
      <c r="D29" s="68" t="s">
        <v>1534</v>
      </c>
      <c r="E29" s="68" t="s">
        <v>22</v>
      </c>
      <c r="F29" s="5">
        <v>4389</v>
      </c>
      <c r="G29" s="10" t="s">
        <v>1535</v>
      </c>
      <c r="H29" s="5">
        <v>4062</v>
      </c>
      <c r="I29" s="69">
        <v>0.92549555707450448</v>
      </c>
      <c r="J29" s="5">
        <v>37</v>
      </c>
      <c r="K29" s="70">
        <v>8.4301663249031662E-3</v>
      </c>
      <c r="L29" s="5">
        <v>37</v>
      </c>
      <c r="M29" s="71">
        <v>8.4301663249031662E-3</v>
      </c>
      <c r="N29" s="72">
        <v>29</v>
      </c>
      <c r="O29" s="180">
        <f t="shared" si="0"/>
        <v>0.66074276600592385</v>
      </c>
      <c r="P29" s="72">
        <v>0</v>
      </c>
      <c r="Q29" s="73">
        <v>0</v>
      </c>
      <c r="R29" s="10">
        <v>0</v>
      </c>
      <c r="S29" s="70">
        <v>0</v>
      </c>
      <c r="T29" s="10">
        <v>224</v>
      </c>
      <c r="U29" s="74">
        <v>5.1036682615629984E-2</v>
      </c>
      <c r="V29" s="75">
        <v>5.764411027568922E-2</v>
      </c>
      <c r="W29" s="168" t="s">
        <v>2104</v>
      </c>
    </row>
    <row r="30" spans="1:23">
      <c r="A30" s="67" t="s">
        <v>1546</v>
      </c>
      <c r="B30" s="68" t="s">
        <v>1530</v>
      </c>
      <c r="C30" s="68" t="s">
        <v>31</v>
      </c>
      <c r="D30" s="68" t="s">
        <v>1536</v>
      </c>
      <c r="E30" s="68" t="s">
        <v>22</v>
      </c>
      <c r="F30" s="5">
        <v>3701</v>
      </c>
      <c r="G30" s="10" t="s">
        <v>1537</v>
      </c>
      <c r="H30" s="5">
        <v>1110</v>
      </c>
      <c r="I30" s="69">
        <v>0.29991894082680359</v>
      </c>
      <c r="J30" s="5">
        <v>772</v>
      </c>
      <c r="K30" s="70">
        <v>0.20859227235882194</v>
      </c>
      <c r="L30" s="5">
        <v>648</v>
      </c>
      <c r="M30" s="71">
        <v>0.17508781410429614</v>
      </c>
      <c r="N30" s="72">
        <v>700</v>
      </c>
      <c r="O30" s="180">
        <f t="shared" si="0"/>
        <v>18.913807079167793</v>
      </c>
      <c r="P30" s="72">
        <v>115</v>
      </c>
      <c r="Q30" s="73">
        <v>3.10726830586328E-2</v>
      </c>
      <c r="R30" s="10">
        <v>356</v>
      </c>
      <c r="S30" s="70">
        <v>9.6190218859767626E-2</v>
      </c>
      <c r="T30" s="10">
        <v>0</v>
      </c>
      <c r="U30" s="74">
        <v>0</v>
      </c>
      <c r="V30" s="75">
        <v>0.31640097271007839</v>
      </c>
      <c r="W30" s="168" t="s">
        <v>2104</v>
      </c>
    </row>
    <row r="31" spans="1:23">
      <c r="A31" s="67" t="s">
        <v>1546</v>
      </c>
      <c r="B31" s="68" t="s">
        <v>1530</v>
      </c>
      <c r="C31" s="68" t="s">
        <v>1533</v>
      </c>
      <c r="D31" s="68" t="s">
        <v>1536</v>
      </c>
      <c r="E31" s="68" t="s">
        <v>22</v>
      </c>
      <c r="F31" s="5">
        <v>6560</v>
      </c>
      <c r="G31" s="10" t="s">
        <v>1533</v>
      </c>
      <c r="H31" s="5">
        <v>5595</v>
      </c>
      <c r="I31" s="69">
        <v>0.85289634146341464</v>
      </c>
      <c r="J31" s="5">
        <v>107</v>
      </c>
      <c r="K31" s="70">
        <v>1.6310975609756098E-2</v>
      </c>
      <c r="L31" s="5">
        <v>603</v>
      </c>
      <c r="M31" s="71">
        <v>9.1920731707317072E-2</v>
      </c>
      <c r="N31" s="72">
        <v>113</v>
      </c>
      <c r="O31" s="180">
        <f t="shared" si="0"/>
        <v>1.7225609756097562</v>
      </c>
      <c r="P31" s="72">
        <v>142</v>
      </c>
      <c r="Q31" s="73">
        <v>2.1646341463414633E-2</v>
      </c>
      <c r="R31" s="10">
        <v>0</v>
      </c>
      <c r="S31" s="70">
        <v>0</v>
      </c>
      <c r="T31" s="10">
        <v>0</v>
      </c>
      <c r="U31" s="74">
        <v>0</v>
      </c>
      <c r="V31" s="75">
        <v>3.8871951219512195E-2</v>
      </c>
      <c r="W31" s="168" t="s">
        <v>2104</v>
      </c>
    </row>
    <row r="32" spans="1:23">
      <c r="A32" s="67" t="s">
        <v>1546</v>
      </c>
      <c r="B32" s="68" t="s">
        <v>1538</v>
      </c>
      <c r="C32" s="68" t="s">
        <v>31</v>
      </c>
      <c r="D32" s="68" t="s">
        <v>1536</v>
      </c>
      <c r="E32" s="68" t="s">
        <v>1539</v>
      </c>
      <c r="F32" s="5">
        <v>3135</v>
      </c>
      <c r="G32" s="77" t="s">
        <v>1540</v>
      </c>
      <c r="H32" s="5">
        <v>2280</v>
      </c>
      <c r="I32" s="69">
        <v>0.72727272727272729</v>
      </c>
      <c r="J32" s="5">
        <v>363</v>
      </c>
      <c r="K32" s="70">
        <v>0.11578947368421053</v>
      </c>
      <c r="L32" s="5">
        <v>118</v>
      </c>
      <c r="M32" s="71">
        <v>3.7639553429027112E-2</v>
      </c>
      <c r="N32" s="72">
        <v>125</v>
      </c>
      <c r="O32" s="180">
        <f t="shared" si="0"/>
        <v>3.9872408293460926</v>
      </c>
      <c r="P32" s="72">
        <v>126</v>
      </c>
      <c r="Q32" s="73">
        <v>4.0191387559808611E-2</v>
      </c>
      <c r="R32" s="10">
        <v>0</v>
      </c>
      <c r="S32" s="70">
        <v>0</v>
      </c>
      <c r="T32" s="10">
        <v>123</v>
      </c>
      <c r="U32" s="74">
        <v>3.9234449760765552E-2</v>
      </c>
      <c r="V32" s="75">
        <v>0.11929824561403508</v>
      </c>
      <c r="W32" s="168" t="s">
        <v>1195</v>
      </c>
    </row>
    <row r="33" spans="1:23">
      <c r="A33" s="67" t="s">
        <v>1547</v>
      </c>
      <c r="B33" s="68" t="s">
        <v>1530</v>
      </c>
      <c r="C33" s="68" t="s">
        <v>1533</v>
      </c>
      <c r="D33" s="68" t="s">
        <v>1531</v>
      </c>
      <c r="E33" s="68" t="s">
        <v>22</v>
      </c>
      <c r="F33" s="5">
        <v>9413</v>
      </c>
      <c r="G33" s="10" t="s">
        <v>1533</v>
      </c>
      <c r="H33" s="5">
        <v>1940</v>
      </c>
      <c r="I33" s="69">
        <v>0.20609794964410921</v>
      </c>
      <c r="J33" s="5">
        <v>3724</v>
      </c>
      <c r="K33" s="70">
        <v>0.3956230744714756</v>
      </c>
      <c r="L33" s="5">
        <v>3197</v>
      </c>
      <c r="M33" s="71">
        <v>0.33963667268670988</v>
      </c>
      <c r="N33" s="72">
        <v>54</v>
      </c>
      <c r="O33" s="180">
        <f t="shared" si="0"/>
        <v>0.57367470519494312</v>
      </c>
      <c r="P33" s="72">
        <v>498</v>
      </c>
      <c r="Q33" s="73">
        <v>5.2905556145755872E-2</v>
      </c>
      <c r="R33" s="10">
        <v>0</v>
      </c>
      <c r="S33" s="70">
        <v>0</v>
      </c>
      <c r="T33" s="10">
        <v>0</v>
      </c>
      <c r="U33" s="74">
        <v>0</v>
      </c>
      <c r="V33" s="75">
        <v>5.8642303197705303E-2</v>
      </c>
      <c r="W33" s="168" t="s">
        <v>2104</v>
      </c>
    </row>
    <row r="34" spans="1:23">
      <c r="A34" s="67" t="s">
        <v>1547</v>
      </c>
      <c r="B34" s="68" t="s">
        <v>1530</v>
      </c>
      <c r="C34" s="76" t="s">
        <v>27</v>
      </c>
      <c r="D34" s="68" t="s">
        <v>1534</v>
      </c>
      <c r="E34" s="68" t="s">
        <v>22</v>
      </c>
      <c r="F34" s="5">
        <v>8030</v>
      </c>
      <c r="G34" s="10" t="s">
        <v>1535</v>
      </c>
      <c r="H34" s="5">
        <v>6566</v>
      </c>
      <c r="I34" s="69">
        <v>0.81768368617683684</v>
      </c>
      <c r="J34" s="5">
        <v>143</v>
      </c>
      <c r="K34" s="70">
        <v>1.7808219178082191E-2</v>
      </c>
      <c r="L34" s="5">
        <v>169</v>
      </c>
      <c r="M34" s="71">
        <v>2.1046077210460774E-2</v>
      </c>
      <c r="N34" s="72">
        <v>198</v>
      </c>
      <c r="O34" s="180">
        <f t="shared" si="0"/>
        <v>2.4657534246575343</v>
      </c>
      <c r="P34" s="72">
        <v>552</v>
      </c>
      <c r="Q34" s="73">
        <v>6.874221668742217E-2</v>
      </c>
      <c r="R34" s="10">
        <v>0</v>
      </c>
      <c r="S34" s="70">
        <v>0</v>
      </c>
      <c r="T34" s="10">
        <v>402</v>
      </c>
      <c r="U34" s="74">
        <v>5.0062266500622662E-2</v>
      </c>
      <c r="V34" s="75">
        <v>0.14346201743462017</v>
      </c>
      <c r="W34" s="168" t="s">
        <v>2104</v>
      </c>
    </row>
    <row r="35" spans="1:23">
      <c r="A35" s="67" t="s">
        <v>1547</v>
      </c>
      <c r="B35" s="68" t="s">
        <v>1530</v>
      </c>
      <c r="C35" s="68" t="s">
        <v>24</v>
      </c>
      <c r="D35" s="68" t="s">
        <v>1534</v>
      </c>
      <c r="E35" s="68" t="s">
        <v>22</v>
      </c>
      <c r="F35" s="5">
        <v>2900</v>
      </c>
      <c r="G35" s="10" t="s">
        <v>1532</v>
      </c>
      <c r="H35" s="5">
        <v>2434</v>
      </c>
      <c r="I35" s="69">
        <v>0.83931034482758615</v>
      </c>
      <c r="J35" s="5">
        <v>113</v>
      </c>
      <c r="K35" s="70">
        <v>3.896551724137931E-2</v>
      </c>
      <c r="L35" s="5">
        <v>111</v>
      </c>
      <c r="M35" s="71">
        <v>3.8275862068965515E-2</v>
      </c>
      <c r="N35" s="72">
        <v>60</v>
      </c>
      <c r="O35" s="180">
        <f t="shared" si="0"/>
        <v>2.0689655172413794</v>
      </c>
      <c r="P35" s="72">
        <v>139</v>
      </c>
      <c r="Q35" s="73">
        <v>4.7931034482758622E-2</v>
      </c>
      <c r="R35" s="10">
        <v>0</v>
      </c>
      <c r="S35" s="70">
        <v>0</v>
      </c>
      <c r="T35" s="10">
        <v>43</v>
      </c>
      <c r="U35" s="74">
        <v>1.4827586206896552E-2</v>
      </c>
      <c r="V35" s="75">
        <v>8.344827586206896E-2</v>
      </c>
      <c r="W35" s="168" t="s">
        <v>2104</v>
      </c>
    </row>
    <row r="36" spans="1:23">
      <c r="A36" s="67" t="s">
        <v>1547</v>
      </c>
      <c r="B36" s="68" t="s">
        <v>1530</v>
      </c>
      <c r="C36" s="68" t="s">
        <v>1533</v>
      </c>
      <c r="D36" s="68" t="s">
        <v>1536</v>
      </c>
      <c r="E36" s="68" t="s">
        <v>22</v>
      </c>
      <c r="F36" s="5">
        <v>7108</v>
      </c>
      <c r="G36" s="10" t="s">
        <v>1533</v>
      </c>
      <c r="H36" s="5">
        <v>5815</v>
      </c>
      <c r="I36" s="69">
        <v>0.81809229037704001</v>
      </c>
      <c r="J36" s="10">
        <v>42</v>
      </c>
      <c r="K36" s="70">
        <v>5.9088351153629712E-3</v>
      </c>
      <c r="L36" s="5">
        <v>975</v>
      </c>
      <c r="M36" s="71">
        <v>0.13716938660664041</v>
      </c>
      <c r="N36" s="78">
        <v>162</v>
      </c>
      <c r="O36" s="180">
        <f t="shared" si="0"/>
        <v>2.2791221159257176</v>
      </c>
      <c r="P36" s="72">
        <v>114</v>
      </c>
      <c r="Q36" s="73">
        <v>1.6038266741699492E-2</v>
      </c>
      <c r="R36" s="10">
        <v>0</v>
      </c>
      <c r="S36" s="70">
        <v>0</v>
      </c>
      <c r="T36" s="10">
        <v>0</v>
      </c>
      <c r="U36" s="74">
        <v>0</v>
      </c>
      <c r="V36" s="75">
        <v>3.8829487900956666E-2</v>
      </c>
      <c r="W36" s="168" t="s">
        <v>2104</v>
      </c>
    </row>
    <row r="37" spans="1:23">
      <c r="A37" s="67" t="s">
        <v>1547</v>
      </c>
      <c r="B37" s="68" t="s">
        <v>1530</v>
      </c>
      <c r="C37" s="68" t="s">
        <v>31</v>
      </c>
      <c r="D37" s="68" t="s">
        <v>1536</v>
      </c>
      <c r="E37" s="68" t="s">
        <v>22</v>
      </c>
      <c r="F37" s="5">
        <v>183</v>
      </c>
      <c r="G37" s="10" t="s">
        <v>1537</v>
      </c>
      <c r="H37" s="5">
        <v>92</v>
      </c>
      <c r="I37" s="69">
        <v>0.50273224043715847</v>
      </c>
      <c r="J37" s="10">
        <v>18</v>
      </c>
      <c r="K37" s="70">
        <v>9.8360655737704916E-2</v>
      </c>
      <c r="L37" s="5">
        <v>34</v>
      </c>
      <c r="M37" s="71">
        <v>0.18579234972677597</v>
      </c>
      <c r="N37" s="72">
        <v>10</v>
      </c>
      <c r="O37" s="180">
        <f t="shared" si="0"/>
        <v>5.4644808743169397</v>
      </c>
      <c r="P37" s="72">
        <v>6</v>
      </c>
      <c r="Q37" s="73">
        <v>3.2786885245901641E-2</v>
      </c>
      <c r="R37" s="10">
        <v>4</v>
      </c>
      <c r="S37" s="70">
        <v>2.185792349726776E-2</v>
      </c>
      <c r="T37" s="10">
        <v>19</v>
      </c>
      <c r="U37" s="74">
        <v>0.10382513661202186</v>
      </c>
      <c r="V37" s="75">
        <v>0.21311475409836067</v>
      </c>
      <c r="W37" s="168" t="s">
        <v>2104</v>
      </c>
    </row>
    <row r="38" spans="1:23">
      <c r="A38" s="67" t="s">
        <v>1548</v>
      </c>
      <c r="B38" s="68" t="s">
        <v>1530</v>
      </c>
      <c r="C38" s="68" t="s">
        <v>1533</v>
      </c>
      <c r="D38" s="68" t="s">
        <v>1531</v>
      </c>
      <c r="E38" s="68" t="s">
        <v>22</v>
      </c>
      <c r="F38" s="5">
        <v>9009</v>
      </c>
      <c r="G38" s="10" t="s">
        <v>1533</v>
      </c>
      <c r="H38" s="5">
        <v>1459</v>
      </c>
      <c r="I38" s="69">
        <v>0.16194916194916195</v>
      </c>
      <c r="J38" s="5">
        <v>3519</v>
      </c>
      <c r="K38" s="70">
        <v>0.39060939060939059</v>
      </c>
      <c r="L38" s="5">
        <v>3535</v>
      </c>
      <c r="M38" s="71">
        <v>0.39238539238539238</v>
      </c>
      <c r="N38" s="72">
        <v>55</v>
      </c>
      <c r="O38" s="180">
        <f t="shared" si="0"/>
        <v>0.61050061050061055</v>
      </c>
      <c r="P38" s="72">
        <v>441</v>
      </c>
      <c r="Q38" s="73">
        <v>4.8951048951048952E-2</v>
      </c>
      <c r="R38" s="10">
        <v>0</v>
      </c>
      <c r="S38" s="70">
        <v>0</v>
      </c>
      <c r="T38" s="5">
        <v>0</v>
      </c>
      <c r="U38" s="74">
        <v>0</v>
      </c>
      <c r="V38" s="75">
        <v>5.5056055056055056E-2</v>
      </c>
      <c r="W38" s="168" t="s">
        <v>2104</v>
      </c>
    </row>
    <row r="39" spans="1:23">
      <c r="A39" s="67" t="s">
        <v>1548</v>
      </c>
      <c r="B39" s="68" t="s">
        <v>1549</v>
      </c>
      <c r="C39" s="76" t="s">
        <v>29</v>
      </c>
      <c r="D39" s="68" t="s">
        <v>1550</v>
      </c>
      <c r="E39" s="68" t="s">
        <v>22</v>
      </c>
      <c r="F39" s="5">
        <v>18646</v>
      </c>
      <c r="G39" s="10" t="s">
        <v>1551</v>
      </c>
      <c r="H39" s="5">
        <v>18190</v>
      </c>
      <c r="I39" s="69">
        <v>0.97554435267617723</v>
      </c>
      <c r="J39" s="5">
        <v>0</v>
      </c>
      <c r="K39" s="70">
        <v>0</v>
      </c>
      <c r="L39" s="5">
        <v>0</v>
      </c>
      <c r="M39" s="71">
        <v>0</v>
      </c>
      <c r="N39" s="72">
        <v>0</v>
      </c>
      <c r="O39" s="180">
        <f t="shared" si="0"/>
        <v>0</v>
      </c>
      <c r="P39" s="72">
        <v>456</v>
      </c>
      <c r="Q39" s="73">
        <v>2.4455647323822802E-2</v>
      </c>
      <c r="R39" s="5">
        <v>0</v>
      </c>
      <c r="S39" s="70">
        <v>0</v>
      </c>
      <c r="T39" s="5">
        <v>0</v>
      </c>
      <c r="U39" s="74">
        <v>0</v>
      </c>
      <c r="V39" s="75">
        <v>2.4455647323822802E-2</v>
      </c>
      <c r="W39" s="168" t="s">
        <v>2104</v>
      </c>
    </row>
    <row r="40" spans="1:23">
      <c r="A40" s="67" t="s">
        <v>1548</v>
      </c>
      <c r="B40" s="68" t="s">
        <v>1530</v>
      </c>
      <c r="C40" s="68" t="s">
        <v>24</v>
      </c>
      <c r="D40" s="68" t="s">
        <v>1536</v>
      </c>
      <c r="E40" s="68" t="s">
        <v>22</v>
      </c>
      <c r="F40" s="5">
        <v>990</v>
      </c>
      <c r="G40" s="10" t="s">
        <v>1532</v>
      </c>
      <c r="H40" s="5">
        <v>852</v>
      </c>
      <c r="I40" s="69">
        <v>0.8606060606060606</v>
      </c>
      <c r="J40" s="5">
        <v>30</v>
      </c>
      <c r="K40" s="70">
        <v>3.0303030303030304E-2</v>
      </c>
      <c r="L40" s="5">
        <v>40</v>
      </c>
      <c r="M40" s="71">
        <v>4.0404040404040407E-2</v>
      </c>
      <c r="N40" s="72">
        <v>20</v>
      </c>
      <c r="O40" s="180">
        <f t="shared" si="0"/>
        <v>2.0202020202020203</v>
      </c>
      <c r="P40" s="72">
        <v>48</v>
      </c>
      <c r="Q40" s="73">
        <v>4.8484848484848485E-2</v>
      </c>
      <c r="R40" s="10">
        <v>0</v>
      </c>
      <c r="S40" s="70">
        <v>0</v>
      </c>
      <c r="T40" s="10">
        <v>0</v>
      </c>
      <c r="U40" s="74">
        <v>0</v>
      </c>
      <c r="V40" s="75">
        <v>6.8686868686868685E-2</v>
      </c>
      <c r="W40" s="168" t="s">
        <v>2104</v>
      </c>
    </row>
    <row r="41" spans="1:23">
      <c r="A41" s="67" t="s">
        <v>1548</v>
      </c>
      <c r="B41" s="68" t="s">
        <v>1530</v>
      </c>
      <c r="C41" s="68" t="s">
        <v>24</v>
      </c>
      <c r="D41" s="68" t="s">
        <v>1536</v>
      </c>
      <c r="E41" s="68" t="s">
        <v>1539</v>
      </c>
      <c r="F41" s="5">
        <v>2780</v>
      </c>
      <c r="G41" s="10" t="s">
        <v>1532</v>
      </c>
      <c r="H41" s="5">
        <v>2516</v>
      </c>
      <c r="I41" s="69">
        <v>0.9050359712230216</v>
      </c>
      <c r="J41" s="5">
        <v>70</v>
      </c>
      <c r="K41" s="70">
        <v>2.5179856115107913E-2</v>
      </c>
      <c r="L41" s="5">
        <v>64</v>
      </c>
      <c r="M41" s="71">
        <v>2.302158273381295E-2</v>
      </c>
      <c r="N41" s="72">
        <v>50</v>
      </c>
      <c r="O41" s="180">
        <f t="shared" si="0"/>
        <v>1.7985611510791366</v>
      </c>
      <c r="P41" s="72">
        <v>60</v>
      </c>
      <c r="Q41" s="73">
        <v>2.1582733812949641E-2</v>
      </c>
      <c r="R41" s="10">
        <v>0</v>
      </c>
      <c r="S41" s="70">
        <v>0</v>
      </c>
      <c r="T41" s="10">
        <v>20</v>
      </c>
      <c r="U41" s="74">
        <v>7.1942446043165471E-3</v>
      </c>
      <c r="V41" s="75">
        <v>4.6762589928057555E-2</v>
      </c>
      <c r="W41" s="168" t="s">
        <v>2104</v>
      </c>
    </row>
    <row r="42" spans="1:23">
      <c r="A42" s="67" t="s">
        <v>1548</v>
      </c>
      <c r="B42" s="68" t="s">
        <v>1538</v>
      </c>
      <c r="C42" s="76" t="s">
        <v>29</v>
      </c>
      <c r="D42" s="68" t="s">
        <v>1536</v>
      </c>
      <c r="E42" s="68" t="s">
        <v>1552</v>
      </c>
      <c r="F42" s="5">
        <v>6080</v>
      </c>
      <c r="G42" s="10" t="s">
        <v>1551</v>
      </c>
      <c r="H42" s="5">
        <v>5760</v>
      </c>
      <c r="I42" s="69">
        <v>0.94736842105263153</v>
      </c>
      <c r="J42" s="5">
        <v>0</v>
      </c>
      <c r="K42" s="70">
        <v>0</v>
      </c>
      <c r="L42" s="5">
        <v>238</v>
      </c>
      <c r="M42" s="71">
        <v>3.914473684210526E-2</v>
      </c>
      <c r="N42" s="72">
        <v>82</v>
      </c>
      <c r="O42" s="180">
        <f t="shared" si="0"/>
        <v>1.3486842105263159</v>
      </c>
      <c r="P42" s="72">
        <v>0</v>
      </c>
      <c r="Q42" s="73">
        <v>0</v>
      </c>
      <c r="R42" s="10">
        <v>0</v>
      </c>
      <c r="S42" s="70">
        <v>0</v>
      </c>
      <c r="T42" s="10">
        <v>0</v>
      </c>
      <c r="U42" s="74">
        <v>0</v>
      </c>
      <c r="V42" s="75">
        <v>1.3486842105263158E-2</v>
      </c>
      <c r="W42" s="168" t="s">
        <v>2104</v>
      </c>
    </row>
    <row r="43" spans="1:23">
      <c r="A43" s="67" t="s">
        <v>1553</v>
      </c>
      <c r="B43" s="68" t="s">
        <v>1530</v>
      </c>
      <c r="C43" s="68" t="s">
        <v>1533</v>
      </c>
      <c r="D43" s="68" t="s">
        <v>1531</v>
      </c>
      <c r="E43" s="68" t="s">
        <v>22</v>
      </c>
      <c r="F43" s="5">
        <v>9098</v>
      </c>
      <c r="G43" s="10" t="s">
        <v>1533</v>
      </c>
      <c r="H43" s="5">
        <v>1348</v>
      </c>
      <c r="I43" s="69">
        <v>0.14816443174324026</v>
      </c>
      <c r="J43" s="5">
        <v>3077</v>
      </c>
      <c r="K43" s="70">
        <v>0.33820619916465156</v>
      </c>
      <c r="L43" s="5">
        <v>4187</v>
      </c>
      <c r="M43" s="71">
        <v>0.46021103539239394</v>
      </c>
      <c r="N43" s="72">
        <v>54</v>
      </c>
      <c r="O43" s="180">
        <f t="shared" si="0"/>
        <v>0.59353704110793581</v>
      </c>
      <c r="P43" s="72">
        <v>432</v>
      </c>
      <c r="Q43" s="73">
        <v>4.7482963288634862E-2</v>
      </c>
      <c r="R43" s="10">
        <v>0</v>
      </c>
      <c r="S43" s="70">
        <v>0</v>
      </c>
      <c r="T43" s="5">
        <v>0</v>
      </c>
      <c r="U43" s="74">
        <v>0</v>
      </c>
      <c r="V43" s="75">
        <v>5.3418333699714222E-2</v>
      </c>
      <c r="W43" s="168" t="s">
        <v>2104</v>
      </c>
    </row>
    <row r="44" spans="1:23">
      <c r="A44" s="67" t="s">
        <v>1553</v>
      </c>
      <c r="B44" s="68" t="s">
        <v>1530</v>
      </c>
      <c r="C44" s="76" t="s">
        <v>27</v>
      </c>
      <c r="D44" s="68" t="s">
        <v>1534</v>
      </c>
      <c r="E44" s="68" t="s">
        <v>22</v>
      </c>
      <c r="F44" s="5">
        <v>6400</v>
      </c>
      <c r="G44" s="10" t="s">
        <v>1554</v>
      </c>
      <c r="H44" s="5">
        <v>5593</v>
      </c>
      <c r="I44" s="69">
        <v>0.87390625</v>
      </c>
      <c r="J44" s="5">
        <v>227</v>
      </c>
      <c r="K44" s="70">
        <v>3.546875E-2</v>
      </c>
      <c r="L44" s="5">
        <v>179</v>
      </c>
      <c r="M44" s="71">
        <v>2.7968750000000001E-2</v>
      </c>
      <c r="N44" s="72">
        <v>80</v>
      </c>
      <c r="O44" s="180">
        <f t="shared" si="0"/>
        <v>1.25</v>
      </c>
      <c r="P44" s="72">
        <v>144</v>
      </c>
      <c r="Q44" s="73">
        <v>2.2499999999999999E-2</v>
      </c>
      <c r="R44" s="10">
        <v>0</v>
      </c>
      <c r="S44" s="70">
        <v>0</v>
      </c>
      <c r="T44" s="10">
        <v>177</v>
      </c>
      <c r="U44" s="74">
        <v>2.765625E-2</v>
      </c>
      <c r="V44" s="75">
        <v>6.2656249999999997E-2</v>
      </c>
      <c r="W44" s="168" t="s">
        <v>2104</v>
      </c>
    </row>
    <row r="45" spans="1:23">
      <c r="A45" s="67" t="s">
        <v>1553</v>
      </c>
      <c r="B45" s="68" t="s">
        <v>1530</v>
      </c>
      <c r="C45" s="76" t="s">
        <v>27</v>
      </c>
      <c r="D45" s="68" t="s">
        <v>1534</v>
      </c>
      <c r="E45" s="68" t="s">
        <v>22</v>
      </c>
      <c r="F45" s="5">
        <v>2503</v>
      </c>
      <c r="G45" s="10" t="s">
        <v>1535</v>
      </c>
      <c r="H45" s="5">
        <v>1638</v>
      </c>
      <c r="I45" s="69">
        <v>0.65441470235717136</v>
      </c>
      <c r="J45" s="5">
        <v>101</v>
      </c>
      <c r="K45" s="70">
        <v>4.0351578106272476E-2</v>
      </c>
      <c r="L45" s="5">
        <v>220</v>
      </c>
      <c r="M45" s="71">
        <v>8.7894526568118261E-2</v>
      </c>
      <c r="N45" s="72">
        <v>200</v>
      </c>
      <c r="O45" s="180">
        <f t="shared" si="0"/>
        <v>7.9904115061925687</v>
      </c>
      <c r="P45" s="72">
        <v>92</v>
      </c>
      <c r="Q45" s="73">
        <v>3.6755892928485814E-2</v>
      </c>
      <c r="R45" s="10">
        <v>0</v>
      </c>
      <c r="S45" s="70">
        <v>0</v>
      </c>
      <c r="T45" s="10">
        <v>252</v>
      </c>
      <c r="U45" s="74">
        <v>0.10067918497802637</v>
      </c>
      <c r="V45" s="75">
        <v>0.21733919296843787</v>
      </c>
      <c r="W45" s="168" t="s">
        <v>2104</v>
      </c>
    </row>
    <row r="46" spans="1:23">
      <c r="A46" s="67" t="s">
        <v>1553</v>
      </c>
      <c r="B46" s="68" t="s">
        <v>1530</v>
      </c>
      <c r="C46" s="76" t="s">
        <v>27</v>
      </c>
      <c r="D46" s="68" t="s">
        <v>1536</v>
      </c>
      <c r="E46" s="68" t="s">
        <v>22</v>
      </c>
      <c r="F46" s="5">
        <v>1896</v>
      </c>
      <c r="G46" s="10" t="s">
        <v>1554</v>
      </c>
      <c r="H46" s="5">
        <v>1181</v>
      </c>
      <c r="I46" s="69">
        <v>0.62289029535864981</v>
      </c>
      <c r="J46" s="5">
        <v>251</v>
      </c>
      <c r="K46" s="70">
        <v>0.13238396624472573</v>
      </c>
      <c r="L46" s="5">
        <v>130</v>
      </c>
      <c r="M46" s="71">
        <v>6.8565400843881852E-2</v>
      </c>
      <c r="N46" s="72">
        <v>100</v>
      </c>
      <c r="O46" s="180">
        <f t="shared" si="0"/>
        <v>5.2742616033755274</v>
      </c>
      <c r="P46" s="72">
        <v>54</v>
      </c>
      <c r="Q46" s="73">
        <v>2.8481012658227847E-2</v>
      </c>
      <c r="R46" s="10">
        <v>180</v>
      </c>
      <c r="S46" s="70">
        <v>9.49367088607595E-2</v>
      </c>
      <c r="T46" s="10">
        <v>0</v>
      </c>
      <c r="U46" s="74">
        <v>0</v>
      </c>
      <c r="V46" s="75">
        <v>0.17616033755274263</v>
      </c>
      <c r="W46" s="168" t="s">
        <v>2104</v>
      </c>
    </row>
    <row r="47" spans="1:23">
      <c r="A47" s="67" t="s">
        <v>1553</v>
      </c>
      <c r="B47" s="68" t="s">
        <v>1530</v>
      </c>
      <c r="C47" s="68" t="s">
        <v>31</v>
      </c>
      <c r="D47" s="68" t="s">
        <v>1536</v>
      </c>
      <c r="E47" s="68" t="s">
        <v>1552</v>
      </c>
      <c r="F47" s="5">
        <v>4680</v>
      </c>
      <c r="G47" s="10" t="s">
        <v>1537</v>
      </c>
      <c r="H47" s="5">
        <v>4445</v>
      </c>
      <c r="I47" s="69">
        <v>0.94978632478632474</v>
      </c>
      <c r="J47" s="5">
        <v>79</v>
      </c>
      <c r="K47" s="70">
        <v>1.6880341880341879E-2</v>
      </c>
      <c r="L47" s="5">
        <v>39</v>
      </c>
      <c r="M47" s="71">
        <v>8.3333333333333332E-3</v>
      </c>
      <c r="N47" s="72">
        <v>27</v>
      </c>
      <c r="O47" s="180">
        <f t="shared" si="0"/>
        <v>0.57692307692307698</v>
      </c>
      <c r="P47" s="72">
        <v>62</v>
      </c>
      <c r="Q47" s="73">
        <v>1.3247863247863248E-2</v>
      </c>
      <c r="R47" s="10">
        <v>28</v>
      </c>
      <c r="S47" s="70">
        <v>5.9829059829059833E-3</v>
      </c>
      <c r="T47" s="10">
        <v>0</v>
      </c>
      <c r="U47" s="74">
        <v>0</v>
      </c>
      <c r="V47" s="75">
        <v>2.5000000000000001E-2</v>
      </c>
      <c r="W47" s="168" t="s">
        <v>2104</v>
      </c>
    </row>
    <row r="48" spans="1:23">
      <c r="A48" s="67" t="s">
        <v>1553</v>
      </c>
      <c r="B48" s="68" t="s">
        <v>1538</v>
      </c>
      <c r="C48" s="76" t="s">
        <v>29</v>
      </c>
      <c r="D48" s="68" t="s">
        <v>1536</v>
      </c>
      <c r="E48" s="68" t="s">
        <v>1552</v>
      </c>
      <c r="F48" s="5">
        <v>5130</v>
      </c>
      <c r="G48" s="10" t="s">
        <v>1551</v>
      </c>
      <c r="H48" s="5">
        <v>5029</v>
      </c>
      <c r="I48" s="69">
        <v>0.98031189083820658</v>
      </c>
      <c r="J48" s="5">
        <v>0</v>
      </c>
      <c r="K48" s="70">
        <v>0</v>
      </c>
      <c r="L48" s="5">
        <v>78</v>
      </c>
      <c r="M48" s="71">
        <v>1.5204678362573099E-2</v>
      </c>
      <c r="N48" s="72">
        <v>23</v>
      </c>
      <c r="O48" s="180">
        <f t="shared" si="0"/>
        <v>0.44834307992202727</v>
      </c>
      <c r="P48" s="72">
        <v>0</v>
      </c>
      <c r="Q48" s="73">
        <v>0</v>
      </c>
      <c r="R48" s="10">
        <v>0</v>
      </c>
      <c r="S48" s="70">
        <v>0</v>
      </c>
      <c r="T48" s="10">
        <v>0</v>
      </c>
      <c r="U48" s="74">
        <v>0</v>
      </c>
      <c r="V48" s="75">
        <v>4.4834307992202725E-3</v>
      </c>
      <c r="W48" s="168" t="s">
        <v>2104</v>
      </c>
    </row>
    <row r="49" spans="1:23">
      <c r="A49" s="67" t="s">
        <v>1555</v>
      </c>
      <c r="B49" s="68" t="s">
        <v>1530</v>
      </c>
      <c r="C49" s="68" t="s">
        <v>1533</v>
      </c>
      <c r="D49" s="68" t="s">
        <v>1531</v>
      </c>
      <c r="E49" s="68" t="s">
        <v>22</v>
      </c>
      <c r="F49" s="5">
        <v>8640</v>
      </c>
      <c r="G49" s="10" t="s">
        <v>1533</v>
      </c>
      <c r="H49" s="5">
        <v>4267</v>
      </c>
      <c r="I49" s="69">
        <v>0.49386574074074074</v>
      </c>
      <c r="J49" s="5">
        <v>4042</v>
      </c>
      <c r="K49" s="70">
        <v>0.46782407407407406</v>
      </c>
      <c r="L49" s="5">
        <v>0</v>
      </c>
      <c r="M49" s="71">
        <v>0</v>
      </c>
      <c r="N49" s="72">
        <v>41</v>
      </c>
      <c r="O49" s="180">
        <f t="shared" si="0"/>
        <v>0.47453703703703703</v>
      </c>
      <c r="P49" s="72">
        <v>290</v>
      </c>
      <c r="Q49" s="73">
        <v>3.3564814814814818E-2</v>
      </c>
      <c r="R49" s="10">
        <v>0</v>
      </c>
      <c r="S49" s="70">
        <v>0</v>
      </c>
      <c r="T49" s="10">
        <v>0</v>
      </c>
      <c r="U49" s="74">
        <v>0</v>
      </c>
      <c r="V49" s="75">
        <v>3.831018518518519E-2</v>
      </c>
      <c r="W49" s="168" t="s">
        <v>2104</v>
      </c>
    </row>
    <row r="50" spans="1:23">
      <c r="A50" s="67" t="s">
        <v>1555</v>
      </c>
      <c r="B50" s="68" t="s">
        <v>1556</v>
      </c>
      <c r="C50" s="68" t="s">
        <v>24</v>
      </c>
      <c r="D50" s="68" t="s">
        <v>1534</v>
      </c>
      <c r="E50" s="68" t="s">
        <v>22</v>
      </c>
      <c r="F50" s="5">
        <v>2700</v>
      </c>
      <c r="G50" s="10" t="s">
        <v>1544</v>
      </c>
      <c r="H50" s="5">
        <v>2450</v>
      </c>
      <c r="I50" s="69">
        <v>0.90740740740740744</v>
      </c>
      <c r="J50" s="5">
        <v>20</v>
      </c>
      <c r="K50" s="70">
        <v>7.4074074074074077E-3</v>
      </c>
      <c r="L50" s="5">
        <v>34</v>
      </c>
      <c r="M50" s="71">
        <v>1.2592592592592593E-2</v>
      </c>
      <c r="N50" s="72">
        <v>45</v>
      </c>
      <c r="O50" s="180">
        <f t="shared" si="0"/>
        <v>1.6666666666666667</v>
      </c>
      <c r="P50" s="72">
        <v>151</v>
      </c>
      <c r="Q50" s="73">
        <v>5.5925925925925928E-2</v>
      </c>
      <c r="R50" s="10">
        <v>0</v>
      </c>
      <c r="S50" s="70">
        <v>0</v>
      </c>
      <c r="T50" s="10">
        <v>0</v>
      </c>
      <c r="U50" s="74">
        <v>0</v>
      </c>
      <c r="V50" s="75">
        <v>7.2592592592592597E-2</v>
      </c>
      <c r="W50" s="168" t="s">
        <v>2104</v>
      </c>
    </row>
    <row r="51" spans="1:23">
      <c r="A51" s="67" t="s">
        <v>1555</v>
      </c>
      <c r="B51" s="68" t="s">
        <v>1530</v>
      </c>
      <c r="C51" s="68" t="s">
        <v>24</v>
      </c>
      <c r="D51" s="68" t="s">
        <v>1534</v>
      </c>
      <c r="E51" s="68" t="s">
        <v>22</v>
      </c>
      <c r="F51" s="5">
        <v>1525</v>
      </c>
      <c r="G51" s="10" t="s">
        <v>1544</v>
      </c>
      <c r="H51" s="5">
        <v>1118</v>
      </c>
      <c r="I51" s="69">
        <v>0.73311475409836069</v>
      </c>
      <c r="J51" s="10">
        <v>40</v>
      </c>
      <c r="K51" s="70">
        <v>2.6229508196721311E-2</v>
      </c>
      <c r="L51" s="5">
        <v>100</v>
      </c>
      <c r="M51" s="71">
        <v>6.5573770491803282E-2</v>
      </c>
      <c r="N51" s="72">
        <v>55</v>
      </c>
      <c r="O51" s="180">
        <f t="shared" si="0"/>
        <v>3.6065573770491808</v>
      </c>
      <c r="P51" s="72">
        <v>202</v>
      </c>
      <c r="Q51" s="73">
        <v>0.13245901639344262</v>
      </c>
      <c r="R51" s="10">
        <v>0</v>
      </c>
      <c r="S51" s="70">
        <v>0</v>
      </c>
      <c r="T51" s="10">
        <v>10</v>
      </c>
      <c r="U51" s="74">
        <v>6.5573770491803279E-3</v>
      </c>
      <c r="V51" s="75">
        <v>0.17508196721311475</v>
      </c>
      <c r="W51" s="168" t="s">
        <v>2104</v>
      </c>
    </row>
    <row r="52" spans="1:23">
      <c r="A52" s="67" t="s">
        <v>1555</v>
      </c>
      <c r="B52" s="68" t="s">
        <v>1530</v>
      </c>
      <c r="C52" s="76" t="s">
        <v>27</v>
      </c>
      <c r="D52" s="68" t="s">
        <v>1534</v>
      </c>
      <c r="E52" s="68" t="s">
        <v>22</v>
      </c>
      <c r="F52" s="5">
        <v>922</v>
      </c>
      <c r="G52" s="10" t="s">
        <v>1535</v>
      </c>
      <c r="H52" s="5">
        <v>774</v>
      </c>
      <c r="I52" s="69">
        <v>0.83947939262472882</v>
      </c>
      <c r="J52" s="10">
        <v>22</v>
      </c>
      <c r="K52" s="70">
        <v>2.3861171366594359E-2</v>
      </c>
      <c r="L52" s="5">
        <v>10</v>
      </c>
      <c r="M52" s="71">
        <v>1.0845986984815618E-2</v>
      </c>
      <c r="N52" s="72">
        <v>20</v>
      </c>
      <c r="O52" s="180">
        <f t="shared" si="0"/>
        <v>2.1691973969631237</v>
      </c>
      <c r="P52" s="72">
        <v>39</v>
      </c>
      <c r="Q52" s="73">
        <v>4.2299349240780909E-2</v>
      </c>
      <c r="R52" s="10">
        <v>0</v>
      </c>
      <c r="S52" s="70">
        <v>0</v>
      </c>
      <c r="T52" s="10">
        <v>57</v>
      </c>
      <c r="U52" s="74">
        <v>6.1822125813449022E-2</v>
      </c>
      <c r="V52" s="75">
        <v>0.12581344902386116</v>
      </c>
      <c r="W52" s="168" t="s">
        <v>2104</v>
      </c>
    </row>
    <row r="53" spans="1:23">
      <c r="A53" s="67" t="s">
        <v>1555</v>
      </c>
      <c r="B53" s="68" t="s">
        <v>1530</v>
      </c>
      <c r="C53" s="76" t="s">
        <v>27</v>
      </c>
      <c r="D53" s="68" t="s">
        <v>1536</v>
      </c>
      <c r="E53" s="68" t="s">
        <v>22</v>
      </c>
      <c r="F53" s="5">
        <v>3946</v>
      </c>
      <c r="G53" s="10" t="s">
        <v>1535</v>
      </c>
      <c r="H53" s="5">
        <v>3346</v>
      </c>
      <c r="I53" s="69">
        <v>0.84794728839330968</v>
      </c>
      <c r="J53" s="10">
        <v>167</v>
      </c>
      <c r="K53" s="70">
        <v>4.2321338063862138E-2</v>
      </c>
      <c r="L53" s="5">
        <v>216</v>
      </c>
      <c r="M53" s="71">
        <v>5.4738976178408512E-2</v>
      </c>
      <c r="N53" s="72">
        <v>50</v>
      </c>
      <c r="O53" s="180">
        <f t="shared" si="0"/>
        <v>1.2671059300557528</v>
      </c>
      <c r="P53" s="72">
        <v>36</v>
      </c>
      <c r="Q53" s="73">
        <v>9.1231626964014198E-3</v>
      </c>
      <c r="R53" s="10">
        <v>0</v>
      </c>
      <c r="S53" s="70">
        <v>0</v>
      </c>
      <c r="T53" s="10">
        <v>131</v>
      </c>
      <c r="U53" s="74">
        <v>3.3198175367460718E-2</v>
      </c>
      <c r="V53" s="75">
        <v>5.4992397364419666E-2</v>
      </c>
      <c r="W53" s="168" t="s">
        <v>2104</v>
      </c>
    </row>
    <row r="54" spans="1:23">
      <c r="A54" s="67" t="s">
        <v>1555</v>
      </c>
      <c r="B54" s="68" t="s">
        <v>1549</v>
      </c>
      <c r="C54" s="68" t="s">
        <v>24</v>
      </c>
      <c r="D54" s="68" t="s">
        <v>1534</v>
      </c>
      <c r="E54" s="68" t="s">
        <v>22</v>
      </c>
      <c r="F54" s="5">
        <v>3040</v>
      </c>
      <c r="G54" s="10" t="s">
        <v>1544</v>
      </c>
      <c r="H54" s="5">
        <v>2596</v>
      </c>
      <c r="I54" s="69">
        <v>0.85394736842105268</v>
      </c>
      <c r="J54" s="5">
        <v>120</v>
      </c>
      <c r="K54" s="70">
        <v>3.9473684210526314E-2</v>
      </c>
      <c r="L54" s="5">
        <v>0</v>
      </c>
      <c r="M54" s="71">
        <v>0</v>
      </c>
      <c r="N54" s="72">
        <v>52</v>
      </c>
      <c r="O54" s="180">
        <f t="shared" si="0"/>
        <v>1.7105263157894739</v>
      </c>
      <c r="P54" s="72">
        <v>209</v>
      </c>
      <c r="Q54" s="73">
        <v>6.8750000000000006E-2</v>
      </c>
      <c r="R54" s="5">
        <v>0</v>
      </c>
      <c r="S54" s="70">
        <v>0</v>
      </c>
      <c r="T54" s="5">
        <v>63</v>
      </c>
      <c r="U54" s="74">
        <v>2.0723684210526314E-2</v>
      </c>
      <c r="V54" s="75">
        <v>0.10657894736842105</v>
      </c>
      <c r="W54" s="168" t="s">
        <v>2104</v>
      </c>
    </row>
    <row r="55" spans="1:23">
      <c r="A55" s="67" t="s">
        <v>1555</v>
      </c>
      <c r="B55" s="68" t="s">
        <v>1538</v>
      </c>
      <c r="C55" s="76" t="s">
        <v>29</v>
      </c>
      <c r="D55" s="68" t="s">
        <v>1536</v>
      </c>
      <c r="E55" s="68" t="s">
        <v>1552</v>
      </c>
      <c r="F55" s="5">
        <v>4180</v>
      </c>
      <c r="G55" s="10" t="s">
        <v>1551</v>
      </c>
      <c r="H55" s="5">
        <v>3705</v>
      </c>
      <c r="I55" s="69">
        <v>0.88636363636363635</v>
      </c>
      <c r="J55" s="5">
        <v>0</v>
      </c>
      <c r="K55" s="70">
        <v>0</v>
      </c>
      <c r="L55" s="5">
        <v>251</v>
      </c>
      <c r="M55" s="71">
        <v>6.0047846889952156E-2</v>
      </c>
      <c r="N55" s="72">
        <v>50</v>
      </c>
      <c r="O55" s="180">
        <f t="shared" si="0"/>
        <v>1.1961722488038278</v>
      </c>
      <c r="P55" s="72">
        <v>174</v>
      </c>
      <c r="Q55" s="73">
        <v>4.1626794258373206E-2</v>
      </c>
      <c r="R55" s="5">
        <v>0</v>
      </c>
      <c r="S55" s="70">
        <v>0</v>
      </c>
      <c r="T55" s="5">
        <v>0</v>
      </c>
      <c r="U55" s="74">
        <v>0</v>
      </c>
      <c r="V55" s="75">
        <v>5.3588516746411484E-2</v>
      </c>
      <c r="W55" s="168" t="s">
        <v>2104</v>
      </c>
    </row>
    <row r="56" spans="1:23">
      <c r="A56" s="67" t="s">
        <v>1555</v>
      </c>
      <c r="B56" s="68" t="s">
        <v>1538</v>
      </c>
      <c r="C56" s="68" t="s">
        <v>31</v>
      </c>
      <c r="D56" s="68" t="s">
        <v>1536</v>
      </c>
      <c r="E56" s="68" t="s">
        <v>1539</v>
      </c>
      <c r="F56" s="5">
        <v>1260</v>
      </c>
      <c r="G56" s="77" t="s">
        <v>1540</v>
      </c>
      <c r="H56" s="5">
        <v>842</v>
      </c>
      <c r="I56" s="69">
        <v>0.66825396825396821</v>
      </c>
      <c r="J56" s="5">
        <v>52</v>
      </c>
      <c r="K56" s="70">
        <v>4.1269841269841269E-2</v>
      </c>
      <c r="L56" s="5">
        <v>131</v>
      </c>
      <c r="M56" s="71">
        <v>0.10396825396825397</v>
      </c>
      <c r="N56" s="72">
        <v>106</v>
      </c>
      <c r="O56" s="180">
        <f t="shared" si="0"/>
        <v>8.412698412698413</v>
      </c>
      <c r="P56" s="72">
        <v>24</v>
      </c>
      <c r="Q56" s="73">
        <v>1.9047619047619049E-2</v>
      </c>
      <c r="R56" s="10">
        <v>0</v>
      </c>
      <c r="S56" s="70">
        <v>0</v>
      </c>
      <c r="T56" s="5">
        <v>105</v>
      </c>
      <c r="U56" s="74">
        <v>8.3333333333333329E-2</v>
      </c>
      <c r="V56" s="75">
        <v>0.18650793650793651</v>
      </c>
      <c r="W56" s="168" t="s">
        <v>1195</v>
      </c>
    </row>
    <row r="57" spans="1:23">
      <c r="A57" s="67" t="s">
        <v>1557</v>
      </c>
      <c r="B57" s="68" t="s">
        <v>1556</v>
      </c>
      <c r="C57" s="68" t="s">
        <v>24</v>
      </c>
      <c r="D57" s="68" t="s">
        <v>1534</v>
      </c>
      <c r="E57" s="68" t="s">
        <v>22</v>
      </c>
      <c r="F57" s="5">
        <v>9620</v>
      </c>
      <c r="G57" s="10" t="s">
        <v>1544</v>
      </c>
      <c r="H57" s="5">
        <v>9068</v>
      </c>
      <c r="I57" s="69">
        <v>0.94261954261954262</v>
      </c>
      <c r="J57" s="5">
        <v>51</v>
      </c>
      <c r="K57" s="70">
        <v>5.3014553014553017E-3</v>
      </c>
      <c r="L57" s="5">
        <v>27</v>
      </c>
      <c r="M57" s="71">
        <v>2.8066528066528068E-3</v>
      </c>
      <c r="N57" s="72">
        <v>90</v>
      </c>
      <c r="O57" s="180">
        <f t="shared" si="0"/>
        <v>0.9355509355509356</v>
      </c>
      <c r="P57" s="72">
        <v>372</v>
      </c>
      <c r="Q57" s="73">
        <v>3.8669438669438672E-2</v>
      </c>
      <c r="R57" s="10">
        <v>0</v>
      </c>
      <c r="S57" s="70">
        <v>0</v>
      </c>
      <c r="T57" s="5">
        <v>12</v>
      </c>
      <c r="U57" s="74">
        <v>1.2474012474012475E-3</v>
      </c>
      <c r="V57" s="75">
        <v>4.9272349272349275E-2</v>
      </c>
      <c r="W57" s="168" t="s">
        <v>2104</v>
      </c>
    </row>
    <row r="58" spans="1:23">
      <c r="A58" s="67" t="s">
        <v>1557</v>
      </c>
      <c r="B58" s="68" t="s">
        <v>1530</v>
      </c>
      <c r="C58" s="76" t="s">
        <v>27</v>
      </c>
      <c r="D58" s="68" t="s">
        <v>1534</v>
      </c>
      <c r="E58" s="68" t="s">
        <v>22</v>
      </c>
      <c r="F58" s="5">
        <v>1733</v>
      </c>
      <c r="G58" s="10" t="s">
        <v>1535</v>
      </c>
      <c r="H58" s="5">
        <v>1562</v>
      </c>
      <c r="I58" s="69">
        <v>0.90132717830351994</v>
      </c>
      <c r="J58" s="5">
        <v>28</v>
      </c>
      <c r="K58" s="70">
        <v>1.6156953260242354E-2</v>
      </c>
      <c r="L58" s="5">
        <v>0</v>
      </c>
      <c r="M58" s="71">
        <v>0</v>
      </c>
      <c r="N58" s="72">
        <v>30</v>
      </c>
      <c r="O58" s="180">
        <f t="shared" si="0"/>
        <v>1.7311021350259663</v>
      </c>
      <c r="P58" s="72">
        <v>56</v>
      </c>
      <c r="Q58" s="73">
        <v>3.2313906520484707E-2</v>
      </c>
      <c r="R58" s="10">
        <v>0</v>
      </c>
      <c r="S58" s="70">
        <v>0</v>
      </c>
      <c r="T58" s="5">
        <v>57</v>
      </c>
      <c r="U58" s="74">
        <v>3.2890940565493361E-2</v>
      </c>
      <c r="V58" s="75">
        <v>8.2515868436237733E-2</v>
      </c>
      <c r="W58" s="168" t="s">
        <v>2104</v>
      </c>
    </row>
    <row r="59" spans="1:23">
      <c r="A59" s="67" t="s">
        <v>1557</v>
      </c>
      <c r="B59" s="68" t="s">
        <v>1530</v>
      </c>
      <c r="C59" s="76" t="s">
        <v>27</v>
      </c>
      <c r="D59" s="68" t="s">
        <v>1536</v>
      </c>
      <c r="E59" s="68" t="s">
        <v>22</v>
      </c>
      <c r="F59" s="5">
        <v>2300</v>
      </c>
      <c r="G59" s="10" t="s">
        <v>1535</v>
      </c>
      <c r="H59" s="5">
        <v>1863</v>
      </c>
      <c r="I59" s="69">
        <v>0.81</v>
      </c>
      <c r="J59" s="5">
        <v>264</v>
      </c>
      <c r="K59" s="70">
        <v>0.11478260869565217</v>
      </c>
      <c r="L59" s="5">
        <v>60</v>
      </c>
      <c r="M59" s="71">
        <v>2.6086956521739129E-2</v>
      </c>
      <c r="N59" s="72">
        <v>25</v>
      </c>
      <c r="O59" s="180">
        <f t="shared" si="0"/>
        <v>1.0869565217391304</v>
      </c>
      <c r="P59" s="72">
        <v>42</v>
      </c>
      <c r="Q59" s="73">
        <v>1.8260869565217393E-2</v>
      </c>
      <c r="R59" s="10">
        <v>0</v>
      </c>
      <c r="S59" s="70">
        <v>0</v>
      </c>
      <c r="T59" s="5">
        <v>46</v>
      </c>
      <c r="U59" s="74">
        <v>0.02</v>
      </c>
      <c r="V59" s="75">
        <v>4.9130434782608701E-2</v>
      </c>
      <c r="W59" s="168" t="s">
        <v>2104</v>
      </c>
    </row>
    <row r="60" spans="1:23">
      <c r="A60" s="67" t="s">
        <v>1557</v>
      </c>
      <c r="B60" s="68" t="s">
        <v>1530</v>
      </c>
      <c r="C60" s="68" t="s">
        <v>1533</v>
      </c>
      <c r="D60" s="68" t="s">
        <v>1531</v>
      </c>
      <c r="E60" s="68" t="s">
        <v>22</v>
      </c>
      <c r="F60" s="5">
        <v>8640</v>
      </c>
      <c r="G60" s="10" t="s">
        <v>1533</v>
      </c>
      <c r="H60" s="5">
        <v>4241</v>
      </c>
      <c r="I60" s="69">
        <v>0.49085648148148148</v>
      </c>
      <c r="J60" s="5">
        <v>3871</v>
      </c>
      <c r="K60" s="70">
        <v>0.44803240740740741</v>
      </c>
      <c r="L60" s="5">
        <v>0</v>
      </c>
      <c r="M60" s="71">
        <v>0</v>
      </c>
      <c r="N60" s="72">
        <v>48</v>
      </c>
      <c r="O60" s="180">
        <f t="shared" si="0"/>
        <v>0.55555555555555558</v>
      </c>
      <c r="P60" s="72">
        <v>480</v>
      </c>
      <c r="Q60" s="73">
        <v>5.5555555555555552E-2</v>
      </c>
      <c r="R60" s="10">
        <v>0</v>
      </c>
      <c r="S60" s="70">
        <v>0</v>
      </c>
      <c r="T60" s="5">
        <v>0</v>
      </c>
      <c r="U60" s="74">
        <v>0</v>
      </c>
      <c r="V60" s="75">
        <v>6.1111111111111109E-2</v>
      </c>
      <c r="W60" s="168" t="s">
        <v>2104</v>
      </c>
    </row>
    <row r="61" spans="1:23">
      <c r="A61" s="67" t="s">
        <v>1557</v>
      </c>
      <c r="B61" s="68" t="s">
        <v>1538</v>
      </c>
      <c r="C61" s="68" t="s">
        <v>31</v>
      </c>
      <c r="D61" s="68" t="s">
        <v>1536</v>
      </c>
      <c r="E61" s="68" t="s">
        <v>1539</v>
      </c>
      <c r="F61" s="5">
        <v>7020</v>
      </c>
      <c r="G61" s="77" t="s">
        <v>1540</v>
      </c>
      <c r="H61" s="5">
        <v>4880</v>
      </c>
      <c r="I61" s="69">
        <v>0.6951566951566952</v>
      </c>
      <c r="J61" s="5">
        <v>334</v>
      </c>
      <c r="K61" s="70">
        <v>4.7578347578347578E-2</v>
      </c>
      <c r="L61" s="5">
        <v>386</v>
      </c>
      <c r="M61" s="71">
        <v>5.4985754985754982E-2</v>
      </c>
      <c r="N61" s="72">
        <v>525</v>
      </c>
      <c r="O61" s="180">
        <f t="shared" si="0"/>
        <v>7.4786324786324787</v>
      </c>
      <c r="P61" s="72">
        <v>428</v>
      </c>
      <c r="Q61" s="73">
        <v>6.0968660968660972E-2</v>
      </c>
      <c r="R61" s="10">
        <v>0</v>
      </c>
      <c r="S61" s="70">
        <v>0</v>
      </c>
      <c r="T61" s="5">
        <v>467</v>
      </c>
      <c r="U61" s="74">
        <v>6.6524216524216528E-2</v>
      </c>
      <c r="V61" s="75">
        <v>0.20227920227920229</v>
      </c>
      <c r="W61" s="168" t="s">
        <v>1195</v>
      </c>
    </row>
    <row r="62" spans="1:23">
      <c r="A62" s="67" t="s">
        <v>1558</v>
      </c>
      <c r="B62" s="68" t="s">
        <v>1530</v>
      </c>
      <c r="C62" s="176" t="s">
        <v>24</v>
      </c>
      <c r="D62" s="68" t="s">
        <v>1531</v>
      </c>
      <c r="E62" s="68" t="s">
        <v>22</v>
      </c>
      <c r="F62" s="5">
        <v>3240</v>
      </c>
      <c r="G62" s="10" t="s">
        <v>1532</v>
      </c>
      <c r="H62" s="5">
        <v>296</v>
      </c>
      <c r="I62" s="69">
        <v>9.6732026143790853E-2</v>
      </c>
      <c r="J62" s="5">
        <v>1888</v>
      </c>
      <c r="K62" s="70">
        <v>0.58271604938271604</v>
      </c>
      <c r="L62" s="5">
        <v>900</v>
      </c>
      <c r="M62" s="71">
        <v>0.27777777777777779</v>
      </c>
      <c r="N62" s="72">
        <v>37</v>
      </c>
      <c r="O62" s="180">
        <f t="shared" si="0"/>
        <v>1.1419753086419753</v>
      </c>
      <c r="P62" s="72">
        <v>119</v>
      </c>
      <c r="Q62" s="73">
        <v>3.6728395061728397E-2</v>
      </c>
      <c r="R62" s="10">
        <v>0</v>
      </c>
      <c r="S62" s="70">
        <v>0</v>
      </c>
      <c r="T62" s="5">
        <v>0</v>
      </c>
      <c r="U62" s="74">
        <v>0</v>
      </c>
      <c r="V62" s="75">
        <v>4.8148148148148148E-2</v>
      </c>
      <c r="W62" s="168" t="s">
        <v>2104</v>
      </c>
    </row>
    <row r="63" spans="1:23">
      <c r="A63" s="67" t="s">
        <v>1558</v>
      </c>
      <c r="B63" s="68" t="s">
        <v>1530</v>
      </c>
      <c r="C63" s="68" t="s">
        <v>1533</v>
      </c>
      <c r="D63" s="68" t="s">
        <v>1531</v>
      </c>
      <c r="E63" s="68" t="s">
        <v>22</v>
      </c>
      <c r="F63" s="5">
        <v>680</v>
      </c>
      <c r="G63" s="10" t="s">
        <v>1533</v>
      </c>
      <c r="H63" s="5">
        <v>422</v>
      </c>
      <c r="I63" s="69">
        <v>0.62058823529411766</v>
      </c>
      <c r="J63" s="5">
        <v>228</v>
      </c>
      <c r="K63" s="70">
        <v>0.3352941176470588</v>
      </c>
      <c r="L63" s="5">
        <v>0</v>
      </c>
      <c r="M63" s="71">
        <v>0</v>
      </c>
      <c r="N63" s="72">
        <v>10</v>
      </c>
      <c r="O63" s="180">
        <f t="shared" si="0"/>
        <v>1.4705882352941175</v>
      </c>
      <c r="P63" s="72">
        <v>20</v>
      </c>
      <c r="Q63" s="73">
        <v>2.9411764705882353E-2</v>
      </c>
      <c r="R63" s="10">
        <v>0</v>
      </c>
      <c r="S63" s="70">
        <v>0</v>
      </c>
      <c r="T63" s="5">
        <v>0</v>
      </c>
      <c r="U63" s="74">
        <v>0</v>
      </c>
      <c r="V63" s="75">
        <v>4.4117647058823525E-2</v>
      </c>
      <c r="W63" s="168" t="s">
        <v>2104</v>
      </c>
    </row>
    <row r="64" spans="1:23">
      <c r="A64" s="67" t="s">
        <v>1558</v>
      </c>
      <c r="B64" s="68" t="s">
        <v>1530</v>
      </c>
      <c r="C64" s="68" t="s">
        <v>24</v>
      </c>
      <c r="D64" s="68" t="s">
        <v>1534</v>
      </c>
      <c r="E64" s="68" t="s">
        <v>1539</v>
      </c>
      <c r="F64" s="5">
        <v>3060</v>
      </c>
      <c r="G64" s="10" t="s">
        <v>1532</v>
      </c>
      <c r="H64" s="5">
        <v>2960</v>
      </c>
      <c r="I64" s="69">
        <v>0.9673202614379085</v>
      </c>
      <c r="J64" s="5">
        <v>30</v>
      </c>
      <c r="K64" s="70">
        <v>9.8039215686274508E-3</v>
      </c>
      <c r="L64" s="5">
        <v>34</v>
      </c>
      <c r="M64" s="71">
        <v>1.1111111111111112E-2</v>
      </c>
      <c r="N64" s="72">
        <v>14</v>
      </c>
      <c r="O64" s="180">
        <f t="shared" si="0"/>
        <v>0.45751633986928109</v>
      </c>
      <c r="P64" s="72">
        <v>22</v>
      </c>
      <c r="Q64" s="73">
        <v>7.1895424836601303E-3</v>
      </c>
      <c r="R64" s="10">
        <v>0</v>
      </c>
      <c r="S64" s="70">
        <v>0</v>
      </c>
      <c r="T64" s="5">
        <v>0</v>
      </c>
      <c r="U64" s="74">
        <v>0</v>
      </c>
      <c r="V64" s="75">
        <v>1.1764705882352941E-2</v>
      </c>
      <c r="W64" s="168" t="s">
        <v>2104</v>
      </c>
    </row>
    <row r="65" spans="1:23">
      <c r="A65" s="67" t="s">
        <v>1558</v>
      </c>
      <c r="B65" s="68" t="s">
        <v>1530</v>
      </c>
      <c r="C65" s="76" t="s">
        <v>27</v>
      </c>
      <c r="D65" s="68" t="s">
        <v>1534</v>
      </c>
      <c r="E65" s="68" t="s">
        <v>22</v>
      </c>
      <c r="F65" s="5">
        <v>3922</v>
      </c>
      <c r="G65" s="10" t="s">
        <v>1535</v>
      </c>
      <c r="H65" s="5">
        <v>2717</v>
      </c>
      <c r="I65" s="69">
        <v>0.69275879653238148</v>
      </c>
      <c r="J65" s="5">
        <v>858</v>
      </c>
      <c r="K65" s="70">
        <v>0.21876593574706782</v>
      </c>
      <c r="L65" s="5">
        <v>22</v>
      </c>
      <c r="M65" s="71">
        <v>5.6093829678735335E-3</v>
      </c>
      <c r="N65" s="72">
        <v>120</v>
      </c>
      <c r="O65" s="180">
        <f t="shared" si="0"/>
        <v>3.0596634370219276</v>
      </c>
      <c r="P65" s="72">
        <v>25</v>
      </c>
      <c r="Q65" s="73">
        <v>6.3742988271290159E-3</v>
      </c>
      <c r="R65" s="10">
        <v>0</v>
      </c>
      <c r="S65" s="70">
        <v>0</v>
      </c>
      <c r="T65" s="5">
        <v>180</v>
      </c>
      <c r="U65" s="74">
        <v>4.5894951555328911E-2</v>
      </c>
      <c r="V65" s="75">
        <v>8.2865884752677199E-2</v>
      </c>
      <c r="W65" s="168" t="s">
        <v>2104</v>
      </c>
    </row>
    <row r="66" spans="1:23">
      <c r="A66" s="67" t="s">
        <v>1558</v>
      </c>
      <c r="B66" s="68" t="s">
        <v>1530</v>
      </c>
      <c r="C66" s="68" t="s">
        <v>24</v>
      </c>
      <c r="D66" s="68" t="s">
        <v>1559</v>
      </c>
      <c r="E66" s="68" t="s">
        <v>22</v>
      </c>
      <c r="F66" s="5">
        <v>2145</v>
      </c>
      <c r="G66" s="10" t="s">
        <v>1544</v>
      </c>
      <c r="H66" s="5">
        <v>2100</v>
      </c>
      <c r="I66" s="69">
        <v>0.97902097902097907</v>
      </c>
      <c r="J66" s="5">
        <v>0</v>
      </c>
      <c r="K66" s="70">
        <v>0</v>
      </c>
      <c r="L66" s="5">
        <v>0</v>
      </c>
      <c r="M66" s="71">
        <v>0</v>
      </c>
      <c r="N66" s="72">
        <v>0</v>
      </c>
      <c r="O66" s="180">
        <f t="shared" si="0"/>
        <v>0</v>
      </c>
      <c r="P66" s="72">
        <v>45</v>
      </c>
      <c r="Q66" s="73">
        <v>2.097902097902098E-2</v>
      </c>
      <c r="R66" s="10">
        <v>0</v>
      </c>
      <c r="S66" s="70">
        <v>0</v>
      </c>
      <c r="T66" s="10">
        <v>0</v>
      </c>
      <c r="U66" s="74">
        <v>0</v>
      </c>
      <c r="V66" s="75">
        <v>2.097902097902098E-2</v>
      </c>
      <c r="W66" s="168" t="s">
        <v>2104</v>
      </c>
    </row>
    <row r="67" spans="1:23">
      <c r="A67" s="67" t="s">
        <v>1558</v>
      </c>
      <c r="B67" s="68" t="s">
        <v>1549</v>
      </c>
      <c r="C67" s="76" t="s">
        <v>29</v>
      </c>
      <c r="D67" s="68" t="s">
        <v>1560</v>
      </c>
      <c r="E67" s="68" t="s">
        <v>22</v>
      </c>
      <c r="F67" s="5">
        <v>3880</v>
      </c>
      <c r="G67" s="10" t="s">
        <v>1551</v>
      </c>
      <c r="H67" s="5">
        <v>3740</v>
      </c>
      <c r="I67" s="69">
        <v>0.96391752577319589</v>
      </c>
      <c r="J67" s="5">
        <v>40</v>
      </c>
      <c r="K67" s="70">
        <v>1.0309278350515464E-2</v>
      </c>
      <c r="L67" s="5">
        <v>0</v>
      </c>
      <c r="M67" s="71">
        <v>0</v>
      </c>
      <c r="N67" s="72">
        <v>0</v>
      </c>
      <c r="O67" s="180">
        <f t="shared" ref="O67:O130" si="1">N67/F67*100</f>
        <v>0</v>
      </c>
      <c r="P67" s="72">
        <v>100</v>
      </c>
      <c r="Q67" s="73">
        <v>2.5773195876288658E-2</v>
      </c>
      <c r="R67" s="10">
        <v>0</v>
      </c>
      <c r="S67" s="70">
        <v>0</v>
      </c>
      <c r="T67" s="10">
        <v>0</v>
      </c>
      <c r="U67" s="74">
        <v>0</v>
      </c>
      <c r="V67" s="75">
        <v>2.5773195876288658E-2</v>
      </c>
      <c r="W67" s="168" t="s">
        <v>2104</v>
      </c>
    </row>
    <row r="68" spans="1:23">
      <c r="A68" s="67" t="s">
        <v>1558</v>
      </c>
      <c r="B68" s="68" t="s">
        <v>1538</v>
      </c>
      <c r="C68" s="68" t="s">
        <v>31</v>
      </c>
      <c r="D68" s="68" t="s">
        <v>1536</v>
      </c>
      <c r="E68" s="68" t="s">
        <v>1539</v>
      </c>
      <c r="F68" s="5">
        <v>6120</v>
      </c>
      <c r="G68" s="77" t="s">
        <v>1540</v>
      </c>
      <c r="H68" s="5">
        <v>4427</v>
      </c>
      <c r="I68" s="69">
        <v>0.72336601307189541</v>
      </c>
      <c r="J68" s="5">
        <v>248</v>
      </c>
      <c r="K68" s="70">
        <v>4.0522875816993466E-2</v>
      </c>
      <c r="L68" s="5">
        <v>291</v>
      </c>
      <c r="M68" s="71">
        <v>4.7549019607843135E-2</v>
      </c>
      <c r="N68" s="72">
        <v>730</v>
      </c>
      <c r="O68" s="180">
        <f t="shared" si="1"/>
        <v>11.928104575163399</v>
      </c>
      <c r="P68" s="72">
        <v>93</v>
      </c>
      <c r="Q68" s="73">
        <v>1.5196078431372549E-2</v>
      </c>
      <c r="R68" s="10">
        <v>0</v>
      </c>
      <c r="S68" s="70">
        <v>0</v>
      </c>
      <c r="T68" s="10">
        <v>331</v>
      </c>
      <c r="U68" s="74">
        <v>5.408496732026144E-2</v>
      </c>
      <c r="V68" s="75">
        <v>0.18856209150326797</v>
      </c>
      <c r="W68" s="168" t="s">
        <v>1195</v>
      </c>
    </row>
    <row r="69" spans="1:23">
      <c r="A69" s="67" t="s">
        <v>1561</v>
      </c>
      <c r="B69" s="68" t="s">
        <v>1530</v>
      </c>
      <c r="C69" s="79" t="s">
        <v>1562</v>
      </c>
      <c r="D69" s="68" t="s">
        <v>1531</v>
      </c>
      <c r="E69" s="68" t="s">
        <v>22</v>
      </c>
      <c r="F69" s="5">
        <v>7077</v>
      </c>
      <c r="G69" s="10" t="s">
        <v>1532</v>
      </c>
      <c r="H69" s="5">
        <v>646</v>
      </c>
      <c r="I69" s="69">
        <v>9.1281616504168439E-2</v>
      </c>
      <c r="J69" s="5">
        <v>6230</v>
      </c>
      <c r="K69" s="70">
        <v>0.88031651829871416</v>
      </c>
      <c r="L69" s="5">
        <v>0</v>
      </c>
      <c r="M69" s="71">
        <v>0</v>
      </c>
      <c r="N69" s="72">
        <v>48</v>
      </c>
      <c r="O69" s="180">
        <f t="shared" si="1"/>
        <v>0.67825349724459516</v>
      </c>
      <c r="P69" s="72">
        <v>153</v>
      </c>
      <c r="Q69" s="73">
        <v>2.1619330224671472E-2</v>
      </c>
      <c r="R69" s="10">
        <v>0</v>
      </c>
      <c r="S69" s="70">
        <v>0</v>
      </c>
      <c r="T69" s="5">
        <v>0</v>
      </c>
      <c r="U69" s="74">
        <v>0</v>
      </c>
      <c r="V69" s="75">
        <v>2.8401865197117425E-2</v>
      </c>
      <c r="W69" s="168" t="s">
        <v>2104</v>
      </c>
    </row>
    <row r="70" spans="1:23">
      <c r="A70" s="67" t="s">
        <v>1561</v>
      </c>
      <c r="B70" s="68" t="s">
        <v>1549</v>
      </c>
      <c r="C70" s="76" t="s">
        <v>29</v>
      </c>
      <c r="D70" s="68" t="s">
        <v>1560</v>
      </c>
      <c r="E70" s="68" t="s">
        <v>22</v>
      </c>
      <c r="F70" s="5">
        <v>2320</v>
      </c>
      <c r="G70" s="10" t="s">
        <v>1551</v>
      </c>
      <c r="H70" s="5">
        <v>2210</v>
      </c>
      <c r="I70" s="69">
        <v>0.95258620689655171</v>
      </c>
      <c r="J70" s="5">
        <v>60</v>
      </c>
      <c r="K70" s="70">
        <v>2.5862068965517241E-2</v>
      </c>
      <c r="L70" s="5">
        <v>0</v>
      </c>
      <c r="M70" s="71">
        <v>0</v>
      </c>
      <c r="N70" s="72">
        <v>20</v>
      </c>
      <c r="O70" s="180">
        <f t="shared" si="1"/>
        <v>0.86206896551724133</v>
      </c>
      <c r="P70" s="72">
        <v>30</v>
      </c>
      <c r="Q70" s="73">
        <v>1.2931034482758621E-2</v>
      </c>
      <c r="R70" s="10">
        <v>0</v>
      </c>
      <c r="S70" s="70">
        <v>0</v>
      </c>
      <c r="T70" s="5">
        <v>0</v>
      </c>
      <c r="U70" s="74">
        <v>0</v>
      </c>
      <c r="V70" s="75">
        <v>2.1551724137931036E-2</v>
      </c>
      <c r="W70" s="168" t="s">
        <v>2104</v>
      </c>
    </row>
    <row r="71" spans="1:23">
      <c r="A71" s="67" t="s">
        <v>1561</v>
      </c>
      <c r="B71" s="68" t="s">
        <v>1530</v>
      </c>
      <c r="C71" s="68" t="s">
        <v>24</v>
      </c>
      <c r="D71" s="68" t="s">
        <v>1559</v>
      </c>
      <c r="E71" s="68" t="s">
        <v>1539</v>
      </c>
      <c r="F71" s="5">
        <v>4633</v>
      </c>
      <c r="G71" s="10" t="s">
        <v>1544</v>
      </c>
      <c r="H71" s="5">
        <v>4550</v>
      </c>
      <c r="I71" s="69">
        <v>0.98208504208935898</v>
      </c>
      <c r="J71" s="5">
        <v>0</v>
      </c>
      <c r="K71" s="70">
        <v>0</v>
      </c>
      <c r="L71" s="5">
        <v>0</v>
      </c>
      <c r="M71" s="71">
        <v>0</v>
      </c>
      <c r="N71" s="72">
        <v>0</v>
      </c>
      <c r="O71" s="180">
        <f t="shared" si="1"/>
        <v>0</v>
      </c>
      <c r="P71" s="72">
        <v>83</v>
      </c>
      <c r="Q71" s="73">
        <v>1.7914957910641054E-2</v>
      </c>
      <c r="R71" s="10">
        <v>0</v>
      </c>
      <c r="S71" s="70">
        <v>0</v>
      </c>
      <c r="T71" s="5">
        <v>0</v>
      </c>
      <c r="U71" s="74">
        <v>0</v>
      </c>
      <c r="V71" s="75">
        <v>1.7914957910641054E-2</v>
      </c>
      <c r="W71" s="168" t="s">
        <v>2104</v>
      </c>
    </row>
    <row r="72" spans="1:23">
      <c r="A72" s="67" t="s">
        <v>1561</v>
      </c>
      <c r="B72" s="68" t="s">
        <v>1530</v>
      </c>
      <c r="C72" s="76" t="s">
        <v>27</v>
      </c>
      <c r="D72" s="68" t="s">
        <v>1534</v>
      </c>
      <c r="E72" s="68" t="s">
        <v>22</v>
      </c>
      <c r="F72" s="5">
        <v>608</v>
      </c>
      <c r="G72" s="10" t="s">
        <v>1535</v>
      </c>
      <c r="H72" s="5">
        <v>428</v>
      </c>
      <c r="I72" s="69">
        <v>0.70394736842105265</v>
      </c>
      <c r="J72" s="5">
        <v>73</v>
      </c>
      <c r="K72" s="70">
        <v>0.12006578947368421</v>
      </c>
      <c r="L72" s="5">
        <v>18</v>
      </c>
      <c r="M72" s="71">
        <v>2.9605263157894735E-2</v>
      </c>
      <c r="N72" s="72">
        <v>35</v>
      </c>
      <c r="O72" s="180">
        <f t="shared" si="1"/>
        <v>5.7565789473684212</v>
      </c>
      <c r="P72" s="72">
        <v>19</v>
      </c>
      <c r="Q72" s="73">
        <v>3.125E-2</v>
      </c>
      <c r="R72" s="10">
        <v>0</v>
      </c>
      <c r="S72" s="70">
        <v>0</v>
      </c>
      <c r="T72" s="5">
        <v>35</v>
      </c>
      <c r="U72" s="74">
        <v>5.7565789473684209E-2</v>
      </c>
      <c r="V72" s="75">
        <v>0.14638157894736842</v>
      </c>
      <c r="W72" s="168" t="s">
        <v>2104</v>
      </c>
    </row>
    <row r="73" spans="1:23">
      <c r="A73" s="67" t="s">
        <v>1561</v>
      </c>
      <c r="B73" s="68" t="s">
        <v>1530</v>
      </c>
      <c r="C73" s="68" t="s">
        <v>1533</v>
      </c>
      <c r="D73" s="68" t="s">
        <v>1534</v>
      </c>
      <c r="E73" s="68" t="s">
        <v>22</v>
      </c>
      <c r="F73" s="5">
        <v>4320</v>
      </c>
      <c r="G73" s="10" t="s">
        <v>1533</v>
      </c>
      <c r="H73" s="5">
        <v>3780</v>
      </c>
      <c r="I73" s="69">
        <v>0.875</v>
      </c>
      <c r="J73" s="5">
        <v>187</v>
      </c>
      <c r="K73" s="70">
        <v>4.3287037037037034E-2</v>
      </c>
      <c r="L73" s="5">
        <v>0</v>
      </c>
      <c r="M73" s="71">
        <v>0</v>
      </c>
      <c r="N73" s="78">
        <v>150</v>
      </c>
      <c r="O73" s="180">
        <f t="shared" si="1"/>
        <v>3.4722222222222223</v>
      </c>
      <c r="P73" s="72">
        <v>203</v>
      </c>
      <c r="Q73" s="73">
        <v>4.6990740740740743E-2</v>
      </c>
      <c r="R73" s="10">
        <v>0</v>
      </c>
      <c r="S73" s="70">
        <v>0</v>
      </c>
      <c r="T73" s="5">
        <v>0</v>
      </c>
      <c r="U73" s="74">
        <v>0</v>
      </c>
      <c r="V73" s="75">
        <v>8.1712962962962959E-2</v>
      </c>
      <c r="W73" s="168" t="s">
        <v>2104</v>
      </c>
    </row>
    <row r="74" spans="1:23">
      <c r="A74" s="67" t="s">
        <v>1561</v>
      </c>
      <c r="B74" s="68" t="s">
        <v>1530</v>
      </c>
      <c r="C74" s="68" t="s">
        <v>1533</v>
      </c>
      <c r="D74" s="68" t="s">
        <v>1536</v>
      </c>
      <c r="E74" s="68" t="s">
        <v>22</v>
      </c>
      <c r="F74" s="5">
        <v>7740</v>
      </c>
      <c r="G74" s="10" t="s">
        <v>1533</v>
      </c>
      <c r="H74" s="5">
        <v>6598</v>
      </c>
      <c r="I74" s="69">
        <v>0.85245478036175715</v>
      </c>
      <c r="J74" s="5">
        <v>33</v>
      </c>
      <c r="K74" s="70">
        <v>4.2635658914728682E-3</v>
      </c>
      <c r="L74" s="5">
        <v>674</v>
      </c>
      <c r="M74" s="71">
        <v>8.7080103359173128E-2</v>
      </c>
      <c r="N74" s="72">
        <v>200</v>
      </c>
      <c r="O74" s="180">
        <f t="shared" si="1"/>
        <v>2.5839793281653747</v>
      </c>
      <c r="P74" s="72">
        <v>235</v>
      </c>
      <c r="Q74" s="73">
        <v>3.0361757105943153E-2</v>
      </c>
      <c r="R74" s="10">
        <v>0</v>
      </c>
      <c r="S74" s="70">
        <v>0</v>
      </c>
      <c r="T74" s="5">
        <v>0</v>
      </c>
      <c r="U74" s="74">
        <v>0</v>
      </c>
      <c r="V74" s="75">
        <v>5.6201550387596902E-2</v>
      </c>
      <c r="W74" s="168" t="s">
        <v>2104</v>
      </c>
    </row>
    <row r="75" spans="1:23">
      <c r="A75" s="67" t="s">
        <v>1561</v>
      </c>
      <c r="B75" s="68" t="s">
        <v>1538</v>
      </c>
      <c r="C75" s="68" t="s">
        <v>31</v>
      </c>
      <c r="D75" s="68" t="s">
        <v>1536</v>
      </c>
      <c r="E75" s="68" t="s">
        <v>22</v>
      </c>
      <c r="F75" s="5">
        <v>3780</v>
      </c>
      <c r="G75" s="77" t="s">
        <v>1540</v>
      </c>
      <c r="H75" s="5">
        <v>2904</v>
      </c>
      <c r="I75" s="69">
        <v>0.7682539682539683</v>
      </c>
      <c r="J75" s="5">
        <v>137</v>
      </c>
      <c r="K75" s="70">
        <v>3.6243386243386244E-2</v>
      </c>
      <c r="L75" s="5">
        <v>132</v>
      </c>
      <c r="M75" s="71">
        <v>3.4920634920634921E-2</v>
      </c>
      <c r="N75" s="72">
        <v>114</v>
      </c>
      <c r="O75" s="180">
        <f t="shared" si="1"/>
        <v>3.0158730158730158</v>
      </c>
      <c r="P75" s="72">
        <v>308</v>
      </c>
      <c r="Q75" s="73">
        <v>8.1481481481481488E-2</v>
      </c>
      <c r="R75" s="10">
        <v>0</v>
      </c>
      <c r="S75" s="70">
        <v>0</v>
      </c>
      <c r="T75" s="5">
        <v>185</v>
      </c>
      <c r="U75" s="74">
        <v>4.8941798941798939E-2</v>
      </c>
      <c r="V75" s="75">
        <v>0.1605820105820106</v>
      </c>
      <c r="W75" s="168" t="s">
        <v>1195</v>
      </c>
    </row>
    <row r="76" spans="1:23">
      <c r="A76" s="67" t="s">
        <v>1561</v>
      </c>
      <c r="B76" s="68" t="s">
        <v>1538</v>
      </c>
      <c r="C76" s="176" t="s">
        <v>29</v>
      </c>
      <c r="D76" s="68" t="s">
        <v>1536</v>
      </c>
      <c r="E76" s="68" t="s">
        <v>22</v>
      </c>
      <c r="F76" s="5">
        <v>2880</v>
      </c>
      <c r="G76" s="10" t="s">
        <v>1551</v>
      </c>
      <c r="H76" s="5">
        <v>2608</v>
      </c>
      <c r="I76" s="69">
        <v>0.90555555555555556</v>
      </c>
      <c r="J76" s="5">
        <v>0</v>
      </c>
      <c r="K76" s="70">
        <v>0</v>
      </c>
      <c r="L76" s="5">
        <v>93</v>
      </c>
      <c r="M76" s="71">
        <v>3.229166666666667E-2</v>
      </c>
      <c r="N76" s="72">
        <v>50</v>
      </c>
      <c r="O76" s="180">
        <f t="shared" si="1"/>
        <v>1.7361111111111112</v>
      </c>
      <c r="P76" s="72">
        <v>129</v>
      </c>
      <c r="Q76" s="73">
        <v>4.4791666666666667E-2</v>
      </c>
      <c r="R76" s="10">
        <v>0</v>
      </c>
      <c r="S76" s="70">
        <v>0</v>
      </c>
      <c r="T76" s="5">
        <v>0</v>
      </c>
      <c r="U76" s="74">
        <v>0</v>
      </c>
      <c r="V76" s="75">
        <v>6.2152777777777779E-2</v>
      </c>
      <c r="W76" s="168" t="s">
        <v>2104</v>
      </c>
    </row>
    <row r="77" spans="1:23">
      <c r="A77" s="38" t="s">
        <v>1563</v>
      </c>
      <c r="B77" s="68" t="s">
        <v>1530</v>
      </c>
      <c r="C77" s="68" t="s">
        <v>1533</v>
      </c>
      <c r="D77" s="68" t="s">
        <v>1534</v>
      </c>
      <c r="E77" s="68" t="s">
        <v>22</v>
      </c>
      <c r="F77" s="5">
        <v>7505</v>
      </c>
      <c r="G77" s="10" t="s">
        <v>1533</v>
      </c>
      <c r="H77" s="5">
        <v>6746</v>
      </c>
      <c r="I77" s="69">
        <v>0.89886742171885414</v>
      </c>
      <c r="J77" s="5">
        <v>246</v>
      </c>
      <c r="K77" s="70">
        <v>3.2778147901399067E-2</v>
      </c>
      <c r="L77" s="5">
        <v>0</v>
      </c>
      <c r="M77" s="71">
        <v>0</v>
      </c>
      <c r="N77" s="72">
        <v>207</v>
      </c>
      <c r="O77" s="180">
        <f t="shared" si="1"/>
        <v>2.7581612258494337</v>
      </c>
      <c r="P77" s="72">
        <v>306</v>
      </c>
      <c r="Q77" s="73">
        <v>4.0772818121252496E-2</v>
      </c>
      <c r="R77" s="10">
        <v>0</v>
      </c>
      <c r="S77" s="70">
        <v>0</v>
      </c>
      <c r="T77" s="5">
        <v>0</v>
      </c>
      <c r="U77" s="74">
        <v>0</v>
      </c>
      <c r="V77" s="75">
        <v>6.8354430379746839E-2</v>
      </c>
      <c r="W77" s="168" t="s">
        <v>2104</v>
      </c>
    </row>
    <row r="78" spans="1:23">
      <c r="A78" s="38" t="s">
        <v>1563</v>
      </c>
      <c r="B78" s="68" t="s">
        <v>1538</v>
      </c>
      <c r="C78" s="68" t="s">
        <v>31</v>
      </c>
      <c r="D78" s="68" t="s">
        <v>1536</v>
      </c>
      <c r="E78" s="68" t="s">
        <v>1539</v>
      </c>
      <c r="F78" s="5">
        <v>8280</v>
      </c>
      <c r="G78" s="77" t="s">
        <v>1540</v>
      </c>
      <c r="H78" s="5">
        <v>6491</v>
      </c>
      <c r="I78" s="69">
        <v>0.78393719806763285</v>
      </c>
      <c r="J78" s="10">
        <v>390</v>
      </c>
      <c r="K78" s="70">
        <v>4.710144927536232E-2</v>
      </c>
      <c r="L78" s="10">
        <v>387</v>
      </c>
      <c r="M78" s="71">
        <v>4.6739130434782609E-2</v>
      </c>
      <c r="N78" s="72">
        <v>280</v>
      </c>
      <c r="O78" s="180">
        <f t="shared" si="1"/>
        <v>3.3816425120772946</v>
      </c>
      <c r="P78" s="72">
        <v>340</v>
      </c>
      <c r="Q78" s="73">
        <v>4.1062801932367152E-2</v>
      </c>
      <c r="R78" s="10">
        <v>0</v>
      </c>
      <c r="S78" s="70">
        <v>0</v>
      </c>
      <c r="T78" s="10">
        <v>392</v>
      </c>
      <c r="U78" s="74">
        <v>4.7342995169082129E-2</v>
      </c>
      <c r="V78" s="75">
        <v>0.12222222222222223</v>
      </c>
      <c r="W78" s="168" t="s">
        <v>1195</v>
      </c>
    </row>
    <row r="79" spans="1:23">
      <c r="A79" s="77" t="s">
        <v>1564</v>
      </c>
      <c r="B79" s="68" t="s">
        <v>1530</v>
      </c>
      <c r="C79" s="76" t="s">
        <v>27</v>
      </c>
      <c r="D79" s="68" t="s">
        <v>1536</v>
      </c>
      <c r="E79" s="68" t="s">
        <v>22</v>
      </c>
      <c r="F79" s="5">
        <v>2227</v>
      </c>
      <c r="G79" s="10" t="s">
        <v>1535</v>
      </c>
      <c r="H79" s="5">
        <v>1633</v>
      </c>
      <c r="I79" s="69">
        <v>0.7332734620565784</v>
      </c>
      <c r="J79" s="5">
        <v>90</v>
      </c>
      <c r="K79" s="70">
        <v>4.0413111809609339E-2</v>
      </c>
      <c r="L79" s="10">
        <v>374</v>
      </c>
      <c r="M79" s="71">
        <v>0.16793893129770993</v>
      </c>
      <c r="N79" s="72">
        <v>64</v>
      </c>
      <c r="O79" s="180">
        <f t="shared" si="1"/>
        <v>2.8738212842388862</v>
      </c>
      <c r="P79" s="72">
        <v>66</v>
      </c>
      <c r="Q79" s="73">
        <v>2.9636281993713515E-2</v>
      </c>
      <c r="R79" s="10">
        <v>0</v>
      </c>
      <c r="S79" s="70">
        <v>0</v>
      </c>
      <c r="T79" s="5">
        <v>0</v>
      </c>
      <c r="U79" s="74">
        <v>0</v>
      </c>
      <c r="V79" s="75">
        <v>5.8374494836102381E-2</v>
      </c>
      <c r="W79" s="168" t="s">
        <v>2104</v>
      </c>
    </row>
    <row r="80" spans="1:23">
      <c r="A80" s="77" t="s">
        <v>1564</v>
      </c>
      <c r="B80" s="68" t="s">
        <v>1530</v>
      </c>
      <c r="C80" s="68" t="s">
        <v>1533</v>
      </c>
      <c r="D80" s="68" t="s">
        <v>1534</v>
      </c>
      <c r="E80" s="68" t="s">
        <v>22</v>
      </c>
      <c r="F80" s="5">
        <v>3865</v>
      </c>
      <c r="G80" s="10" t="s">
        <v>1533</v>
      </c>
      <c r="H80" s="5">
        <v>981</v>
      </c>
      <c r="I80" s="69">
        <v>0.25381630012936612</v>
      </c>
      <c r="J80" s="5">
        <v>2683</v>
      </c>
      <c r="K80" s="70">
        <v>0.69417852522639067</v>
      </c>
      <c r="L80" s="10">
        <v>101</v>
      </c>
      <c r="M80" s="71">
        <v>2.613195342820181E-2</v>
      </c>
      <c r="N80" s="72">
        <v>100</v>
      </c>
      <c r="O80" s="180">
        <f t="shared" si="1"/>
        <v>2.58732212160414</v>
      </c>
      <c r="P80" s="72">
        <v>0</v>
      </c>
      <c r="Q80" s="73">
        <v>0</v>
      </c>
      <c r="R80" s="10">
        <v>0</v>
      </c>
      <c r="S80" s="70">
        <v>0</v>
      </c>
      <c r="T80" s="5">
        <v>0</v>
      </c>
      <c r="U80" s="74">
        <v>0</v>
      </c>
      <c r="V80" s="75">
        <v>2.5873221216041398E-2</v>
      </c>
      <c r="W80" s="168" t="s">
        <v>2104</v>
      </c>
    </row>
    <row r="81" spans="1:23">
      <c r="A81" s="77" t="s">
        <v>1564</v>
      </c>
      <c r="B81" s="68" t="s">
        <v>1538</v>
      </c>
      <c r="C81" s="68" t="s">
        <v>31</v>
      </c>
      <c r="D81" s="68" t="s">
        <v>1536</v>
      </c>
      <c r="E81" s="68" t="s">
        <v>1539</v>
      </c>
      <c r="F81" s="5">
        <v>7920</v>
      </c>
      <c r="G81" s="77" t="s">
        <v>1540</v>
      </c>
      <c r="H81" s="5">
        <v>5979</v>
      </c>
      <c r="I81" s="69">
        <v>0.75492424242424239</v>
      </c>
      <c r="J81" s="5">
        <v>377</v>
      </c>
      <c r="K81" s="70">
        <v>4.7601010101010102E-2</v>
      </c>
      <c r="L81" s="10">
        <v>440</v>
      </c>
      <c r="M81" s="71">
        <v>5.5555555555555552E-2</v>
      </c>
      <c r="N81" s="78">
        <v>330</v>
      </c>
      <c r="O81" s="180">
        <f t="shared" si="1"/>
        <v>4.1666666666666661</v>
      </c>
      <c r="P81" s="72">
        <v>335</v>
      </c>
      <c r="Q81" s="73">
        <v>4.22979797979798E-2</v>
      </c>
      <c r="R81" s="10">
        <v>0</v>
      </c>
      <c r="S81" s="70">
        <v>0</v>
      </c>
      <c r="T81" s="5">
        <v>459</v>
      </c>
      <c r="U81" s="74">
        <v>5.7954545454545453E-2</v>
      </c>
      <c r="V81" s="75">
        <v>0.14191919191919192</v>
      </c>
      <c r="W81" s="168" t="s">
        <v>1195</v>
      </c>
    </row>
    <row r="82" spans="1:23">
      <c r="A82" s="77" t="s">
        <v>1565</v>
      </c>
      <c r="B82" s="68" t="s">
        <v>1530</v>
      </c>
      <c r="C82" s="68" t="s">
        <v>24</v>
      </c>
      <c r="D82" s="68" t="s">
        <v>1534</v>
      </c>
      <c r="E82" s="68" t="s">
        <v>22</v>
      </c>
      <c r="F82" s="5">
        <v>2880</v>
      </c>
      <c r="G82" s="10" t="s">
        <v>1544</v>
      </c>
      <c r="H82" s="5">
        <v>2720</v>
      </c>
      <c r="I82" s="69">
        <v>0.94444444444444442</v>
      </c>
      <c r="J82" s="5">
        <v>68</v>
      </c>
      <c r="K82" s="70">
        <v>2.361111111111111E-2</v>
      </c>
      <c r="L82" s="10">
        <v>30</v>
      </c>
      <c r="M82" s="71">
        <v>1.0416666666666666E-2</v>
      </c>
      <c r="N82" s="78">
        <v>10</v>
      </c>
      <c r="O82" s="180">
        <f t="shared" si="1"/>
        <v>0.34722222222222221</v>
      </c>
      <c r="P82" s="72">
        <v>16</v>
      </c>
      <c r="Q82" s="73">
        <v>5.5555555555555558E-3</v>
      </c>
      <c r="R82" s="10">
        <v>0</v>
      </c>
      <c r="S82" s="70">
        <v>0</v>
      </c>
      <c r="T82" s="5">
        <v>36</v>
      </c>
      <c r="U82" s="74">
        <v>1.2500000000000001E-2</v>
      </c>
      <c r="V82" s="75">
        <v>2.1527777777777778E-2</v>
      </c>
      <c r="W82" s="168" t="s">
        <v>2104</v>
      </c>
    </row>
    <row r="83" spans="1:23">
      <c r="A83" s="77" t="s">
        <v>1565</v>
      </c>
      <c r="B83" s="68" t="s">
        <v>1530</v>
      </c>
      <c r="C83" s="68" t="s">
        <v>1533</v>
      </c>
      <c r="D83" s="68" t="s">
        <v>1536</v>
      </c>
      <c r="E83" s="68" t="s">
        <v>22</v>
      </c>
      <c r="F83" s="5">
        <v>2527</v>
      </c>
      <c r="G83" s="10" t="s">
        <v>1533</v>
      </c>
      <c r="H83" s="5">
        <v>2095</v>
      </c>
      <c r="I83" s="69">
        <v>0.82904629996042734</v>
      </c>
      <c r="J83" s="5">
        <v>29</v>
      </c>
      <c r="K83" s="70">
        <v>1.147605856747131E-2</v>
      </c>
      <c r="L83" s="10">
        <v>256</v>
      </c>
      <c r="M83" s="71">
        <v>0.10130589631974674</v>
      </c>
      <c r="N83" s="78">
        <v>42</v>
      </c>
      <c r="O83" s="180">
        <f t="shared" si="1"/>
        <v>1.662049861495845</v>
      </c>
      <c r="P83" s="72">
        <v>63</v>
      </c>
      <c r="Q83" s="73">
        <v>2.4930747922437674E-2</v>
      </c>
      <c r="R83" s="10">
        <v>0</v>
      </c>
      <c r="S83" s="70">
        <v>0</v>
      </c>
      <c r="T83" s="5">
        <v>42</v>
      </c>
      <c r="U83" s="74">
        <v>1.662049861495845E-2</v>
      </c>
      <c r="V83" s="75">
        <v>5.8171745152354577E-2</v>
      </c>
      <c r="W83" s="168" t="s">
        <v>2104</v>
      </c>
    </row>
    <row r="84" spans="1:23">
      <c r="A84" s="77" t="s">
        <v>1565</v>
      </c>
      <c r="B84" s="68" t="s">
        <v>1538</v>
      </c>
      <c r="C84" s="68" t="s">
        <v>31</v>
      </c>
      <c r="D84" s="68" t="s">
        <v>1536</v>
      </c>
      <c r="E84" s="68" t="s">
        <v>22</v>
      </c>
      <c r="F84" s="5">
        <v>6680</v>
      </c>
      <c r="G84" s="77" t="s">
        <v>1540</v>
      </c>
      <c r="H84" s="5">
        <v>4371</v>
      </c>
      <c r="I84" s="69">
        <v>0.65434131736526946</v>
      </c>
      <c r="J84" s="5">
        <v>280</v>
      </c>
      <c r="K84" s="70">
        <v>4.1916167664670656E-2</v>
      </c>
      <c r="L84" s="10">
        <v>1422</v>
      </c>
      <c r="M84" s="71">
        <v>0.21287425149700598</v>
      </c>
      <c r="N84" s="78">
        <v>255</v>
      </c>
      <c r="O84" s="180">
        <f t="shared" si="1"/>
        <v>3.817365269461078</v>
      </c>
      <c r="P84" s="72">
        <v>0</v>
      </c>
      <c r="Q84" s="73">
        <v>0</v>
      </c>
      <c r="R84" s="10">
        <v>40</v>
      </c>
      <c r="S84" s="70">
        <v>5.9880239520958087E-3</v>
      </c>
      <c r="T84" s="5">
        <v>312</v>
      </c>
      <c r="U84" s="74">
        <v>4.6706586826347304E-2</v>
      </c>
      <c r="V84" s="75">
        <v>9.0868263473053892E-2</v>
      </c>
      <c r="W84" s="168" t="s">
        <v>1195</v>
      </c>
    </row>
    <row r="85" spans="1:23">
      <c r="A85" s="77" t="s">
        <v>1566</v>
      </c>
      <c r="B85" s="68" t="s">
        <v>1530</v>
      </c>
      <c r="C85" s="68" t="s">
        <v>24</v>
      </c>
      <c r="D85" s="68" t="s">
        <v>1534</v>
      </c>
      <c r="E85" s="68" t="s">
        <v>1539</v>
      </c>
      <c r="F85" s="5">
        <v>2340</v>
      </c>
      <c r="G85" s="10" t="s">
        <v>1532</v>
      </c>
      <c r="H85" s="5">
        <v>2160</v>
      </c>
      <c r="I85" s="69">
        <v>0.92307692307692313</v>
      </c>
      <c r="J85" s="5">
        <v>80</v>
      </c>
      <c r="K85" s="70">
        <v>3.4188034188034191E-2</v>
      </c>
      <c r="L85" s="5">
        <v>0</v>
      </c>
      <c r="M85" s="71">
        <v>0</v>
      </c>
      <c r="N85" s="78">
        <v>70</v>
      </c>
      <c r="O85" s="180">
        <f t="shared" si="1"/>
        <v>2.9914529914529915</v>
      </c>
      <c r="P85" s="72">
        <v>30</v>
      </c>
      <c r="Q85" s="73">
        <v>1.282051282051282E-2</v>
      </c>
      <c r="R85" s="10">
        <v>0</v>
      </c>
      <c r="S85" s="70">
        <v>0</v>
      </c>
      <c r="T85" s="5">
        <v>0</v>
      </c>
      <c r="U85" s="74">
        <v>0</v>
      </c>
      <c r="V85" s="75">
        <v>4.2735042735042736E-2</v>
      </c>
      <c r="W85" s="168" t="s">
        <v>2104</v>
      </c>
    </row>
    <row r="86" spans="1:23">
      <c r="A86" s="77" t="s">
        <v>1566</v>
      </c>
      <c r="B86" s="68" t="s">
        <v>1530</v>
      </c>
      <c r="C86" s="68" t="s">
        <v>24</v>
      </c>
      <c r="D86" s="68" t="s">
        <v>1534</v>
      </c>
      <c r="E86" s="68" t="s">
        <v>22</v>
      </c>
      <c r="F86" s="5">
        <v>1260</v>
      </c>
      <c r="G86" s="10" t="s">
        <v>1532</v>
      </c>
      <c r="H86" s="5">
        <v>1048</v>
      </c>
      <c r="I86" s="69">
        <v>0.83174603174603179</v>
      </c>
      <c r="J86" s="5">
        <v>37</v>
      </c>
      <c r="K86" s="70">
        <v>2.9365079365079365E-2</v>
      </c>
      <c r="L86" s="5">
        <v>0</v>
      </c>
      <c r="M86" s="71">
        <v>0</v>
      </c>
      <c r="N86" s="78">
        <v>35</v>
      </c>
      <c r="O86" s="180">
        <f t="shared" si="1"/>
        <v>2.7777777777777777</v>
      </c>
      <c r="P86" s="72">
        <v>140</v>
      </c>
      <c r="Q86" s="73">
        <v>0.1111111111111111</v>
      </c>
      <c r="R86" s="10">
        <v>0</v>
      </c>
      <c r="S86" s="70">
        <v>0</v>
      </c>
      <c r="T86" s="5">
        <v>0</v>
      </c>
      <c r="U86" s="74">
        <v>0</v>
      </c>
      <c r="V86" s="75">
        <v>0.1388888888888889</v>
      </c>
      <c r="W86" s="168" t="s">
        <v>2104</v>
      </c>
    </row>
    <row r="87" spans="1:23">
      <c r="A87" s="77" t="s">
        <v>1566</v>
      </c>
      <c r="B87" s="68" t="s">
        <v>1538</v>
      </c>
      <c r="C87" s="68" t="s">
        <v>31</v>
      </c>
      <c r="D87" s="68" t="s">
        <v>1536</v>
      </c>
      <c r="E87" s="68" t="s">
        <v>1539</v>
      </c>
      <c r="F87" s="5">
        <v>7200</v>
      </c>
      <c r="G87" s="77" t="s">
        <v>1540</v>
      </c>
      <c r="H87" s="5">
        <v>5309</v>
      </c>
      <c r="I87" s="69">
        <v>0.73736111111111113</v>
      </c>
      <c r="J87" s="5">
        <v>438</v>
      </c>
      <c r="K87" s="70">
        <v>6.0833333333333336E-2</v>
      </c>
      <c r="L87" s="10">
        <v>411</v>
      </c>
      <c r="M87" s="71">
        <v>5.7083333333333333E-2</v>
      </c>
      <c r="N87" s="72">
        <v>580</v>
      </c>
      <c r="O87" s="180">
        <f t="shared" si="1"/>
        <v>8.0555555555555554</v>
      </c>
      <c r="P87" s="72">
        <v>241</v>
      </c>
      <c r="Q87" s="73">
        <v>3.3472222222222223E-2</v>
      </c>
      <c r="R87" s="10">
        <v>0</v>
      </c>
      <c r="S87" s="70">
        <v>0</v>
      </c>
      <c r="T87" s="10">
        <v>221</v>
      </c>
      <c r="U87" s="74">
        <v>3.0694444444444444E-2</v>
      </c>
      <c r="V87" s="75">
        <v>0.14472222222222222</v>
      </c>
      <c r="W87" s="168" t="s">
        <v>1195</v>
      </c>
    </row>
    <row r="88" spans="1:23">
      <c r="A88" s="77" t="s">
        <v>1567</v>
      </c>
      <c r="B88" s="68" t="s">
        <v>1530</v>
      </c>
      <c r="C88" s="68" t="s">
        <v>1533</v>
      </c>
      <c r="D88" s="68" t="s">
        <v>1534</v>
      </c>
      <c r="E88" s="68" t="s">
        <v>22</v>
      </c>
      <c r="F88" s="5">
        <v>4500</v>
      </c>
      <c r="G88" s="10" t="s">
        <v>1533</v>
      </c>
      <c r="H88" s="5">
        <v>4120</v>
      </c>
      <c r="I88" s="69">
        <v>0.91555555555555557</v>
      </c>
      <c r="J88" s="5">
        <v>0</v>
      </c>
      <c r="K88" s="70">
        <v>0</v>
      </c>
      <c r="L88" s="10">
        <v>0</v>
      </c>
      <c r="M88" s="71">
        <v>0</v>
      </c>
      <c r="N88" s="72">
        <v>68</v>
      </c>
      <c r="O88" s="180">
        <f t="shared" si="1"/>
        <v>1.5111111111111111</v>
      </c>
      <c r="P88" s="72">
        <v>26</v>
      </c>
      <c r="Q88" s="73">
        <v>5.7777777777777775E-3</v>
      </c>
      <c r="R88" s="10">
        <v>286</v>
      </c>
      <c r="S88" s="70">
        <v>6.355555555555556E-2</v>
      </c>
      <c r="T88" s="5">
        <v>0</v>
      </c>
      <c r="U88" s="74">
        <v>0</v>
      </c>
      <c r="V88" s="75">
        <v>8.4444444444444447E-2</v>
      </c>
      <c r="W88" s="168" t="s">
        <v>2104</v>
      </c>
    </row>
    <row r="89" spans="1:23">
      <c r="A89" s="77" t="s">
        <v>1567</v>
      </c>
      <c r="B89" s="68" t="s">
        <v>1538</v>
      </c>
      <c r="C89" s="68" t="s">
        <v>31</v>
      </c>
      <c r="D89" s="68" t="s">
        <v>1536</v>
      </c>
      <c r="E89" s="68" t="s">
        <v>1539</v>
      </c>
      <c r="F89" s="5">
        <v>3600</v>
      </c>
      <c r="G89" s="77" t="s">
        <v>1540</v>
      </c>
      <c r="H89" s="5">
        <v>2700</v>
      </c>
      <c r="I89" s="69">
        <v>0.75</v>
      </c>
      <c r="J89" s="5">
        <v>131</v>
      </c>
      <c r="K89" s="70">
        <v>3.6388888888888887E-2</v>
      </c>
      <c r="L89" s="10">
        <v>98</v>
      </c>
      <c r="M89" s="71">
        <v>2.7222222222222221E-2</v>
      </c>
      <c r="N89" s="72">
        <v>521</v>
      </c>
      <c r="O89" s="180">
        <f t="shared" si="1"/>
        <v>14.472222222222223</v>
      </c>
      <c r="P89" s="72">
        <v>100</v>
      </c>
      <c r="Q89" s="73">
        <v>2.7777777777777776E-2</v>
      </c>
      <c r="R89" s="10">
        <v>0</v>
      </c>
      <c r="S89" s="70">
        <v>0</v>
      </c>
      <c r="T89" s="5">
        <v>50</v>
      </c>
      <c r="U89" s="74">
        <v>1.3888888888888888E-2</v>
      </c>
      <c r="V89" s="75">
        <v>0.18638888888888888</v>
      </c>
      <c r="W89" s="168" t="s">
        <v>1195</v>
      </c>
    </row>
    <row r="90" spans="1:23">
      <c r="A90" s="77" t="s">
        <v>1567</v>
      </c>
      <c r="B90" s="68" t="s">
        <v>1538</v>
      </c>
      <c r="C90" s="68" t="s">
        <v>31</v>
      </c>
      <c r="D90" s="68" t="s">
        <v>1536</v>
      </c>
      <c r="E90" s="68" t="s">
        <v>22</v>
      </c>
      <c r="F90" s="5">
        <v>1440</v>
      </c>
      <c r="G90" s="77" t="s">
        <v>1540</v>
      </c>
      <c r="H90" s="5">
        <v>1086</v>
      </c>
      <c r="I90" s="69">
        <v>0.75416666666666665</v>
      </c>
      <c r="J90" s="5">
        <v>8</v>
      </c>
      <c r="K90" s="70">
        <v>5.5555555555555558E-3</v>
      </c>
      <c r="L90" s="10">
        <v>102</v>
      </c>
      <c r="M90" s="71">
        <v>7.0833333333333331E-2</v>
      </c>
      <c r="N90" s="72">
        <v>138</v>
      </c>
      <c r="O90" s="180">
        <f t="shared" si="1"/>
        <v>9.5833333333333339</v>
      </c>
      <c r="P90" s="72">
        <v>70</v>
      </c>
      <c r="Q90" s="73">
        <v>4.8611111111111112E-2</v>
      </c>
      <c r="R90" s="10">
        <v>0</v>
      </c>
      <c r="S90" s="70">
        <v>0</v>
      </c>
      <c r="T90" s="5">
        <v>36</v>
      </c>
      <c r="U90" s="74">
        <v>2.5000000000000001E-2</v>
      </c>
      <c r="V90" s="75">
        <v>0.16944444444444445</v>
      </c>
      <c r="W90" s="168" t="s">
        <v>1195</v>
      </c>
    </row>
    <row r="91" spans="1:23">
      <c r="A91" s="77" t="s">
        <v>1568</v>
      </c>
      <c r="B91" s="68" t="s">
        <v>1530</v>
      </c>
      <c r="C91" s="68" t="s">
        <v>24</v>
      </c>
      <c r="D91" s="68" t="s">
        <v>1534</v>
      </c>
      <c r="E91" s="68" t="s">
        <v>1539</v>
      </c>
      <c r="F91" s="5">
        <v>900</v>
      </c>
      <c r="G91" s="10" t="s">
        <v>1532</v>
      </c>
      <c r="H91" s="5">
        <v>796</v>
      </c>
      <c r="I91" s="69">
        <v>0.88444444444444448</v>
      </c>
      <c r="J91" s="5">
        <v>35</v>
      </c>
      <c r="K91" s="70">
        <v>3.888888888888889E-2</v>
      </c>
      <c r="L91" s="5">
        <v>0</v>
      </c>
      <c r="M91" s="71">
        <v>0</v>
      </c>
      <c r="N91" s="72">
        <v>49</v>
      </c>
      <c r="O91" s="180">
        <f t="shared" si="1"/>
        <v>5.4444444444444438</v>
      </c>
      <c r="P91" s="72">
        <v>20</v>
      </c>
      <c r="Q91" s="73">
        <v>2.2222222222222223E-2</v>
      </c>
      <c r="R91" s="10">
        <v>0</v>
      </c>
      <c r="S91" s="70">
        <v>0</v>
      </c>
      <c r="T91" s="5">
        <v>0</v>
      </c>
      <c r="U91" s="74">
        <v>0</v>
      </c>
      <c r="V91" s="75">
        <v>7.6666666666666661E-2</v>
      </c>
      <c r="W91" s="168" t="s">
        <v>2104</v>
      </c>
    </row>
    <row r="92" spans="1:23">
      <c r="A92" s="77" t="s">
        <v>1568</v>
      </c>
      <c r="B92" s="68" t="s">
        <v>1530</v>
      </c>
      <c r="C92" s="68" t="s">
        <v>1533</v>
      </c>
      <c r="D92" s="68" t="s">
        <v>1534</v>
      </c>
      <c r="E92" s="68" t="s">
        <v>22</v>
      </c>
      <c r="F92" s="5">
        <v>3600</v>
      </c>
      <c r="G92" s="10" t="s">
        <v>1533</v>
      </c>
      <c r="H92" s="5">
        <v>3318</v>
      </c>
      <c r="I92" s="69">
        <v>0.92166666666666663</v>
      </c>
      <c r="J92" s="5">
        <v>0</v>
      </c>
      <c r="K92" s="70">
        <v>0</v>
      </c>
      <c r="L92" s="5">
        <v>0</v>
      </c>
      <c r="M92" s="71">
        <v>0</v>
      </c>
      <c r="N92" s="72">
        <v>70</v>
      </c>
      <c r="O92" s="180">
        <f t="shared" si="1"/>
        <v>1.9444444444444444</v>
      </c>
      <c r="P92" s="72">
        <v>37</v>
      </c>
      <c r="Q92" s="73">
        <v>1.0277777777777778E-2</v>
      </c>
      <c r="R92" s="10">
        <v>175</v>
      </c>
      <c r="S92" s="70">
        <v>4.8611111111111112E-2</v>
      </c>
      <c r="T92" s="5">
        <v>0</v>
      </c>
      <c r="U92" s="74">
        <v>0</v>
      </c>
      <c r="V92" s="75">
        <v>7.8333333333333338E-2</v>
      </c>
      <c r="W92" s="168" t="s">
        <v>2104</v>
      </c>
    </row>
    <row r="93" spans="1:23">
      <c r="A93" s="77" t="s">
        <v>1568</v>
      </c>
      <c r="B93" s="68" t="s">
        <v>1549</v>
      </c>
      <c r="C93" s="76" t="s">
        <v>29</v>
      </c>
      <c r="D93" s="68" t="s">
        <v>1550</v>
      </c>
      <c r="E93" s="68" t="s">
        <v>1539</v>
      </c>
      <c r="F93" s="5">
        <v>9720</v>
      </c>
      <c r="G93" s="10" t="s">
        <v>1551</v>
      </c>
      <c r="H93" s="5">
        <v>9520</v>
      </c>
      <c r="I93" s="69">
        <v>0.97942386831275718</v>
      </c>
      <c r="J93" s="5">
        <v>0</v>
      </c>
      <c r="K93" s="70">
        <v>0</v>
      </c>
      <c r="L93" s="5">
        <v>0</v>
      </c>
      <c r="M93" s="71">
        <v>0</v>
      </c>
      <c r="N93" s="72">
        <v>0</v>
      </c>
      <c r="O93" s="180">
        <f t="shared" si="1"/>
        <v>0</v>
      </c>
      <c r="P93" s="72">
        <v>200</v>
      </c>
      <c r="Q93" s="73">
        <v>2.0576131687242798E-2</v>
      </c>
      <c r="R93" s="10">
        <v>0</v>
      </c>
      <c r="S93" s="70">
        <v>0</v>
      </c>
      <c r="T93" s="5">
        <v>0</v>
      </c>
      <c r="U93" s="74">
        <v>0</v>
      </c>
      <c r="V93" s="75">
        <v>2.0576131687242798E-2</v>
      </c>
      <c r="W93" s="168" t="s">
        <v>2104</v>
      </c>
    </row>
    <row r="94" spans="1:23">
      <c r="A94" s="77" t="s">
        <v>1568</v>
      </c>
      <c r="B94" s="68" t="s">
        <v>1538</v>
      </c>
      <c r="C94" s="5" t="s">
        <v>31</v>
      </c>
      <c r="D94" s="68" t="s">
        <v>1536</v>
      </c>
      <c r="E94" s="68" t="s">
        <v>22</v>
      </c>
      <c r="F94" s="5">
        <v>3080</v>
      </c>
      <c r="G94" s="77" t="s">
        <v>1540</v>
      </c>
      <c r="H94" s="5">
        <v>2700</v>
      </c>
      <c r="I94" s="69">
        <v>0.87662337662337664</v>
      </c>
      <c r="J94" s="5">
        <v>190</v>
      </c>
      <c r="K94" s="70">
        <v>6.1688311688311688E-2</v>
      </c>
      <c r="L94" s="5">
        <v>20</v>
      </c>
      <c r="M94" s="71">
        <v>6.4935064935064939E-3</v>
      </c>
      <c r="N94" s="72">
        <v>100</v>
      </c>
      <c r="O94" s="180">
        <f t="shared" si="1"/>
        <v>3.2467532467532463</v>
      </c>
      <c r="P94" s="72">
        <v>70</v>
      </c>
      <c r="Q94" s="73">
        <v>2.2727272727272728E-2</v>
      </c>
      <c r="R94" s="10">
        <v>0</v>
      </c>
      <c r="S94" s="70">
        <v>0</v>
      </c>
      <c r="T94" s="10">
        <v>0</v>
      </c>
      <c r="U94" s="74">
        <v>0</v>
      </c>
      <c r="V94" s="75">
        <v>5.5194805194805192E-2</v>
      </c>
      <c r="W94" s="168" t="s">
        <v>1195</v>
      </c>
    </row>
    <row r="95" spans="1:23">
      <c r="A95" s="77" t="s">
        <v>1568</v>
      </c>
      <c r="B95" s="68" t="s">
        <v>1538</v>
      </c>
      <c r="C95" s="5" t="s">
        <v>31</v>
      </c>
      <c r="D95" s="68" t="s">
        <v>1536</v>
      </c>
      <c r="E95" s="68" t="s">
        <v>1539</v>
      </c>
      <c r="F95" s="5">
        <v>2340</v>
      </c>
      <c r="G95" s="77" t="s">
        <v>1540</v>
      </c>
      <c r="H95" s="5">
        <v>1846</v>
      </c>
      <c r="I95" s="69">
        <v>0.78888888888888886</v>
      </c>
      <c r="J95" s="5">
        <v>249</v>
      </c>
      <c r="K95" s="70">
        <v>0.10641025641025641</v>
      </c>
      <c r="L95" s="5">
        <v>110</v>
      </c>
      <c r="M95" s="71">
        <v>4.7008547008547008E-2</v>
      </c>
      <c r="N95" s="72">
        <v>97</v>
      </c>
      <c r="O95" s="180">
        <f t="shared" si="1"/>
        <v>4.1452991452991448</v>
      </c>
      <c r="P95" s="72">
        <v>38</v>
      </c>
      <c r="Q95" s="73">
        <v>1.6239316239316241E-2</v>
      </c>
      <c r="R95" s="10">
        <v>0</v>
      </c>
      <c r="S95" s="70">
        <v>0</v>
      </c>
      <c r="T95" s="10">
        <v>0</v>
      </c>
      <c r="U95" s="74">
        <v>0</v>
      </c>
      <c r="V95" s="75">
        <v>5.7692307692307696E-2</v>
      </c>
      <c r="W95" s="168" t="s">
        <v>1195</v>
      </c>
    </row>
    <row r="96" spans="1:23">
      <c r="A96" s="77" t="s">
        <v>1569</v>
      </c>
      <c r="B96" s="68" t="s">
        <v>1538</v>
      </c>
      <c r="C96" s="68" t="s">
        <v>31</v>
      </c>
      <c r="D96" s="68" t="s">
        <v>1536</v>
      </c>
      <c r="E96" s="68" t="s">
        <v>1539</v>
      </c>
      <c r="F96" s="5">
        <v>3470</v>
      </c>
      <c r="G96" s="77" t="s">
        <v>1540</v>
      </c>
      <c r="H96" s="5">
        <v>2617</v>
      </c>
      <c r="I96" s="69">
        <v>0.75417867435158503</v>
      </c>
      <c r="J96" s="5">
        <v>180</v>
      </c>
      <c r="K96" s="70">
        <v>5.1873198847262249E-2</v>
      </c>
      <c r="L96" s="5">
        <v>308</v>
      </c>
      <c r="M96" s="71">
        <v>8.8760806916426516E-2</v>
      </c>
      <c r="N96" s="72">
        <v>265</v>
      </c>
      <c r="O96" s="180">
        <f t="shared" si="1"/>
        <v>7.6368876080691637</v>
      </c>
      <c r="P96" s="72">
        <v>0</v>
      </c>
      <c r="Q96" s="73">
        <v>0</v>
      </c>
      <c r="R96" s="10">
        <v>0</v>
      </c>
      <c r="S96" s="70">
        <v>0</v>
      </c>
      <c r="T96" s="10">
        <v>100</v>
      </c>
      <c r="U96" s="74">
        <v>2.8818443804034581E-2</v>
      </c>
      <c r="V96" s="75">
        <v>0.10518731988472621</v>
      </c>
      <c r="W96" s="168" t="s">
        <v>1195</v>
      </c>
    </row>
    <row r="97" spans="1:23">
      <c r="A97" s="77" t="s">
        <v>1569</v>
      </c>
      <c r="B97" s="68" t="s">
        <v>1538</v>
      </c>
      <c r="C97" s="68" t="s">
        <v>31</v>
      </c>
      <c r="D97" s="68" t="s">
        <v>1536</v>
      </c>
      <c r="E97" s="68" t="s">
        <v>22</v>
      </c>
      <c r="F97" s="5">
        <v>1800</v>
      </c>
      <c r="G97" s="77" t="s">
        <v>1540</v>
      </c>
      <c r="H97" s="5">
        <v>1260</v>
      </c>
      <c r="I97" s="69">
        <v>0.7</v>
      </c>
      <c r="J97" s="5">
        <v>293</v>
      </c>
      <c r="K97" s="70">
        <v>0.16277777777777777</v>
      </c>
      <c r="L97" s="5">
        <v>22</v>
      </c>
      <c r="M97" s="71">
        <v>1.2222222222222223E-2</v>
      </c>
      <c r="N97" s="72">
        <v>275</v>
      </c>
      <c r="O97" s="180">
        <f t="shared" si="1"/>
        <v>15.277777777777779</v>
      </c>
      <c r="P97" s="72">
        <v>0</v>
      </c>
      <c r="Q97" s="73">
        <v>0</v>
      </c>
      <c r="R97" s="10">
        <v>0</v>
      </c>
      <c r="S97" s="70">
        <v>0</v>
      </c>
      <c r="T97" s="5">
        <v>57</v>
      </c>
      <c r="U97" s="74">
        <v>3.1666666666666669E-2</v>
      </c>
      <c r="V97" s="75">
        <v>0.18444444444444447</v>
      </c>
      <c r="W97" s="168" t="s">
        <v>1195</v>
      </c>
    </row>
    <row r="98" spans="1:23">
      <c r="A98" s="77" t="s">
        <v>1570</v>
      </c>
      <c r="B98" s="68" t="s">
        <v>1549</v>
      </c>
      <c r="C98" s="76" t="s">
        <v>29</v>
      </c>
      <c r="D98" s="68" t="s">
        <v>1550</v>
      </c>
      <c r="E98" s="68" t="s">
        <v>22</v>
      </c>
      <c r="F98" s="5">
        <v>5600</v>
      </c>
      <c r="G98" s="10" t="s">
        <v>1551</v>
      </c>
      <c r="H98" s="5">
        <v>5440</v>
      </c>
      <c r="I98" s="69">
        <v>0.97142857142857142</v>
      </c>
      <c r="J98" s="5">
        <v>0</v>
      </c>
      <c r="K98" s="70">
        <v>0</v>
      </c>
      <c r="L98" s="5">
        <v>0</v>
      </c>
      <c r="M98" s="71">
        <v>0</v>
      </c>
      <c r="N98" s="72">
        <v>0</v>
      </c>
      <c r="O98" s="180">
        <f t="shared" si="1"/>
        <v>0</v>
      </c>
      <c r="P98" s="72">
        <v>160</v>
      </c>
      <c r="Q98" s="73">
        <v>2.8571428571428571E-2</v>
      </c>
      <c r="R98" s="10">
        <v>0</v>
      </c>
      <c r="S98" s="70">
        <v>0</v>
      </c>
      <c r="T98" s="5">
        <v>0</v>
      </c>
      <c r="U98" s="74">
        <v>0</v>
      </c>
      <c r="V98" s="75">
        <v>2.8571428571428571E-2</v>
      </c>
      <c r="W98" s="168" t="s">
        <v>2104</v>
      </c>
    </row>
    <row r="99" spans="1:23">
      <c r="A99" s="77" t="s">
        <v>1570</v>
      </c>
      <c r="B99" s="68" t="s">
        <v>1538</v>
      </c>
      <c r="C99" s="68" t="s">
        <v>31</v>
      </c>
      <c r="D99" s="68" t="s">
        <v>1536</v>
      </c>
      <c r="E99" s="68" t="s">
        <v>22</v>
      </c>
      <c r="F99" s="5">
        <v>900</v>
      </c>
      <c r="G99" s="77" t="s">
        <v>1540</v>
      </c>
      <c r="H99" s="5">
        <v>642</v>
      </c>
      <c r="I99" s="69">
        <v>0.71333333333333337</v>
      </c>
      <c r="J99" s="5">
        <v>8</v>
      </c>
      <c r="K99" s="70">
        <v>8.8888888888888889E-3</v>
      </c>
      <c r="L99" s="5">
        <v>50</v>
      </c>
      <c r="M99" s="71">
        <v>5.5555555555555552E-2</v>
      </c>
      <c r="N99" s="72">
        <v>100</v>
      </c>
      <c r="O99" s="180">
        <f t="shared" si="1"/>
        <v>11.111111111111111</v>
      </c>
      <c r="P99" s="72">
        <v>70</v>
      </c>
      <c r="Q99" s="73">
        <v>7.7777777777777779E-2</v>
      </c>
      <c r="R99" s="10">
        <v>0</v>
      </c>
      <c r="S99" s="70">
        <v>0</v>
      </c>
      <c r="T99" s="5">
        <v>30</v>
      </c>
      <c r="U99" s="74">
        <v>3.3333333333333333E-2</v>
      </c>
      <c r="V99" s="75">
        <v>0.22222222222222221</v>
      </c>
      <c r="W99" s="168" t="s">
        <v>1195</v>
      </c>
    </row>
    <row r="100" spans="1:23">
      <c r="A100" s="77" t="s">
        <v>1570</v>
      </c>
      <c r="B100" s="68" t="s">
        <v>1538</v>
      </c>
      <c r="C100" s="68" t="s">
        <v>31</v>
      </c>
      <c r="D100" s="68" t="s">
        <v>1536</v>
      </c>
      <c r="E100" s="68" t="s">
        <v>1539</v>
      </c>
      <c r="F100" s="5">
        <v>1620</v>
      </c>
      <c r="G100" s="77" t="s">
        <v>1540</v>
      </c>
      <c r="H100" s="5">
        <v>1209</v>
      </c>
      <c r="I100" s="69">
        <v>0.74629629629629635</v>
      </c>
      <c r="J100" s="5">
        <v>165</v>
      </c>
      <c r="K100" s="70">
        <v>0.10185185185185185</v>
      </c>
      <c r="L100" s="5">
        <v>23</v>
      </c>
      <c r="M100" s="71">
        <v>1.4197530864197531E-2</v>
      </c>
      <c r="N100" s="78">
        <v>163</v>
      </c>
      <c r="O100" s="180">
        <f t="shared" si="1"/>
        <v>10.061728395061728</v>
      </c>
      <c r="P100" s="72">
        <v>42</v>
      </c>
      <c r="Q100" s="73">
        <v>2.5925925925925925E-2</v>
      </c>
      <c r="R100" s="10">
        <v>0</v>
      </c>
      <c r="S100" s="70">
        <v>0</v>
      </c>
      <c r="T100" s="5">
        <v>18</v>
      </c>
      <c r="U100" s="74">
        <v>1.1111111111111112E-2</v>
      </c>
      <c r="V100" s="75">
        <v>0.13765432098765432</v>
      </c>
      <c r="W100" s="168" t="s">
        <v>1195</v>
      </c>
    </row>
    <row r="101" spans="1:23">
      <c r="A101" s="77" t="s">
        <v>1571</v>
      </c>
      <c r="B101" s="68" t="s">
        <v>1549</v>
      </c>
      <c r="C101" s="76" t="s">
        <v>29</v>
      </c>
      <c r="D101" s="68" t="s">
        <v>1560</v>
      </c>
      <c r="E101" s="68" t="s">
        <v>22</v>
      </c>
      <c r="F101" s="5">
        <v>1730</v>
      </c>
      <c r="G101" s="10" t="s">
        <v>1551</v>
      </c>
      <c r="H101" s="5">
        <v>1700</v>
      </c>
      <c r="I101" s="69">
        <v>0.98265895953757221</v>
      </c>
      <c r="J101" s="5">
        <v>0</v>
      </c>
      <c r="K101" s="70">
        <v>0</v>
      </c>
      <c r="L101" s="5">
        <v>0</v>
      </c>
      <c r="M101" s="71">
        <v>0</v>
      </c>
      <c r="N101" s="78">
        <v>3</v>
      </c>
      <c r="O101" s="180">
        <f t="shared" si="1"/>
        <v>0.17341040462427745</v>
      </c>
      <c r="P101" s="72">
        <v>7</v>
      </c>
      <c r="Q101" s="73">
        <v>4.0462427745664737E-3</v>
      </c>
      <c r="R101" s="10">
        <v>20</v>
      </c>
      <c r="S101" s="70">
        <v>1.1560693641618497E-2</v>
      </c>
      <c r="T101" s="5">
        <v>0</v>
      </c>
      <c r="U101" s="74">
        <v>0</v>
      </c>
      <c r="V101" s="75">
        <v>1.7341040462427744E-2</v>
      </c>
      <c r="W101" s="168" t="s">
        <v>2104</v>
      </c>
    </row>
    <row r="102" spans="1:23">
      <c r="A102" s="77" t="s">
        <v>1571</v>
      </c>
      <c r="B102" s="68" t="s">
        <v>1549</v>
      </c>
      <c r="C102" s="76" t="s">
        <v>29</v>
      </c>
      <c r="D102" s="68" t="s">
        <v>1550</v>
      </c>
      <c r="E102" s="68" t="s">
        <v>22</v>
      </c>
      <c r="F102" s="5">
        <v>12155</v>
      </c>
      <c r="G102" s="10" t="s">
        <v>1551</v>
      </c>
      <c r="H102" s="5">
        <v>11900</v>
      </c>
      <c r="I102" s="69">
        <v>0.97902097902097907</v>
      </c>
      <c r="J102" s="5">
        <v>0</v>
      </c>
      <c r="K102" s="70">
        <v>0</v>
      </c>
      <c r="L102" s="5">
        <v>0</v>
      </c>
      <c r="M102" s="71">
        <v>0</v>
      </c>
      <c r="N102" s="78">
        <v>0</v>
      </c>
      <c r="O102" s="180">
        <f t="shared" si="1"/>
        <v>0</v>
      </c>
      <c r="P102" s="72">
        <v>255</v>
      </c>
      <c r="Q102" s="73">
        <v>2.097902097902098E-2</v>
      </c>
      <c r="R102" s="10">
        <v>0</v>
      </c>
      <c r="S102" s="70">
        <v>0</v>
      </c>
      <c r="T102" s="5">
        <v>0</v>
      </c>
      <c r="U102" s="74">
        <v>0</v>
      </c>
      <c r="V102" s="75">
        <v>2.097902097902098E-2</v>
      </c>
      <c r="W102" s="168" t="s">
        <v>2104</v>
      </c>
    </row>
    <row r="103" spans="1:23">
      <c r="A103" s="77" t="s">
        <v>1571</v>
      </c>
      <c r="B103" s="68" t="s">
        <v>1530</v>
      </c>
      <c r="C103" s="68" t="s">
        <v>1533</v>
      </c>
      <c r="D103" s="68" t="s">
        <v>1534</v>
      </c>
      <c r="E103" s="68" t="s">
        <v>22</v>
      </c>
      <c r="F103" s="5">
        <v>7020</v>
      </c>
      <c r="G103" s="10" t="s">
        <v>1533</v>
      </c>
      <c r="H103" s="5">
        <v>6354</v>
      </c>
      <c r="I103" s="69">
        <v>0.90512820512820513</v>
      </c>
      <c r="J103" s="10">
        <v>0</v>
      </c>
      <c r="K103" s="70">
        <v>0</v>
      </c>
      <c r="L103" s="10">
        <v>27</v>
      </c>
      <c r="M103" s="71">
        <v>3.8461538461538464E-3</v>
      </c>
      <c r="N103" s="72">
        <v>135</v>
      </c>
      <c r="O103" s="180">
        <f t="shared" si="1"/>
        <v>1.9230769230769231</v>
      </c>
      <c r="P103" s="72">
        <v>57</v>
      </c>
      <c r="Q103" s="73">
        <v>8.1196581196581203E-3</v>
      </c>
      <c r="R103" s="10">
        <v>447</v>
      </c>
      <c r="S103" s="70">
        <v>6.3675213675213671E-2</v>
      </c>
      <c r="T103" s="10">
        <v>0</v>
      </c>
      <c r="U103" s="74">
        <v>0</v>
      </c>
      <c r="V103" s="75">
        <v>9.1025641025641021E-2</v>
      </c>
      <c r="W103" s="168" t="s">
        <v>2104</v>
      </c>
    </row>
    <row r="104" spans="1:23">
      <c r="A104" s="77" t="s">
        <v>1571</v>
      </c>
      <c r="B104" s="68" t="s">
        <v>1538</v>
      </c>
      <c r="C104" s="68" t="s">
        <v>31</v>
      </c>
      <c r="D104" s="68" t="s">
        <v>1536</v>
      </c>
      <c r="E104" s="68" t="s">
        <v>1539</v>
      </c>
      <c r="F104" s="5">
        <v>4860</v>
      </c>
      <c r="G104" s="77" t="s">
        <v>1540</v>
      </c>
      <c r="H104" s="5">
        <v>3793</v>
      </c>
      <c r="I104" s="69">
        <v>0.78045267489711934</v>
      </c>
      <c r="J104" s="5">
        <v>395</v>
      </c>
      <c r="K104" s="70">
        <v>8.1275720164609058E-2</v>
      </c>
      <c r="L104" s="5">
        <v>180</v>
      </c>
      <c r="M104" s="71">
        <v>3.7037037037037035E-2</v>
      </c>
      <c r="N104" s="72">
        <v>200</v>
      </c>
      <c r="O104" s="180">
        <f t="shared" si="1"/>
        <v>4.1152263374485596</v>
      </c>
      <c r="P104" s="72">
        <v>150</v>
      </c>
      <c r="Q104" s="73">
        <v>3.0864197530864196E-2</v>
      </c>
      <c r="R104" s="10">
        <v>0</v>
      </c>
      <c r="S104" s="70">
        <v>0</v>
      </c>
      <c r="T104" s="10">
        <v>142</v>
      </c>
      <c r="U104" s="74">
        <v>2.9218106995884775E-2</v>
      </c>
      <c r="V104" s="75">
        <v>0.10123456790123457</v>
      </c>
      <c r="W104" s="168" t="s">
        <v>1195</v>
      </c>
    </row>
    <row r="105" spans="1:23">
      <c r="A105" s="77" t="s">
        <v>1571</v>
      </c>
      <c r="B105" s="68" t="s">
        <v>1538</v>
      </c>
      <c r="C105" s="68" t="s">
        <v>31</v>
      </c>
      <c r="D105" s="68" t="s">
        <v>1536</v>
      </c>
      <c r="E105" s="68" t="s">
        <v>22</v>
      </c>
      <c r="F105" s="5">
        <v>2730</v>
      </c>
      <c r="G105" s="77" t="s">
        <v>1540</v>
      </c>
      <c r="H105" s="5">
        <v>2192</v>
      </c>
      <c r="I105" s="69">
        <v>0.80293040293040296</v>
      </c>
      <c r="J105" s="5">
        <v>82</v>
      </c>
      <c r="K105" s="70">
        <v>3.0036630036630037E-2</v>
      </c>
      <c r="L105" s="5">
        <v>113</v>
      </c>
      <c r="M105" s="71">
        <v>4.1391941391941391E-2</v>
      </c>
      <c r="N105" s="72">
        <v>137</v>
      </c>
      <c r="O105" s="180">
        <f t="shared" si="1"/>
        <v>5.0183150183150182</v>
      </c>
      <c r="P105" s="72">
        <v>123</v>
      </c>
      <c r="Q105" s="73">
        <v>4.5054945054945054E-2</v>
      </c>
      <c r="R105" s="10">
        <v>0</v>
      </c>
      <c r="S105" s="70">
        <v>0</v>
      </c>
      <c r="T105" s="5">
        <v>83</v>
      </c>
      <c r="U105" s="74">
        <v>3.0402930402930402E-2</v>
      </c>
      <c r="V105" s="75">
        <v>0.12564102564102564</v>
      </c>
      <c r="W105" s="168" t="s">
        <v>1195</v>
      </c>
    </row>
    <row r="106" spans="1:23">
      <c r="A106" s="77" t="s">
        <v>1572</v>
      </c>
      <c r="B106" s="68" t="s">
        <v>1549</v>
      </c>
      <c r="C106" s="76" t="s">
        <v>27</v>
      </c>
      <c r="D106" s="68" t="s">
        <v>1550</v>
      </c>
      <c r="E106" s="68" t="s">
        <v>22</v>
      </c>
      <c r="F106" s="5">
        <v>29200</v>
      </c>
      <c r="G106" s="10" t="s">
        <v>1535</v>
      </c>
      <c r="H106" s="5">
        <v>28260</v>
      </c>
      <c r="I106" s="69">
        <v>0.96780821917808224</v>
      </c>
      <c r="J106" s="5">
        <v>0</v>
      </c>
      <c r="K106" s="70">
        <v>0</v>
      </c>
      <c r="L106" s="5">
        <v>0</v>
      </c>
      <c r="M106" s="71">
        <v>0</v>
      </c>
      <c r="N106" s="72">
        <v>0</v>
      </c>
      <c r="O106" s="180">
        <f t="shared" si="1"/>
        <v>0</v>
      </c>
      <c r="P106" s="72">
        <v>940</v>
      </c>
      <c r="Q106" s="73">
        <v>3.2191780821917808E-2</v>
      </c>
      <c r="R106" s="10">
        <v>0</v>
      </c>
      <c r="S106" s="70">
        <v>0</v>
      </c>
      <c r="T106" s="5">
        <v>0</v>
      </c>
      <c r="U106" s="74">
        <v>0</v>
      </c>
      <c r="V106" s="75">
        <v>3.2191780821917808E-2</v>
      </c>
      <c r="W106" s="168" t="s">
        <v>2104</v>
      </c>
    </row>
    <row r="107" spans="1:23">
      <c r="A107" s="77" t="s">
        <v>1572</v>
      </c>
      <c r="B107" s="68" t="s">
        <v>1530</v>
      </c>
      <c r="C107" s="68" t="s">
        <v>1533</v>
      </c>
      <c r="D107" s="68" t="s">
        <v>1534</v>
      </c>
      <c r="E107" s="68" t="s">
        <v>22</v>
      </c>
      <c r="F107" s="5">
        <v>5220</v>
      </c>
      <c r="G107" s="10" t="s">
        <v>1533</v>
      </c>
      <c r="H107" s="5">
        <v>4495</v>
      </c>
      <c r="I107" s="69">
        <v>0.86111111111111116</v>
      </c>
      <c r="J107" s="5">
        <v>0</v>
      </c>
      <c r="K107" s="70">
        <v>0</v>
      </c>
      <c r="L107" s="5">
        <v>0</v>
      </c>
      <c r="M107" s="71">
        <v>0</v>
      </c>
      <c r="N107" s="72">
        <v>140</v>
      </c>
      <c r="O107" s="180">
        <f t="shared" si="1"/>
        <v>2.6819923371647509</v>
      </c>
      <c r="P107" s="72">
        <v>174</v>
      </c>
      <c r="Q107" s="73">
        <v>3.3333333333333333E-2</v>
      </c>
      <c r="R107" s="10">
        <v>411</v>
      </c>
      <c r="S107" s="70">
        <v>7.8735632183908041E-2</v>
      </c>
      <c r="T107" s="5">
        <v>0</v>
      </c>
      <c r="U107" s="74">
        <v>0</v>
      </c>
      <c r="V107" s="75">
        <v>0.1388888888888889</v>
      </c>
      <c r="W107" s="168" t="s">
        <v>2104</v>
      </c>
    </row>
    <row r="108" spans="1:23">
      <c r="A108" s="77" t="s">
        <v>1572</v>
      </c>
      <c r="B108" s="68" t="s">
        <v>1538</v>
      </c>
      <c r="C108" s="68" t="s">
        <v>31</v>
      </c>
      <c r="D108" s="68" t="s">
        <v>1536</v>
      </c>
      <c r="E108" s="68" t="s">
        <v>1539</v>
      </c>
      <c r="F108" s="5">
        <v>1620</v>
      </c>
      <c r="G108" s="77" t="s">
        <v>1540</v>
      </c>
      <c r="H108" s="5">
        <v>1365</v>
      </c>
      <c r="I108" s="69">
        <v>0.84259259259259256</v>
      </c>
      <c r="J108" s="5">
        <v>98</v>
      </c>
      <c r="K108" s="70">
        <v>6.0493827160493827E-2</v>
      </c>
      <c r="L108" s="5">
        <v>18</v>
      </c>
      <c r="M108" s="71">
        <v>1.1111111111111112E-2</v>
      </c>
      <c r="N108" s="72">
        <v>79</v>
      </c>
      <c r="O108" s="180">
        <f t="shared" si="1"/>
        <v>4.8765432098765427</v>
      </c>
      <c r="P108" s="72">
        <v>30</v>
      </c>
      <c r="Q108" s="73">
        <v>1.8518518518518517E-2</v>
      </c>
      <c r="R108" s="10">
        <v>0</v>
      </c>
      <c r="S108" s="70">
        <v>0</v>
      </c>
      <c r="T108" s="5">
        <v>30</v>
      </c>
      <c r="U108" s="74">
        <v>1.8518518518518517E-2</v>
      </c>
      <c r="V108" s="75">
        <v>8.5802469135802473E-2</v>
      </c>
      <c r="W108" s="168" t="s">
        <v>1195</v>
      </c>
    </row>
    <row r="109" spans="1:23">
      <c r="A109" s="77" t="s">
        <v>1572</v>
      </c>
      <c r="B109" s="68" t="s">
        <v>1538</v>
      </c>
      <c r="C109" s="68" t="s">
        <v>31</v>
      </c>
      <c r="D109" s="68" t="s">
        <v>1536</v>
      </c>
      <c r="E109" s="68" t="s">
        <v>22</v>
      </c>
      <c r="F109" s="5">
        <v>2160</v>
      </c>
      <c r="G109" s="77" t="s">
        <v>1540</v>
      </c>
      <c r="H109" s="5">
        <v>1800</v>
      </c>
      <c r="I109" s="69">
        <v>0.83333333333333337</v>
      </c>
      <c r="J109" s="5">
        <v>15</v>
      </c>
      <c r="K109" s="70">
        <v>6.9444444444444441E-3</v>
      </c>
      <c r="L109" s="5">
        <v>124</v>
      </c>
      <c r="M109" s="71">
        <v>5.7407407407407407E-2</v>
      </c>
      <c r="N109" s="72">
        <v>100</v>
      </c>
      <c r="O109" s="180">
        <f t="shared" si="1"/>
        <v>4.6296296296296298</v>
      </c>
      <c r="P109" s="72">
        <v>54</v>
      </c>
      <c r="Q109" s="73">
        <v>2.5000000000000001E-2</v>
      </c>
      <c r="R109" s="10">
        <v>0</v>
      </c>
      <c r="S109" s="70">
        <v>0</v>
      </c>
      <c r="T109" s="10">
        <v>67</v>
      </c>
      <c r="U109" s="74">
        <v>3.1018518518518518E-2</v>
      </c>
      <c r="V109" s="75">
        <v>0.10231481481481482</v>
      </c>
      <c r="W109" s="168" t="s">
        <v>1195</v>
      </c>
    </row>
    <row r="110" spans="1:23">
      <c r="A110" s="77" t="s">
        <v>1573</v>
      </c>
      <c r="B110" s="68" t="s">
        <v>1549</v>
      </c>
      <c r="C110" s="76" t="s">
        <v>29</v>
      </c>
      <c r="D110" s="68" t="s">
        <v>1550</v>
      </c>
      <c r="E110" s="68" t="s">
        <v>22</v>
      </c>
      <c r="F110" s="5">
        <v>14310</v>
      </c>
      <c r="G110" s="10" t="s">
        <v>1551</v>
      </c>
      <c r="H110" s="5">
        <v>14110</v>
      </c>
      <c r="I110" s="69">
        <v>0.98602375960866528</v>
      </c>
      <c r="J110" s="5">
        <v>0</v>
      </c>
      <c r="K110" s="70">
        <v>0</v>
      </c>
      <c r="L110" s="5">
        <v>0</v>
      </c>
      <c r="M110" s="71">
        <v>0</v>
      </c>
      <c r="N110" s="72">
        <v>0</v>
      </c>
      <c r="O110" s="180">
        <f t="shared" si="1"/>
        <v>0</v>
      </c>
      <c r="P110" s="72">
        <v>200</v>
      </c>
      <c r="Q110" s="73">
        <v>1.3976240391334731E-2</v>
      </c>
      <c r="R110" s="10">
        <v>0</v>
      </c>
      <c r="S110" s="70">
        <v>0</v>
      </c>
      <c r="T110" s="10">
        <v>0</v>
      </c>
      <c r="U110" s="74">
        <v>0</v>
      </c>
      <c r="V110" s="75">
        <v>1.3976240391334731E-2</v>
      </c>
      <c r="W110" s="168" t="s">
        <v>2104</v>
      </c>
    </row>
    <row r="111" spans="1:23">
      <c r="A111" s="77" t="s">
        <v>1573</v>
      </c>
      <c r="B111" s="68" t="s">
        <v>1538</v>
      </c>
      <c r="C111" s="68" t="s">
        <v>31</v>
      </c>
      <c r="D111" s="68" t="s">
        <v>1536</v>
      </c>
      <c r="E111" s="68" t="s">
        <v>1539</v>
      </c>
      <c r="F111" s="5">
        <v>1440</v>
      </c>
      <c r="G111" s="77" t="s">
        <v>1540</v>
      </c>
      <c r="H111" s="5">
        <v>1157</v>
      </c>
      <c r="I111" s="69">
        <v>0.80347222222222225</v>
      </c>
      <c r="J111" s="5">
        <v>20</v>
      </c>
      <c r="K111" s="70">
        <v>1.3888888888888888E-2</v>
      </c>
      <c r="L111" s="5">
        <v>10</v>
      </c>
      <c r="M111" s="71">
        <v>6.9444444444444441E-3</v>
      </c>
      <c r="N111" s="72">
        <v>95</v>
      </c>
      <c r="O111" s="180">
        <f t="shared" si="1"/>
        <v>6.5972222222222223</v>
      </c>
      <c r="P111" s="72">
        <v>137</v>
      </c>
      <c r="Q111" s="73">
        <v>9.5138888888888884E-2</v>
      </c>
      <c r="R111" s="10">
        <v>0</v>
      </c>
      <c r="S111" s="70">
        <v>0</v>
      </c>
      <c r="T111" s="10">
        <v>21</v>
      </c>
      <c r="U111" s="74">
        <v>1.4583333333333334E-2</v>
      </c>
      <c r="V111" s="75">
        <v>0.17569444444444443</v>
      </c>
      <c r="W111" s="168" t="s">
        <v>1195</v>
      </c>
    </row>
    <row r="112" spans="1:23">
      <c r="A112" s="77" t="s">
        <v>1573</v>
      </c>
      <c r="B112" s="68" t="s">
        <v>1538</v>
      </c>
      <c r="C112" s="68" t="s">
        <v>31</v>
      </c>
      <c r="D112" s="68" t="s">
        <v>1536</v>
      </c>
      <c r="E112" s="68" t="s">
        <v>22</v>
      </c>
      <c r="F112" s="5">
        <v>1980</v>
      </c>
      <c r="G112" s="77" t="s">
        <v>1540</v>
      </c>
      <c r="H112" s="5">
        <v>1800</v>
      </c>
      <c r="I112" s="69">
        <v>0.90909090909090906</v>
      </c>
      <c r="J112" s="5">
        <v>43</v>
      </c>
      <c r="K112" s="70">
        <v>2.1717171717171718E-2</v>
      </c>
      <c r="L112" s="5">
        <v>24</v>
      </c>
      <c r="M112" s="71">
        <v>1.2121212121212121E-2</v>
      </c>
      <c r="N112" s="72">
        <v>63</v>
      </c>
      <c r="O112" s="180">
        <f t="shared" si="1"/>
        <v>3.1818181818181817</v>
      </c>
      <c r="P112" s="72">
        <v>50</v>
      </c>
      <c r="Q112" s="73">
        <v>2.5252525252525252E-2</v>
      </c>
      <c r="R112" s="10">
        <v>0</v>
      </c>
      <c r="S112" s="70">
        <v>0</v>
      </c>
      <c r="T112" s="5">
        <v>0</v>
      </c>
      <c r="U112" s="74">
        <v>0</v>
      </c>
      <c r="V112" s="75">
        <v>5.7070707070707064E-2</v>
      </c>
      <c r="W112" s="168" t="s">
        <v>1195</v>
      </c>
    </row>
    <row r="113" spans="1:23">
      <c r="A113" s="77" t="s">
        <v>1574</v>
      </c>
      <c r="B113" s="68" t="s">
        <v>1549</v>
      </c>
      <c r="C113" s="76" t="s">
        <v>29</v>
      </c>
      <c r="D113" s="68" t="s">
        <v>1560</v>
      </c>
      <c r="E113" s="68" t="s">
        <v>22</v>
      </c>
      <c r="F113" s="5">
        <v>3468</v>
      </c>
      <c r="G113" s="10" t="s">
        <v>1551</v>
      </c>
      <c r="H113" s="5">
        <v>3230</v>
      </c>
      <c r="I113" s="69">
        <v>0.93137254901960786</v>
      </c>
      <c r="J113" s="5">
        <v>0</v>
      </c>
      <c r="K113" s="70">
        <v>0</v>
      </c>
      <c r="L113" s="5">
        <v>70</v>
      </c>
      <c r="M113" s="71">
        <v>2.0184544405997693E-2</v>
      </c>
      <c r="N113" s="72">
        <v>73</v>
      </c>
      <c r="O113" s="180">
        <f t="shared" si="1"/>
        <v>2.1049596309111878</v>
      </c>
      <c r="P113" s="72">
        <v>95</v>
      </c>
      <c r="Q113" s="73">
        <v>2.7393310265282585E-2</v>
      </c>
      <c r="R113" s="10">
        <v>0</v>
      </c>
      <c r="S113" s="70">
        <v>0</v>
      </c>
      <c r="T113" s="10">
        <v>0</v>
      </c>
      <c r="U113" s="74">
        <v>0</v>
      </c>
      <c r="V113" s="75">
        <v>4.8442906574394463E-2</v>
      </c>
      <c r="W113" s="168" t="s">
        <v>2104</v>
      </c>
    </row>
    <row r="114" spans="1:23">
      <c r="A114" s="77" t="s">
        <v>1574</v>
      </c>
      <c r="B114" s="68" t="s">
        <v>1549</v>
      </c>
      <c r="C114" s="76" t="s">
        <v>29</v>
      </c>
      <c r="D114" s="68" t="s">
        <v>1550</v>
      </c>
      <c r="E114" s="68" t="s">
        <v>1539</v>
      </c>
      <c r="F114" s="5">
        <v>3250</v>
      </c>
      <c r="G114" s="10" t="s">
        <v>1551</v>
      </c>
      <c r="H114" s="5">
        <v>3230</v>
      </c>
      <c r="I114" s="69">
        <v>0.99384615384615382</v>
      </c>
      <c r="J114" s="5">
        <v>0</v>
      </c>
      <c r="K114" s="70">
        <v>0</v>
      </c>
      <c r="L114" s="5">
        <v>0</v>
      </c>
      <c r="M114" s="71">
        <v>0</v>
      </c>
      <c r="N114" s="72">
        <v>0</v>
      </c>
      <c r="O114" s="180">
        <f t="shared" si="1"/>
        <v>0</v>
      </c>
      <c r="P114" s="72">
        <v>20</v>
      </c>
      <c r="Q114" s="73">
        <v>6.1538461538461538E-3</v>
      </c>
      <c r="R114" s="10">
        <v>0</v>
      </c>
      <c r="S114" s="70">
        <v>0</v>
      </c>
      <c r="T114" s="10">
        <v>0</v>
      </c>
      <c r="U114" s="74">
        <v>0</v>
      </c>
      <c r="V114" s="75">
        <v>6.1538461538461538E-3</v>
      </c>
      <c r="W114" s="168" t="s">
        <v>2104</v>
      </c>
    </row>
    <row r="115" spans="1:23">
      <c r="A115" s="77" t="s">
        <v>1574</v>
      </c>
      <c r="B115" s="68" t="s">
        <v>1575</v>
      </c>
      <c r="C115" s="76" t="s">
        <v>27</v>
      </c>
      <c r="D115" s="68" t="s">
        <v>1550</v>
      </c>
      <c r="E115" s="68" t="s">
        <v>22</v>
      </c>
      <c r="F115" s="5">
        <v>2754</v>
      </c>
      <c r="G115" s="10" t="s">
        <v>1535</v>
      </c>
      <c r="H115" s="5">
        <v>2700</v>
      </c>
      <c r="I115" s="69">
        <v>0.98039215686274506</v>
      </c>
      <c r="J115" s="5">
        <v>0</v>
      </c>
      <c r="K115" s="70">
        <v>0</v>
      </c>
      <c r="L115" s="5">
        <v>0</v>
      </c>
      <c r="M115" s="71">
        <v>0</v>
      </c>
      <c r="N115" s="72">
        <v>0</v>
      </c>
      <c r="O115" s="180">
        <f t="shared" si="1"/>
        <v>0</v>
      </c>
      <c r="P115" s="72">
        <v>54</v>
      </c>
      <c r="Q115" s="73">
        <v>1.9607843137254902E-2</v>
      </c>
      <c r="R115" s="10">
        <v>0</v>
      </c>
      <c r="S115" s="70">
        <v>0</v>
      </c>
      <c r="T115" s="10">
        <v>0</v>
      </c>
      <c r="U115" s="74">
        <v>0</v>
      </c>
      <c r="V115" s="75">
        <v>1.9607843137254902E-2</v>
      </c>
      <c r="W115" s="168" t="s">
        <v>2104</v>
      </c>
    </row>
    <row r="116" spans="1:23">
      <c r="A116" s="77" t="s">
        <v>1576</v>
      </c>
      <c r="B116" s="68" t="s">
        <v>1575</v>
      </c>
      <c r="C116" s="76" t="s">
        <v>29</v>
      </c>
      <c r="D116" s="68" t="s">
        <v>1550</v>
      </c>
      <c r="E116" s="68" t="s">
        <v>22</v>
      </c>
      <c r="F116" s="5">
        <v>8109</v>
      </c>
      <c r="G116" s="10" t="s">
        <v>1545</v>
      </c>
      <c r="H116" s="5">
        <v>7920</v>
      </c>
      <c r="I116" s="69">
        <v>0.97669256381797998</v>
      </c>
      <c r="J116" s="5">
        <v>0</v>
      </c>
      <c r="K116" s="70">
        <v>0</v>
      </c>
      <c r="L116" s="5">
        <v>0</v>
      </c>
      <c r="M116" s="71">
        <v>0</v>
      </c>
      <c r="N116" s="72">
        <v>0</v>
      </c>
      <c r="O116" s="180">
        <f t="shared" si="1"/>
        <v>0</v>
      </c>
      <c r="P116" s="72">
        <v>189</v>
      </c>
      <c r="Q116" s="73">
        <v>2.3307436182019976E-2</v>
      </c>
      <c r="R116" s="10">
        <v>0</v>
      </c>
      <c r="S116" s="70">
        <v>0</v>
      </c>
      <c r="T116" s="10">
        <v>0</v>
      </c>
      <c r="U116" s="74">
        <v>0</v>
      </c>
      <c r="V116" s="75">
        <v>2.3307436182019976E-2</v>
      </c>
      <c r="W116" s="168" t="s">
        <v>2104</v>
      </c>
    </row>
    <row r="117" spans="1:23">
      <c r="A117" s="77" t="s">
        <v>1576</v>
      </c>
      <c r="B117" s="68" t="s">
        <v>1575</v>
      </c>
      <c r="C117" s="76" t="s">
        <v>27</v>
      </c>
      <c r="D117" s="68" t="s">
        <v>1550</v>
      </c>
      <c r="E117" s="68" t="s">
        <v>22</v>
      </c>
      <c r="F117" s="5">
        <v>7344</v>
      </c>
      <c r="G117" s="10" t="s">
        <v>1535</v>
      </c>
      <c r="H117" s="5">
        <v>7200</v>
      </c>
      <c r="I117" s="69">
        <v>0.98039215686274506</v>
      </c>
      <c r="J117" s="5">
        <v>0</v>
      </c>
      <c r="K117" s="70">
        <v>0</v>
      </c>
      <c r="L117" s="5">
        <v>0</v>
      </c>
      <c r="M117" s="71">
        <v>0</v>
      </c>
      <c r="N117" s="72">
        <v>0</v>
      </c>
      <c r="O117" s="180">
        <f t="shared" si="1"/>
        <v>0</v>
      </c>
      <c r="P117" s="72">
        <v>144</v>
      </c>
      <c r="Q117" s="73">
        <v>1.9607843137254902E-2</v>
      </c>
      <c r="R117" s="10">
        <v>0</v>
      </c>
      <c r="S117" s="70">
        <v>0</v>
      </c>
      <c r="T117" s="10">
        <v>0</v>
      </c>
      <c r="U117" s="74">
        <v>0</v>
      </c>
      <c r="V117" s="75">
        <v>1.9607843137254902E-2</v>
      </c>
      <c r="W117" s="168" t="s">
        <v>2104</v>
      </c>
    </row>
    <row r="118" spans="1:23">
      <c r="A118" s="77" t="s">
        <v>1576</v>
      </c>
      <c r="B118" s="68" t="s">
        <v>1530</v>
      </c>
      <c r="C118" s="68" t="s">
        <v>1533</v>
      </c>
      <c r="D118" s="68" t="s">
        <v>1534</v>
      </c>
      <c r="E118" s="68" t="s">
        <v>22</v>
      </c>
      <c r="F118" s="5">
        <v>3635</v>
      </c>
      <c r="G118" s="10" t="s">
        <v>1533</v>
      </c>
      <c r="H118" s="5">
        <v>1815</v>
      </c>
      <c r="I118" s="69">
        <v>0.49931224209078406</v>
      </c>
      <c r="J118" s="5">
        <v>1815</v>
      </c>
      <c r="K118" s="70">
        <v>0.49931224209078406</v>
      </c>
      <c r="L118" s="5">
        <v>0</v>
      </c>
      <c r="M118" s="71">
        <v>0</v>
      </c>
      <c r="N118" s="72">
        <v>5</v>
      </c>
      <c r="O118" s="180">
        <f t="shared" si="1"/>
        <v>0.13755158184319119</v>
      </c>
      <c r="P118" s="72">
        <v>0</v>
      </c>
      <c r="Q118" s="73">
        <v>0</v>
      </c>
      <c r="R118" s="10">
        <v>0</v>
      </c>
      <c r="S118" s="70">
        <v>0</v>
      </c>
      <c r="T118" s="10">
        <v>0</v>
      </c>
      <c r="U118" s="74">
        <v>0</v>
      </c>
      <c r="V118" s="75">
        <v>1.375515818431912E-3</v>
      </c>
      <c r="W118" s="168" t="s">
        <v>2104</v>
      </c>
    </row>
    <row r="119" spans="1:23">
      <c r="A119" s="77" t="s">
        <v>1576</v>
      </c>
      <c r="B119" s="68" t="s">
        <v>1530</v>
      </c>
      <c r="C119" s="68" t="s">
        <v>1533</v>
      </c>
      <c r="D119" s="68" t="s">
        <v>1560</v>
      </c>
      <c r="E119" s="68" t="s">
        <v>22</v>
      </c>
      <c r="F119" s="5">
        <v>7920</v>
      </c>
      <c r="G119" s="10" t="s">
        <v>1533</v>
      </c>
      <c r="H119" s="5">
        <v>7740</v>
      </c>
      <c r="I119" s="69">
        <v>0.97727272727272729</v>
      </c>
      <c r="J119" s="5">
        <v>0</v>
      </c>
      <c r="K119" s="70">
        <v>0</v>
      </c>
      <c r="L119" s="5">
        <v>0</v>
      </c>
      <c r="M119" s="71">
        <v>0</v>
      </c>
      <c r="N119" s="72">
        <v>85</v>
      </c>
      <c r="O119" s="180">
        <f t="shared" si="1"/>
        <v>1.0732323232323231</v>
      </c>
      <c r="P119" s="72">
        <v>95</v>
      </c>
      <c r="Q119" s="73">
        <v>1.1994949494949494E-2</v>
      </c>
      <c r="R119" s="10">
        <v>0</v>
      </c>
      <c r="S119" s="70">
        <v>0</v>
      </c>
      <c r="T119" s="10">
        <v>0</v>
      </c>
      <c r="U119" s="74">
        <v>0</v>
      </c>
      <c r="V119" s="75">
        <v>2.2727272727272728E-2</v>
      </c>
      <c r="W119" s="168" t="s">
        <v>2104</v>
      </c>
    </row>
    <row r="120" spans="1:23">
      <c r="A120" s="77" t="s">
        <v>1576</v>
      </c>
      <c r="B120" s="68" t="s">
        <v>1538</v>
      </c>
      <c r="C120" s="68" t="s">
        <v>31</v>
      </c>
      <c r="D120" s="68" t="s">
        <v>1536</v>
      </c>
      <c r="E120" s="68" t="s">
        <v>1539</v>
      </c>
      <c r="F120" s="5">
        <v>2160</v>
      </c>
      <c r="G120" s="77" t="s">
        <v>1540</v>
      </c>
      <c r="H120" s="5">
        <v>1745</v>
      </c>
      <c r="I120" s="69">
        <v>0.80787037037037035</v>
      </c>
      <c r="J120" s="5">
        <v>180</v>
      </c>
      <c r="K120" s="70">
        <v>8.3333333333333329E-2</v>
      </c>
      <c r="L120" s="5">
        <v>50</v>
      </c>
      <c r="M120" s="71">
        <v>2.3148148148148147E-2</v>
      </c>
      <c r="N120" s="72">
        <v>75</v>
      </c>
      <c r="O120" s="180">
        <f t="shared" si="1"/>
        <v>3.4722222222222223</v>
      </c>
      <c r="P120" s="72">
        <v>50</v>
      </c>
      <c r="Q120" s="73">
        <v>2.3148148148148147E-2</v>
      </c>
      <c r="R120" s="10">
        <v>0</v>
      </c>
      <c r="S120" s="70">
        <v>0</v>
      </c>
      <c r="T120" s="10">
        <v>60</v>
      </c>
      <c r="U120" s="74">
        <v>2.7777777777777776E-2</v>
      </c>
      <c r="V120" s="75">
        <v>8.564814814814814E-2</v>
      </c>
      <c r="W120" s="168" t="s">
        <v>1195</v>
      </c>
    </row>
    <row r="121" spans="1:23">
      <c r="A121" s="77" t="s">
        <v>1576</v>
      </c>
      <c r="B121" s="68" t="s">
        <v>1538</v>
      </c>
      <c r="C121" s="68" t="s">
        <v>31</v>
      </c>
      <c r="D121" s="68" t="s">
        <v>1536</v>
      </c>
      <c r="E121" s="68" t="s">
        <v>22</v>
      </c>
      <c r="F121" s="5">
        <v>2435</v>
      </c>
      <c r="G121" s="77" t="s">
        <v>1540</v>
      </c>
      <c r="H121" s="5">
        <v>1895</v>
      </c>
      <c r="I121" s="69">
        <v>0.77823408624229984</v>
      </c>
      <c r="J121" s="5">
        <v>257</v>
      </c>
      <c r="K121" s="70">
        <v>0.1055441478439425</v>
      </c>
      <c r="L121" s="5">
        <v>98</v>
      </c>
      <c r="M121" s="71">
        <v>4.0246406570841886E-2</v>
      </c>
      <c r="N121" s="72">
        <v>75</v>
      </c>
      <c r="O121" s="180">
        <f t="shared" si="1"/>
        <v>3.0800821355236137</v>
      </c>
      <c r="P121" s="72">
        <v>43</v>
      </c>
      <c r="Q121" s="73">
        <v>1.7659137577002052E-2</v>
      </c>
      <c r="R121" s="10">
        <v>0</v>
      </c>
      <c r="S121" s="70">
        <v>0</v>
      </c>
      <c r="T121" s="10">
        <v>67</v>
      </c>
      <c r="U121" s="74">
        <v>2.7515400410677619E-2</v>
      </c>
      <c r="V121" s="75">
        <v>7.5975359342915799E-2</v>
      </c>
      <c r="W121" s="168" t="s">
        <v>1195</v>
      </c>
    </row>
    <row r="122" spans="1:23">
      <c r="A122" s="77" t="s">
        <v>1577</v>
      </c>
      <c r="B122" s="68" t="s">
        <v>1530</v>
      </c>
      <c r="C122" s="68" t="s">
        <v>1533</v>
      </c>
      <c r="D122" s="68" t="s">
        <v>1534</v>
      </c>
      <c r="E122" s="68" t="s">
        <v>22</v>
      </c>
      <c r="F122" s="5">
        <v>4680</v>
      </c>
      <c r="G122" s="10" t="s">
        <v>1533</v>
      </c>
      <c r="H122" s="5">
        <v>4418</v>
      </c>
      <c r="I122" s="69">
        <v>0.94401709401709399</v>
      </c>
      <c r="J122" s="5">
        <v>0</v>
      </c>
      <c r="K122" s="70">
        <v>0</v>
      </c>
      <c r="L122" s="5">
        <v>0</v>
      </c>
      <c r="M122" s="71">
        <v>0</v>
      </c>
      <c r="N122" s="78">
        <v>85</v>
      </c>
      <c r="O122" s="180">
        <f t="shared" si="1"/>
        <v>1.8162393162393164</v>
      </c>
      <c r="P122" s="72">
        <v>11</v>
      </c>
      <c r="Q122" s="73">
        <v>2.3504273504273503E-3</v>
      </c>
      <c r="R122" s="10">
        <v>166</v>
      </c>
      <c r="S122" s="70">
        <v>3.5470085470085469E-2</v>
      </c>
      <c r="T122" s="10">
        <v>0</v>
      </c>
      <c r="U122" s="74">
        <v>0</v>
      </c>
      <c r="V122" s="75">
        <v>5.5982905982905978E-2</v>
      </c>
      <c r="W122" s="168" t="s">
        <v>2104</v>
      </c>
    </row>
    <row r="123" spans="1:23">
      <c r="A123" s="77" t="s">
        <v>1577</v>
      </c>
      <c r="B123" s="68" t="s">
        <v>1549</v>
      </c>
      <c r="C123" s="76" t="s">
        <v>29</v>
      </c>
      <c r="D123" s="68" t="s">
        <v>1550</v>
      </c>
      <c r="E123" s="68" t="s">
        <v>22</v>
      </c>
      <c r="F123" s="5">
        <v>10886</v>
      </c>
      <c r="G123" s="10" t="s">
        <v>1551</v>
      </c>
      <c r="H123" s="5">
        <v>10710</v>
      </c>
      <c r="I123" s="69">
        <v>0.98383244534264191</v>
      </c>
      <c r="J123" s="5">
        <v>0</v>
      </c>
      <c r="K123" s="70">
        <v>0</v>
      </c>
      <c r="L123" s="5">
        <v>0</v>
      </c>
      <c r="M123" s="71">
        <v>0</v>
      </c>
      <c r="N123" s="78">
        <v>0</v>
      </c>
      <c r="O123" s="180">
        <f t="shared" si="1"/>
        <v>0</v>
      </c>
      <c r="P123" s="72">
        <v>176</v>
      </c>
      <c r="Q123" s="73">
        <v>1.6167554657358075E-2</v>
      </c>
      <c r="R123" s="10">
        <v>0</v>
      </c>
      <c r="S123" s="70">
        <v>0</v>
      </c>
      <c r="T123" s="10">
        <v>0</v>
      </c>
      <c r="U123" s="74">
        <v>0</v>
      </c>
      <c r="V123" s="75">
        <v>1.6167554657358075E-2</v>
      </c>
      <c r="W123" s="168" t="s">
        <v>2104</v>
      </c>
    </row>
    <row r="124" spans="1:23">
      <c r="A124" s="77" t="s">
        <v>1577</v>
      </c>
      <c r="B124" s="68" t="s">
        <v>1549</v>
      </c>
      <c r="C124" s="76" t="s">
        <v>29</v>
      </c>
      <c r="D124" s="68" t="s">
        <v>1560</v>
      </c>
      <c r="E124" s="68" t="s">
        <v>22</v>
      </c>
      <c r="F124" s="5">
        <v>5320</v>
      </c>
      <c r="G124" s="10" t="s">
        <v>1551</v>
      </c>
      <c r="H124" s="5">
        <v>5100</v>
      </c>
      <c r="I124" s="69">
        <v>0.95864661654135341</v>
      </c>
      <c r="J124" s="5">
        <v>0</v>
      </c>
      <c r="K124" s="70">
        <v>0</v>
      </c>
      <c r="L124" s="5">
        <v>0</v>
      </c>
      <c r="M124" s="71">
        <v>0</v>
      </c>
      <c r="N124" s="78">
        <v>123</v>
      </c>
      <c r="O124" s="180">
        <f t="shared" si="1"/>
        <v>2.3120300751879701</v>
      </c>
      <c r="P124" s="72">
        <v>97</v>
      </c>
      <c r="Q124" s="73">
        <v>1.8233082706766917E-2</v>
      </c>
      <c r="R124" s="10">
        <v>0</v>
      </c>
      <c r="S124" s="70">
        <v>0</v>
      </c>
      <c r="T124" s="10">
        <v>0</v>
      </c>
      <c r="U124" s="74">
        <v>0</v>
      </c>
      <c r="V124" s="75">
        <v>4.1353383458646614E-2</v>
      </c>
      <c r="W124" s="168" t="s">
        <v>2104</v>
      </c>
    </row>
    <row r="125" spans="1:23">
      <c r="A125" s="77" t="s">
        <v>1577</v>
      </c>
      <c r="B125" s="68" t="s">
        <v>1538</v>
      </c>
      <c r="C125" s="68" t="s">
        <v>31</v>
      </c>
      <c r="D125" s="68" t="s">
        <v>1536</v>
      </c>
      <c r="E125" s="68" t="s">
        <v>1539</v>
      </c>
      <c r="F125" s="5">
        <v>3420</v>
      </c>
      <c r="G125" s="77" t="s">
        <v>1540</v>
      </c>
      <c r="H125" s="5">
        <v>2834</v>
      </c>
      <c r="I125" s="69">
        <v>0.82865497076023387</v>
      </c>
      <c r="J125" s="5">
        <v>25</v>
      </c>
      <c r="K125" s="70">
        <v>7.3099415204678359E-3</v>
      </c>
      <c r="L125" s="5">
        <v>259</v>
      </c>
      <c r="M125" s="71">
        <v>7.5730994152046788E-2</v>
      </c>
      <c r="N125" s="78">
        <v>133</v>
      </c>
      <c r="O125" s="180">
        <f t="shared" si="1"/>
        <v>3.8888888888888888</v>
      </c>
      <c r="P125" s="72">
        <v>53</v>
      </c>
      <c r="Q125" s="73">
        <v>1.5497076023391813E-2</v>
      </c>
      <c r="R125" s="10">
        <v>0</v>
      </c>
      <c r="S125" s="70">
        <v>0</v>
      </c>
      <c r="T125" s="10">
        <v>116</v>
      </c>
      <c r="U125" s="74">
        <v>3.3918128654970757E-2</v>
      </c>
      <c r="V125" s="75">
        <v>8.8304093567251468E-2</v>
      </c>
      <c r="W125" s="168" t="s">
        <v>1195</v>
      </c>
    </row>
    <row r="126" spans="1:23">
      <c r="A126" s="77" t="s">
        <v>1578</v>
      </c>
      <c r="B126" s="68" t="s">
        <v>1530</v>
      </c>
      <c r="C126" s="68" t="s">
        <v>1533</v>
      </c>
      <c r="D126" s="68" t="s">
        <v>1534</v>
      </c>
      <c r="E126" s="68" t="s">
        <v>22</v>
      </c>
      <c r="F126" s="5">
        <v>3240</v>
      </c>
      <c r="G126" s="10" t="s">
        <v>1533</v>
      </c>
      <c r="H126" s="5">
        <v>3068</v>
      </c>
      <c r="I126" s="69">
        <v>0.94691358024691363</v>
      </c>
      <c r="J126" s="5">
        <v>0</v>
      </c>
      <c r="K126" s="70">
        <v>0</v>
      </c>
      <c r="L126" s="5">
        <v>5</v>
      </c>
      <c r="M126" s="71">
        <v>1.5432098765432098E-3</v>
      </c>
      <c r="N126" s="78">
        <v>110</v>
      </c>
      <c r="O126" s="180">
        <f t="shared" si="1"/>
        <v>3.3950617283950617</v>
      </c>
      <c r="P126" s="72">
        <v>26</v>
      </c>
      <c r="Q126" s="73">
        <v>8.024691358024692E-3</v>
      </c>
      <c r="R126" s="10">
        <v>31</v>
      </c>
      <c r="S126" s="70">
        <v>9.5679012345679017E-3</v>
      </c>
      <c r="T126" s="10">
        <v>0</v>
      </c>
      <c r="U126" s="74">
        <v>0</v>
      </c>
      <c r="V126" s="75">
        <v>5.1543209876543213E-2</v>
      </c>
      <c r="W126" s="168" t="s">
        <v>2104</v>
      </c>
    </row>
    <row r="127" spans="1:23">
      <c r="A127" s="77" t="s">
        <v>1578</v>
      </c>
      <c r="B127" s="68" t="s">
        <v>1530</v>
      </c>
      <c r="C127" s="68" t="s">
        <v>1533</v>
      </c>
      <c r="D127" s="68" t="s">
        <v>1560</v>
      </c>
      <c r="E127" s="68" t="s">
        <v>22</v>
      </c>
      <c r="F127" s="5">
        <v>7200</v>
      </c>
      <c r="G127" s="10" t="s">
        <v>1533</v>
      </c>
      <c r="H127" s="5">
        <v>6480</v>
      </c>
      <c r="I127" s="69">
        <v>0.9</v>
      </c>
      <c r="J127" s="5">
        <v>0</v>
      </c>
      <c r="K127" s="70">
        <v>0</v>
      </c>
      <c r="L127" s="5">
        <v>0</v>
      </c>
      <c r="M127" s="71">
        <v>0</v>
      </c>
      <c r="N127" s="78">
        <v>168</v>
      </c>
      <c r="O127" s="180">
        <f t="shared" si="1"/>
        <v>2.3333333333333335</v>
      </c>
      <c r="P127" s="72">
        <v>192</v>
      </c>
      <c r="Q127" s="73">
        <v>2.6666666666666668E-2</v>
      </c>
      <c r="R127" s="10">
        <v>360</v>
      </c>
      <c r="S127" s="70">
        <v>0.05</v>
      </c>
      <c r="T127" s="10">
        <v>0</v>
      </c>
      <c r="U127" s="74">
        <v>0</v>
      </c>
      <c r="V127" s="75">
        <v>0.1</v>
      </c>
      <c r="W127" s="168" t="s">
        <v>2104</v>
      </c>
    </row>
    <row r="128" spans="1:23">
      <c r="A128" s="77" t="s">
        <v>1578</v>
      </c>
      <c r="B128" s="68" t="s">
        <v>1575</v>
      </c>
      <c r="C128" s="76" t="s">
        <v>29</v>
      </c>
      <c r="D128" s="68" t="s">
        <v>1550</v>
      </c>
      <c r="E128" s="68" t="s">
        <v>22</v>
      </c>
      <c r="F128" s="5">
        <v>10098</v>
      </c>
      <c r="G128" s="10" t="s">
        <v>1545</v>
      </c>
      <c r="H128" s="5">
        <v>9900</v>
      </c>
      <c r="I128" s="69">
        <v>0.98039215686274506</v>
      </c>
      <c r="J128" s="5">
        <v>0</v>
      </c>
      <c r="K128" s="70">
        <v>0</v>
      </c>
      <c r="L128" s="5">
        <v>0</v>
      </c>
      <c r="M128" s="71">
        <v>0</v>
      </c>
      <c r="N128" s="78">
        <v>198</v>
      </c>
      <c r="O128" s="180">
        <f t="shared" si="1"/>
        <v>1.9607843137254901</v>
      </c>
      <c r="P128" s="72">
        <v>0</v>
      </c>
      <c r="Q128" s="73">
        <v>0</v>
      </c>
      <c r="R128" s="10">
        <v>0</v>
      </c>
      <c r="S128" s="70">
        <v>0</v>
      </c>
      <c r="T128" s="10">
        <v>0</v>
      </c>
      <c r="U128" s="74">
        <v>0</v>
      </c>
      <c r="V128" s="75">
        <v>1.9607843137254902E-2</v>
      </c>
      <c r="W128" s="168" t="s">
        <v>2104</v>
      </c>
    </row>
    <row r="129" spans="1:23">
      <c r="A129" s="77" t="s">
        <v>1578</v>
      </c>
      <c r="B129" s="68" t="s">
        <v>1575</v>
      </c>
      <c r="C129" s="76" t="s">
        <v>29</v>
      </c>
      <c r="D129" s="68" t="s">
        <v>1550</v>
      </c>
      <c r="E129" s="68" t="s">
        <v>22</v>
      </c>
      <c r="F129" s="5">
        <v>5508</v>
      </c>
      <c r="G129" s="10" t="s">
        <v>1551</v>
      </c>
      <c r="H129" s="5">
        <v>5400</v>
      </c>
      <c r="I129" s="69">
        <v>0.98039215686274506</v>
      </c>
      <c r="J129" s="5">
        <v>0</v>
      </c>
      <c r="K129" s="70">
        <v>0</v>
      </c>
      <c r="L129" s="5">
        <v>0</v>
      </c>
      <c r="M129" s="71">
        <v>0</v>
      </c>
      <c r="N129" s="78">
        <v>0</v>
      </c>
      <c r="O129" s="180">
        <f t="shared" si="1"/>
        <v>0</v>
      </c>
      <c r="P129" s="72">
        <v>108</v>
      </c>
      <c r="Q129" s="73">
        <v>1.9607843137254902E-2</v>
      </c>
      <c r="R129" s="10">
        <v>0</v>
      </c>
      <c r="S129" s="70">
        <v>0</v>
      </c>
      <c r="T129" s="10">
        <v>0</v>
      </c>
      <c r="U129" s="74">
        <v>0</v>
      </c>
      <c r="V129" s="75">
        <v>1.9607843137254902E-2</v>
      </c>
      <c r="W129" s="168" t="s">
        <v>2104</v>
      </c>
    </row>
    <row r="130" spans="1:23">
      <c r="A130" s="77" t="s">
        <v>1578</v>
      </c>
      <c r="B130" s="68" t="s">
        <v>1575</v>
      </c>
      <c r="C130" s="76" t="s">
        <v>27</v>
      </c>
      <c r="D130" s="68" t="s">
        <v>1550</v>
      </c>
      <c r="E130" s="68" t="s">
        <v>22</v>
      </c>
      <c r="F130" s="5">
        <v>4986</v>
      </c>
      <c r="G130" s="10" t="s">
        <v>1535</v>
      </c>
      <c r="H130" s="5">
        <v>4860</v>
      </c>
      <c r="I130" s="69">
        <v>0.97472924187725629</v>
      </c>
      <c r="J130" s="5">
        <v>0</v>
      </c>
      <c r="K130" s="70">
        <v>0</v>
      </c>
      <c r="L130" s="5">
        <v>0</v>
      </c>
      <c r="M130" s="71">
        <v>0</v>
      </c>
      <c r="N130" s="78">
        <v>0</v>
      </c>
      <c r="O130" s="180">
        <f t="shared" si="1"/>
        <v>0</v>
      </c>
      <c r="P130" s="72">
        <v>126</v>
      </c>
      <c r="Q130" s="73">
        <v>2.5270758122743681E-2</v>
      </c>
      <c r="R130" s="10">
        <v>0</v>
      </c>
      <c r="S130" s="70">
        <v>0</v>
      </c>
      <c r="T130" s="5">
        <v>0</v>
      </c>
      <c r="U130" s="74">
        <v>0</v>
      </c>
      <c r="V130" s="75">
        <v>2.5270758122743681E-2</v>
      </c>
      <c r="W130" s="168" t="s">
        <v>2104</v>
      </c>
    </row>
    <row r="131" spans="1:23">
      <c r="A131" s="77" t="s">
        <v>1578</v>
      </c>
      <c r="B131" s="68" t="s">
        <v>1538</v>
      </c>
      <c r="C131" s="68" t="s">
        <v>31</v>
      </c>
      <c r="D131" s="68" t="s">
        <v>1536</v>
      </c>
      <c r="E131" s="68" t="s">
        <v>1539</v>
      </c>
      <c r="F131" s="5">
        <v>2880</v>
      </c>
      <c r="G131" s="77" t="s">
        <v>1540</v>
      </c>
      <c r="H131" s="5">
        <v>2308</v>
      </c>
      <c r="I131" s="69">
        <v>0.80138888888888893</v>
      </c>
      <c r="J131" s="5">
        <v>32</v>
      </c>
      <c r="K131" s="70">
        <v>1.1111111111111112E-2</v>
      </c>
      <c r="L131" s="5">
        <v>180</v>
      </c>
      <c r="M131" s="71">
        <v>6.25E-2</v>
      </c>
      <c r="N131" s="78">
        <v>124</v>
      </c>
      <c r="O131" s="180">
        <f t="shared" ref="O131:O194" si="2">N131/F131*100</f>
        <v>4.3055555555555554</v>
      </c>
      <c r="P131" s="72">
        <v>80</v>
      </c>
      <c r="Q131" s="73">
        <v>2.7777777777777776E-2</v>
      </c>
      <c r="R131" s="10">
        <v>0</v>
      </c>
      <c r="S131" s="70">
        <v>0</v>
      </c>
      <c r="T131" s="10">
        <v>156</v>
      </c>
      <c r="U131" s="74">
        <v>5.4166666666666669E-2</v>
      </c>
      <c r="V131" s="75">
        <v>0.125</v>
      </c>
      <c r="W131" s="168" t="s">
        <v>1195</v>
      </c>
    </row>
    <row r="132" spans="1:23">
      <c r="A132" s="77" t="s">
        <v>1579</v>
      </c>
      <c r="B132" s="68" t="s">
        <v>1530</v>
      </c>
      <c r="C132" s="68" t="s">
        <v>1533</v>
      </c>
      <c r="D132" s="68" t="s">
        <v>1534</v>
      </c>
      <c r="E132" s="68" t="s">
        <v>22</v>
      </c>
      <c r="F132" s="5">
        <v>7920</v>
      </c>
      <c r="G132" s="10" t="s">
        <v>1533</v>
      </c>
      <c r="H132" s="5">
        <v>7012</v>
      </c>
      <c r="I132" s="69">
        <v>0.88535353535353534</v>
      </c>
      <c r="J132" s="5">
        <v>0</v>
      </c>
      <c r="K132" s="70">
        <v>0</v>
      </c>
      <c r="L132" s="5">
        <v>639</v>
      </c>
      <c r="M132" s="71">
        <v>8.0681818181818188E-2</v>
      </c>
      <c r="N132" s="78">
        <v>72</v>
      </c>
      <c r="O132" s="180">
        <f t="shared" si="2"/>
        <v>0.90909090909090906</v>
      </c>
      <c r="P132" s="72">
        <v>34</v>
      </c>
      <c r="Q132" s="73">
        <v>4.2929292929292928E-3</v>
      </c>
      <c r="R132" s="10">
        <v>163</v>
      </c>
      <c r="S132" s="70">
        <v>2.0580808080808081E-2</v>
      </c>
      <c r="T132" s="10">
        <v>0</v>
      </c>
      <c r="U132" s="74">
        <v>0</v>
      </c>
      <c r="V132" s="75">
        <v>3.3964646464646461E-2</v>
      </c>
      <c r="W132" s="168" t="s">
        <v>2104</v>
      </c>
    </row>
    <row r="133" spans="1:23">
      <c r="A133" s="77" t="s">
        <v>1579</v>
      </c>
      <c r="B133" s="68" t="s">
        <v>1530</v>
      </c>
      <c r="C133" s="68" t="s">
        <v>1533</v>
      </c>
      <c r="D133" s="68" t="s">
        <v>1560</v>
      </c>
      <c r="E133" s="68" t="s">
        <v>22</v>
      </c>
      <c r="F133" s="5">
        <v>3060</v>
      </c>
      <c r="G133" s="10" t="s">
        <v>1533</v>
      </c>
      <c r="H133" s="5">
        <v>2880</v>
      </c>
      <c r="I133" s="69">
        <v>0.94117647058823528</v>
      </c>
      <c r="J133" s="5">
        <v>0</v>
      </c>
      <c r="K133" s="70">
        <v>0</v>
      </c>
      <c r="L133" s="5">
        <v>0</v>
      </c>
      <c r="M133" s="71">
        <v>0</v>
      </c>
      <c r="N133" s="78">
        <v>25</v>
      </c>
      <c r="O133" s="180">
        <f t="shared" si="2"/>
        <v>0.81699346405228768</v>
      </c>
      <c r="P133" s="72">
        <v>75</v>
      </c>
      <c r="Q133" s="73">
        <v>2.4509803921568627E-2</v>
      </c>
      <c r="R133" s="10">
        <v>80</v>
      </c>
      <c r="S133" s="70">
        <v>2.6143790849673203E-2</v>
      </c>
      <c r="T133" s="10">
        <v>0</v>
      </c>
      <c r="U133" s="74">
        <v>0</v>
      </c>
      <c r="V133" s="75">
        <v>5.8823529411764705E-2</v>
      </c>
      <c r="W133" s="168" t="s">
        <v>2104</v>
      </c>
    </row>
    <row r="134" spans="1:23">
      <c r="A134" s="77" t="s">
        <v>1579</v>
      </c>
      <c r="B134" s="68" t="s">
        <v>1575</v>
      </c>
      <c r="C134" s="76" t="s">
        <v>27</v>
      </c>
      <c r="D134" s="68" t="s">
        <v>1550</v>
      </c>
      <c r="E134" s="68" t="s">
        <v>22</v>
      </c>
      <c r="F134" s="5">
        <v>16155</v>
      </c>
      <c r="G134" s="10" t="s">
        <v>1535</v>
      </c>
      <c r="H134" s="5">
        <v>15840</v>
      </c>
      <c r="I134" s="69">
        <v>0.98050139275766013</v>
      </c>
      <c r="J134" s="5">
        <v>0</v>
      </c>
      <c r="K134" s="70">
        <v>0</v>
      </c>
      <c r="L134" s="5">
        <v>0</v>
      </c>
      <c r="M134" s="71">
        <v>0</v>
      </c>
      <c r="N134" s="78">
        <v>0</v>
      </c>
      <c r="O134" s="180">
        <f t="shared" si="2"/>
        <v>0</v>
      </c>
      <c r="P134" s="72">
        <v>315</v>
      </c>
      <c r="Q134" s="73">
        <v>1.9498607242339833E-2</v>
      </c>
      <c r="R134" s="10">
        <v>0</v>
      </c>
      <c r="S134" s="70">
        <v>0</v>
      </c>
      <c r="T134" s="10">
        <v>0</v>
      </c>
      <c r="U134" s="74">
        <v>0</v>
      </c>
      <c r="V134" s="75">
        <v>1.9498607242339833E-2</v>
      </c>
      <c r="W134" s="168" t="s">
        <v>2104</v>
      </c>
    </row>
    <row r="135" spans="1:23">
      <c r="A135" s="77" t="s">
        <v>1579</v>
      </c>
      <c r="B135" s="68" t="s">
        <v>1549</v>
      </c>
      <c r="C135" s="76" t="s">
        <v>29</v>
      </c>
      <c r="D135" s="68" t="s">
        <v>1550</v>
      </c>
      <c r="E135" s="68" t="s">
        <v>22</v>
      </c>
      <c r="F135" s="5">
        <v>5363</v>
      </c>
      <c r="G135" s="10" t="s">
        <v>1551</v>
      </c>
      <c r="H135" s="5">
        <v>5270</v>
      </c>
      <c r="I135" s="69">
        <v>0.98265895953757221</v>
      </c>
      <c r="J135" s="5">
        <v>0</v>
      </c>
      <c r="K135" s="70">
        <v>0</v>
      </c>
      <c r="L135" s="5">
        <v>0</v>
      </c>
      <c r="M135" s="71">
        <v>0</v>
      </c>
      <c r="N135" s="78">
        <v>0</v>
      </c>
      <c r="O135" s="180">
        <f t="shared" si="2"/>
        <v>0</v>
      </c>
      <c r="P135" s="72">
        <v>93</v>
      </c>
      <c r="Q135" s="73">
        <v>1.7341040462427744E-2</v>
      </c>
      <c r="R135" s="10">
        <v>0</v>
      </c>
      <c r="S135" s="70">
        <v>0</v>
      </c>
      <c r="T135" s="10">
        <v>0</v>
      </c>
      <c r="U135" s="74">
        <v>0</v>
      </c>
      <c r="V135" s="75">
        <v>1.7341040462427744E-2</v>
      </c>
      <c r="W135" s="168" t="s">
        <v>2104</v>
      </c>
    </row>
    <row r="136" spans="1:23">
      <c r="A136" s="77" t="s">
        <v>1579</v>
      </c>
      <c r="B136" s="68" t="s">
        <v>1575</v>
      </c>
      <c r="C136" s="76" t="s">
        <v>29</v>
      </c>
      <c r="D136" s="68" t="s">
        <v>1550</v>
      </c>
      <c r="E136" s="68" t="s">
        <v>22</v>
      </c>
      <c r="F136" s="5">
        <v>12305</v>
      </c>
      <c r="G136" s="10" t="s">
        <v>1551</v>
      </c>
      <c r="H136" s="5">
        <v>12060</v>
      </c>
      <c r="I136" s="69">
        <v>0.98008939455505895</v>
      </c>
      <c r="J136" s="5">
        <v>0</v>
      </c>
      <c r="K136" s="70">
        <v>0</v>
      </c>
      <c r="L136" s="5">
        <v>0</v>
      </c>
      <c r="M136" s="71">
        <v>0</v>
      </c>
      <c r="N136" s="78">
        <v>0</v>
      </c>
      <c r="O136" s="180">
        <f t="shared" si="2"/>
        <v>0</v>
      </c>
      <c r="P136" s="72">
        <v>245</v>
      </c>
      <c r="Q136" s="73">
        <v>1.9910605444941082E-2</v>
      </c>
      <c r="R136" s="10">
        <v>0</v>
      </c>
      <c r="S136" s="70">
        <v>0</v>
      </c>
      <c r="T136" s="10">
        <v>0</v>
      </c>
      <c r="U136" s="74">
        <v>0</v>
      </c>
      <c r="V136" s="75">
        <v>1.9910605444941082E-2</v>
      </c>
      <c r="W136" s="168" t="s">
        <v>2104</v>
      </c>
    </row>
    <row r="137" spans="1:23">
      <c r="A137" s="77" t="s">
        <v>1579</v>
      </c>
      <c r="B137" s="68" t="s">
        <v>1549</v>
      </c>
      <c r="C137" s="76" t="s">
        <v>29</v>
      </c>
      <c r="D137" s="68" t="s">
        <v>1560</v>
      </c>
      <c r="E137" s="68" t="s">
        <v>22</v>
      </c>
      <c r="F137" s="5">
        <v>2765</v>
      </c>
      <c r="G137" s="10" t="s">
        <v>1551</v>
      </c>
      <c r="H137" s="5">
        <v>2550</v>
      </c>
      <c r="I137" s="69">
        <v>0.92224231464737794</v>
      </c>
      <c r="J137" s="5">
        <v>0</v>
      </c>
      <c r="K137" s="70">
        <v>0</v>
      </c>
      <c r="L137" s="5">
        <v>70</v>
      </c>
      <c r="M137" s="71">
        <v>2.5316455696202531E-2</v>
      </c>
      <c r="N137" s="78">
        <v>38</v>
      </c>
      <c r="O137" s="180">
        <f t="shared" si="2"/>
        <v>1.3743218806509945</v>
      </c>
      <c r="P137" s="72">
        <v>107</v>
      </c>
      <c r="Q137" s="73">
        <v>3.8698010849909585E-2</v>
      </c>
      <c r="R137" s="10">
        <v>0</v>
      </c>
      <c r="S137" s="70">
        <v>0</v>
      </c>
      <c r="T137" s="10">
        <v>0</v>
      </c>
      <c r="U137" s="74">
        <v>0</v>
      </c>
      <c r="V137" s="75">
        <v>5.2441229656419529E-2</v>
      </c>
      <c r="W137" s="168" t="s">
        <v>2104</v>
      </c>
    </row>
    <row r="138" spans="1:23">
      <c r="A138" s="77" t="s">
        <v>1579</v>
      </c>
      <c r="B138" s="68" t="s">
        <v>1538</v>
      </c>
      <c r="C138" s="68" t="s">
        <v>31</v>
      </c>
      <c r="D138" s="68" t="s">
        <v>1536</v>
      </c>
      <c r="E138" s="68" t="s">
        <v>1539</v>
      </c>
      <c r="F138" s="5">
        <v>3060</v>
      </c>
      <c r="G138" s="77" t="s">
        <v>1540</v>
      </c>
      <c r="H138" s="5">
        <v>2364</v>
      </c>
      <c r="I138" s="69">
        <v>0.77254901960784317</v>
      </c>
      <c r="J138" s="5">
        <v>40</v>
      </c>
      <c r="K138" s="70">
        <v>1.3071895424836602E-2</v>
      </c>
      <c r="L138" s="5">
        <v>233</v>
      </c>
      <c r="M138" s="71">
        <v>7.6143790849673196E-2</v>
      </c>
      <c r="N138" s="78">
        <v>273</v>
      </c>
      <c r="O138" s="180">
        <f t="shared" si="2"/>
        <v>8.9215686274509807</v>
      </c>
      <c r="P138" s="72">
        <v>50</v>
      </c>
      <c r="Q138" s="73">
        <v>1.6339869281045753E-2</v>
      </c>
      <c r="R138" s="10">
        <v>0</v>
      </c>
      <c r="S138" s="70">
        <v>0</v>
      </c>
      <c r="T138" s="10">
        <v>100</v>
      </c>
      <c r="U138" s="74">
        <v>3.2679738562091505E-2</v>
      </c>
      <c r="V138" s="75">
        <v>0.13823529411764707</v>
      </c>
      <c r="W138" s="168" t="s">
        <v>1195</v>
      </c>
    </row>
    <row r="139" spans="1:23">
      <c r="A139" s="77" t="s">
        <v>1579</v>
      </c>
      <c r="B139" s="68" t="s">
        <v>1538</v>
      </c>
      <c r="C139" s="68" t="s">
        <v>31</v>
      </c>
      <c r="D139" s="68" t="s">
        <v>1536</v>
      </c>
      <c r="E139" s="68" t="s">
        <v>22</v>
      </c>
      <c r="F139" s="5">
        <v>1045</v>
      </c>
      <c r="G139" s="77" t="s">
        <v>1540</v>
      </c>
      <c r="H139" s="5">
        <v>900</v>
      </c>
      <c r="I139" s="69">
        <v>0.86124401913875603</v>
      </c>
      <c r="J139" s="5">
        <v>20</v>
      </c>
      <c r="K139" s="70">
        <v>1.9138755980861243E-2</v>
      </c>
      <c r="L139" s="5">
        <v>13</v>
      </c>
      <c r="M139" s="71">
        <v>1.2440191387559809E-2</v>
      </c>
      <c r="N139" s="78">
        <v>46</v>
      </c>
      <c r="O139" s="180">
        <f t="shared" si="2"/>
        <v>4.401913875598086</v>
      </c>
      <c r="P139" s="72">
        <v>42</v>
      </c>
      <c r="Q139" s="73">
        <v>4.0191387559808611E-2</v>
      </c>
      <c r="R139" s="10">
        <v>0</v>
      </c>
      <c r="S139" s="70">
        <v>0</v>
      </c>
      <c r="T139" s="10">
        <v>24</v>
      </c>
      <c r="U139" s="74">
        <v>2.2966507177033493E-2</v>
      </c>
      <c r="V139" s="75">
        <v>0.10717703349282297</v>
      </c>
      <c r="W139" s="168" t="s">
        <v>1195</v>
      </c>
    </row>
    <row r="140" spans="1:23">
      <c r="A140" s="67" t="s">
        <v>1580</v>
      </c>
      <c r="B140" s="68" t="s">
        <v>1530</v>
      </c>
      <c r="C140" s="68" t="s">
        <v>1533</v>
      </c>
      <c r="D140" s="68" t="s">
        <v>1534</v>
      </c>
      <c r="E140" s="68" t="s">
        <v>22</v>
      </c>
      <c r="F140" s="5">
        <v>5346</v>
      </c>
      <c r="G140" s="10" t="s">
        <v>1533</v>
      </c>
      <c r="H140" s="5">
        <v>3931</v>
      </c>
      <c r="I140" s="69">
        <v>0.73531612420501313</v>
      </c>
      <c r="J140" s="5">
        <v>0</v>
      </c>
      <c r="K140" s="70">
        <v>0</v>
      </c>
      <c r="L140" s="5">
        <v>866</v>
      </c>
      <c r="M140" s="71">
        <v>0.16199027310138422</v>
      </c>
      <c r="N140" s="72">
        <v>150</v>
      </c>
      <c r="O140" s="180">
        <f t="shared" si="2"/>
        <v>2.8058361391694726</v>
      </c>
      <c r="P140" s="72">
        <v>41</v>
      </c>
      <c r="Q140" s="73">
        <v>7.6692854470632246E-3</v>
      </c>
      <c r="R140" s="10">
        <v>358</v>
      </c>
      <c r="S140" s="70">
        <v>6.6965955854844744E-2</v>
      </c>
      <c r="T140" s="10">
        <v>0</v>
      </c>
      <c r="U140" s="74">
        <v>0</v>
      </c>
      <c r="V140" s="75">
        <v>0.1026936026936027</v>
      </c>
      <c r="W140" s="168" t="s">
        <v>2104</v>
      </c>
    </row>
    <row r="141" spans="1:23">
      <c r="A141" s="67" t="s">
        <v>1580</v>
      </c>
      <c r="B141" s="68" t="s">
        <v>1575</v>
      </c>
      <c r="C141" s="76" t="s">
        <v>29</v>
      </c>
      <c r="D141" s="5" t="s">
        <v>1550</v>
      </c>
      <c r="E141" s="5" t="s">
        <v>22</v>
      </c>
      <c r="F141" s="5">
        <v>8262</v>
      </c>
      <c r="G141" s="10" t="s">
        <v>1545</v>
      </c>
      <c r="H141" s="5">
        <v>8100</v>
      </c>
      <c r="I141" s="69">
        <v>0.98039215686274506</v>
      </c>
      <c r="J141" s="5">
        <v>0</v>
      </c>
      <c r="K141" s="70">
        <v>0</v>
      </c>
      <c r="L141" s="5">
        <v>0</v>
      </c>
      <c r="M141" s="71">
        <v>0</v>
      </c>
      <c r="N141" s="78">
        <v>0</v>
      </c>
      <c r="O141" s="180">
        <f t="shared" si="2"/>
        <v>0</v>
      </c>
      <c r="P141" s="78">
        <v>162</v>
      </c>
      <c r="Q141" s="73">
        <v>1.9607843137254902E-2</v>
      </c>
      <c r="R141" s="5">
        <v>0</v>
      </c>
      <c r="S141" s="70">
        <v>0</v>
      </c>
      <c r="T141" s="5">
        <v>0</v>
      </c>
      <c r="U141" s="74">
        <v>0</v>
      </c>
      <c r="V141" s="75">
        <v>1.9607843137254902E-2</v>
      </c>
      <c r="W141" s="168" t="s">
        <v>2104</v>
      </c>
    </row>
    <row r="142" spans="1:23">
      <c r="A142" s="67" t="s">
        <v>1580</v>
      </c>
      <c r="B142" s="68" t="s">
        <v>1575</v>
      </c>
      <c r="C142" s="76" t="s">
        <v>29</v>
      </c>
      <c r="D142" s="5" t="s">
        <v>1550</v>
      </c>
      <c r="E142" s="5" t="s">
        <v>22</v>
      </c>
      <c r="F142" s="5">
        <v>4590</v>
      </c>
      <c r="G142" s="10" t="s">
        <v>1551</v>
      </c>
      <c r="H142" s="5">
        <v>4500</v>
      </c>
      <c r="I142" s="69">
        <v>0.98039215686274506</v>
      </c>
      <c r="J142" s="5">
        <v>0</v>
      </c>
      <c r="K142" s="70">
        <v>0</v>
      </c>
      <c r="L142" s="5">
        <v>0</v>
      </c>
      <c r="M142" s="71">
        <v>0</v>
      </c>
      <c r="N142" s="78">
        <v>0</v>
      </c>
      <c r="O142" s="180">
        <f t="shared" si="2"/>
        <v>0</v>
      </c>
      <c r="P142" s="78">
        <v>90</v>
      </c>
      <c r="Q142" s="73">
        <v>1.9607843137254902E-2</v>
      </c>
      <c r="R142" s="5">
        <v>0</v>
      </c>
      <c r="S142" s="70">
        <v>0</v>
      </c>
      <c r="T142" s="5">
        <v>0</v>
      </c>
      <c r="U142" s="74">
        <v>0</v>
      </c>
      <c r="V142" s="75">
        <v>1.9607843137254902E-2</v>
      </c>
      <c r="W142" s="168" t="s">
        <v>2104</v>
      </c>
    </row>
    <row r="143" spans="1:23">
      <c r="A143" s="67" t="s">
        <v>1580</v>
      </c>
      <c r="B143" s="68" t="s">
        <v>1575</v>
      </c>
      <c r="C143" s="76" t="s">
        <v>27</v>
      </c>
      <c r="D143" s="5" t="s">
        <v>1550</v>
      </c>
      <c r="E143" s="5" t="s">
        <v>22</v>
      </c>
      <c r="F143" s="5">
        <v>13770</v>
      </c>
      <c r="G143" s="10" t="s">
        <v>1535</v>
      </c>
      <c r="H143" s="5">
        <v>13500</v>
      </c>
      <c r="I143" s="69">
        <v>0.98039215686274506</v>
      </c>
      <c r="J143" s="5">
        <v>0</v>
      </c>
      <c r="K143" s="70">
        <v>0</v>
      </c>
      <c r="L143" s="5">
        <v>0</v>
      </c>
      <c r="M143" s="71">
        <v>0</v>
      </c>
      <c r="N143" s="78">
        <v>0</v>
      </c>
      <c r="O143" s="180">
        <f t="shared" si="2"/>
        <v>0</v>
      </c>
      <c r="P143" s="78">
        <v>270</v>
      </c>
      <c r="Q143" s="73">
        <v>1.9607843137254902E-2</v>
      </c>
      <c r="R143" s="5">
        <v>0</v>
      </c>
      <c r="S143" s="70">
        <v>0</v>
      </c>
      <c r="T143" s="5">
        <v>0</v>
      </c>
      <c r="U143" s="74">
        <v>0</v>
      </c>
      <c r="V143" s="75">
        <v>1.9607843137254902E-2</v>
      </c>
      <c r="W143" s="168" t="s">
        <v>2104</v>
      </c>
    </row>
    <row r="144" spans="1:23">
      <c r="A144" s="67" t="s">
        <v>1580</v>
      </c>
      <c r="B144" s="68" t="s">
        <v>1538</v>
      </c>
      <c r="C144" s="5" t="s">
        <v>31</v>
      </c>
      <c r="D144" s="5" t="s">
        <v>1536</v>
      </c>
      <c r="E144" s="5" t="s">
        <v>22</v>
      </c>
      <c r="F144" s="5">
        <v>7020</v>
      </c>
      <c r="G144" s="77" t="s">
        <v>1540</v>
      </c>
      <c r="H144" s="5">
        <v>5821</v>
      </c>
      <c r="I144" s="69">
        <v>0.82920227920227918</v>
      </c>
      <c r="J144" s="5">
        <v>0</v>
      </c>
      <c r="K144" s="70">
        <v>0</v>
      </c>
      <c r="L144" s="5">
        <v>134</v>
      </c>
      <c r="M144" s="71">
        <v>1.9088319088319088E-2</v>
      </c>
      <c r="N144" s="78">
        <v>734</v>
      </c>
      <c r="O144" s="180">
        <f t="shared" si="2"/>
        <v>10.455840455840455</v>
      </c>
      <c r="P144" s="78">
        <v>214</v>
      </c>
      <c r="Q144" s="73">
        <v>3.0484330484330486E-2</v>
      </c>
      <c r="R144" s="5">
        <v>0</v>
      </c>
      <c r="S144" s="70">
        <v>0</v>
      </c>
      <c r="T144" s="5">
        <v>117</v>
      </c>
      <c r="U144" s="74">
        <v>1.6666666666666666E-2</v>
      </c>
      <c r="V144" s="75">
        <v>0.1517094017094017</v>
      </c>
      <c r="W144" s="168" t="s">
        <v>1195</v>
      </c>
    </row>
    <row r="145" spans="1:23">
      <c r="A145" s="67" t="s">
        <v>1581</v>
      </c>
      <c r="B145" s="68" t="s">
        <v>1530</v>
      </c>
      <c r="C145" s="68" t="s">
        <v>1533</v>
      </c>
      <c r="D145" s="10" t="s">
        <v>1534</v>
      </c>
      <c r="E145" s="10" t="s">
        <v>22</v>
      </c>
      <c r="F145" s="5">
        <v>7373</v>
      </c>
      <c r="G145" s="10" t="s">
        <v>1533</v>
      </c>
      <c r="H145" s="5">
        <v>5397</v>
      </c>
      <c r="I145" s="69">
        <v>0.73199511731995115</v>
      </c>
      <c r="J145" s="10">
        <v>143</v>
      </c>
      <c r="K145" s="70">
        <v>1.9395090193950901E-2</v>
      </c>
      <c r="L145" s="5">
        <v>956</v>
      </c>
      <c r="M145" s="80">
        <v>0.1296622812966228</v>
      </c>
      <c r="N145" s="72">
        <v>162</v>
      </c>
      <c r="O145" s="180">
        <f t="shared" si="2"/>
        <v>2.1972060219720602</v>
      </c>
      <c r="P145" s="72">
        <v>201</v>
      </c>
      <c r="Q145" s="73">
        <v>2.7261630272616303E-2</v>
      </c>
      <c r="R145" s="5">
        <v>514</v>
      </c>
      <c r="S145" s="70">
        <v>6.9713820697138204E-2</v>
      </c>
      <c r="T145" s="10">
        <v>0</v>
      </c>
      <c r="U145" s="74">
        <v>0</v>
      </c>
      <c r="V145" s="75">
        <v>0.11894751118947511</v>
      </c>
      <c r="W145" s="168" t="s">
        <v>2104</v>
      </c>
    </row>
    <row r="146" spans="1:23">
      <c r="A146" s="67" t="s">
        <v>1581</v>
      </c>
      <c r="B146" s="68" t="s">
        <v>1575</v>
      </c>
      <c r="C146" s="76" t="s">
        <v>27</v>
      </c>
      <c r="D146" s="10" t="s">
        <v>1550</v>
      </c>
      <c r="E146" s="10" t="s">
        <v>22</v>
      </c>
      <c r="F146" s="5">
        <v>9180</v>
      </c>
      <c r="G146" s="10" t="s">
        <v>1535</v>
      </c>
      <c r="H146" s="5">
        <v>9000</v>
      </c>
      <c r="I146" s="69">
        <v>0.98039215686274506</v>
      </c>
      <c r="J146" s="10">
        <v>0</v>
      </c>
      <c r="K146" s="70">
        <v>0</v>
      </c>
      <c r="L146" s="10">
        <v>0</v>
      </c>
      <c r="M146" s="80">
        <v>0</v>
      </c>
      <c r="N146" s="72">
        <v>0</v>
      </c>
      <c r="O146" s="180">
        <f t="shared" si="2"/>
        <v>0</v>
      </c>
      <c r="P146" s="72">
        <v>180</v>
      </c>
      <c r="Q146" s="73">
        <v>1.9607843137254902E-2</v>
      </c>
      <c r="R146" s="10">
        <v>0</v>
      </c>
      <c r="S146" s="70">
        <v>0</v>
      </c>
      <c r="T146" s="10">
        <v>0</v>
      </c>
      <c r="U146" s="74">
        <v>0</v>
      </c>
      <c r="V146" s="75">
        <v>1.9607843137254902E-2</v>
      </c>
      <c r="W146" s="168" t="s">
        <v>2104</v>
      </c>
    </row>
    <row r="147" spans="1:23">
      <c r="A147" s="67" t="s">
        <v>1581</v>
      </c>
      <c r="B147" s="68" t="s">
        <v>1575</v>
      </c>
      <c r="C147" s="76" t="s">
        <v>29</v>
      </c>
      <c r="D147" s="10" t="s">
        <v>1550</v>
      </c>
      <c r="E147" s="10" t="s">
        <v>22</v>
      </c>
      <c r="F147" s="5">
        <v>2754</v>
      </c>
      <c r="G147" s="10" t="s">
        <v>1545</v>
      </c>
      <c r="H147" s="5">
        <v>2700</v>
      </c>
      <c r="I147" s="69">
        <v>0.98039215686274506</v>
      </c>
      <c r="J147" s="10">
        <v>0</v>
      </c>
      <c r="K147" s="70">
        <v>0</v>
      </c>
      <c r="L147" s="10">
        <v>0</v>
      </c>
      <c r="M147" s="80">
        <v>0</v>
      </c>
      <c r="N147" s="72">
        <v>0</v>
      </c>
      <c r="O147" s="180">
        <f t="shared" si="2"/>
        <v>0</v>
      </c>
      <c r="P147" s="72">
        <v>54</v>
      </c>
      <c r="Q147" s="73">
        <v>1.9607843137254902E-2</v>
      </c>
      <c r="R147" s="10">
        <v>0</v>
      </c>
      <c r="S147" s="70">
        <v>0</v>
      </c>
      <c r="T147" s="10">
        <v>0</v>
      </c>
      <c r="U147" s="74">
        <v>0</v>
      </c>
      <c r="V147" s="75">
        <v>1.9607843137254902E-2</v>
      </c>
      <c r="W147" s="168" t="s">
        <v>2104</v>
      </c>
    </row>
    <row r="148" spans="1:23">
      <c r="A148" s="67" t="s">
        <v>1581</v>
      </c>
      <c r="B148" s="68" t="s">
        <v>1575</v>
      </c>
      <c r="C148" s="76" t="s">
        <v>29</v>
      </c>
      <c r="D148" s="10" t="s">
        <v>1550</v>
      </c>
      <c r="E148" s="10" t="s">
        <v>22</v>
      </c>
      <c r="F148" s="5">
        <v>7344</v>
      </c>
      <c r="G148" s="10" t="s">
        <v>1551</v>
      </c>
      <c r="H148" s="5">
        <v>7200</v>
      </c>
      <c r="I148" s="69">
        <v>0.98039215686274506</v>
      </c>
      <c r="J148" s="10">
        <v>0</v>
      </c>
      <c r="K148" s="70">
        <v>0</v>
      </c>
      <c r="L148" s="10">
        <v>0</v>
      </c>
      <c r="M148" s="80">
        <v>0</v>
      </c>
      <c r="N148" s="72">
        <v>0</v>
      </c>
      <c r="O148" s="180">
        <f t="shared" si="2"/>
        <v>0</v>
      </c>
      <c r="P148" s="72">
        <v>144</v>
      </c>
      <c r="Q148" s="73">
        <v>1.9607843137254902E-2</v>
      </c>
      <c r="R148" s="10">
        <v>0</v>
      </c>
      <c r="S148" s="70">
        <v>0</v>
      </c>
      <c r="T148" s="10">
        <v>0</v>
      </c>
      <c r="U148" s="74">
        <v>0</v>
      </c>
      <c r="V148" s="75">
        <v>1.9607843137254902E-2</v>
      </c>
      <c r="W148" s="168" t="s">
        <v>2104</v>
      </c>
    </row>
    <row r="149" spans="1:23">
      <c r="A149" s="67" t="s">
        <v>1581</v>
      </c>
      <c r="B149" s="68" t="s">
        <v>1538</v>
      </c>
      <c r="C149" s="10" t="s">
        <v>31</v>
      </c>
      <c r="D149" s="10" t="s">
        <v>1536</v>
      </c>
      <c r="E149" s="10" t="s">
        <v>1539</v>
      </c>
      <c r="F149" s="5">
        <v>3230</v>
      </c>
      <c r="G149" s="77" t="s">
        <v>1540</v>
      </c>
      <c r="H149" s="5">
        <v>2807</v>
      </c>
      <c r="I149" s="69">
        <v>0.86904024767801857</v>
      </c>
      <c r="J149" s="10">
        <v>0</v>
      </c>
      <c r="K149" s="70">
        <v>0</v>
      </c>
      <c r="L149" s="5">
        <v>30</v>
      </c>
      <c r="M149" s="80">
        <v>9.2879256965944269E-3</v>
      </c>
      <c r="N149" s="72">
        <v>270</v>
      </c>
      <c r="O149" s="180">
        <f t="shared" si="2"/>
        <v>8.3591331269349833</v>
      </c>
      <c r="P149" s="72">
        <v>60</v>
      </c>
      <c r="Q149" s="73">
        <v>1.8575851393188854E-2</v>
      </c>
      <c r="R149" s="10">
        <v>0</v>
      </c>
      <c r="S149" s="70">
        <v>0</v>
      </c>
      <c r="T149" s="10">
        <v>63</v>
      </c>
      <c r="U149" s="74">
        <v>1.9504643962848296E-2</v>
      </c>
      <c r="V149" s="75">
        <v>0.12167182662538698</v>
      </c>
      <c r="W149" s="168" t="s">
        <v>1195</v>
      </c>
    </row>
    <row r="150" spans="1:23">
      <c r="A150" s="67" t="s">
        <v>1581</v>
      </c>
      <c r="B150" s="68" t="s">
        <v>1538</v>
      </c>
      <c r="C150" s="10" t="s">
        <v>31</v>
      </c>
      <c r="D150" s="10" t="s">
        <v>1536</v>
      </c>
      <c r="E150" s="10" t="s">
        <v>22</v>
      </c>
      <c r="F150" s="5">
        <v>1765</v>
      </c>
      <c r="G150" s="77" t="s">
        <v>1540</v>
      </c>
      <c r="H150" s="5">
        <v>1440</v>
      </c>
      <c r="I150" s="69">
        <v>0.81586402266288949</v>
      </c>
      <c r="J150" s="10">
        <v>0</v>
      </c>
      <c r="K150" s="70">
        <v>0</v>
      </c>
      <c r="L150" s="10">
        <v>117</v>
      </c>
      <c r="M150" s="80">
        <v>6.6288951841359772E-2</v>
      </c>
      <c r="N150" s="72">
        <v>112</v>
      </c>
      <c r="O150" s="180">
        <f t="shared" si="2"/>
        <v>6.3456090651558075</v>
      </c>
      <c r="P150" s="72">
        <v>59</v>
      </c>
      <c r="Q150" s="73">
        <v>3.342776203966006E-2</v>
      </c>
      <c r="R150" s="10">
        <v>0</v>
      </c>
      <c r="S150" s="70">
        <v>0</v>
      </c>
      <c r="T150" s="10">
        <v>37</v>
      </c>
      <c r="U150" s="74">
        <v>2.0963172804532578E-2</v>
      </c>
      <c r="V150" s="75">
        <v>0.11784702549575071</v>
      </c>
      <c r="W150" s="168" t="s">
        <v>1195</v>
      </c>
    </row>
    <row r="151" spans="1:23">
      <c r="A151" s="67" t="s">
        <v>1582</v>
      </c>
      <c r="B151" s="68" t="s">
        <v>1538</v>
      </c>
      <c r="C151" s="10" t="s">
        <v>31</v>
      </c>
      <c r="D151" s="10" t="s">
        <v>1536</v>
      </c>
      <c r="E151" s="10" t="s">
        <v>1539</v>
      </c>
      <c r="F151" s="5">
        <v>1700</v>
      </c>
      <c r="G151" s="77" t="s">
        <v>1540</v>
      </c>
      <c r="H151" s="5">
        <v>1250</v>
      </c>
      <c r="I151" s="69">
        <v>0.73529411764705888</v>
      </c>
      <c r="J151" s="10">
        <v>0</v>
      </c>
      <c r="K151" s="70">
        <v>0</v>
      </c>
      <c r="L151" s="5">
        <v>102</v>
      </c>
      <c r="M151" s="80">
        <v>0.06</v>
      </c>
      <c r="N151" s="72">
        <v>206</v>
      </c>
      <c r="O151" s="180">
        <f t="shared" si="2"/>
        <v>12.117647058823529</v>
      </c>
      <c r="P151" s="72">
        <v>103</v>
      </c>
      <c r="Q151" s="73">
        <v>6.0588235294117644E-2</v>
      </c>
      <c r="R151" s="10">
        <v>0</v>
      </c>
      <c r="S151" s="70">
        <v>0</v>
      </c>
      <c r="T151" s="10">
        <v>39</v>
      </c>
      <c r="U151" s="74">
        <v>2.2941176470588236E-2</v>
      </c>
      <c r="V151" s="75">
        <v>0.20470588235294118</v>
      </c>
      <c r="W151" s="168" t="s">
        <v>1195</v>
      </c>
    </row>
    <row r="152" spans="1:23">
      <c r="A152" s="67" t="s">
        <v>1583</v>
      </c>
      <c r="B152" s="68" t="s">
        <v>1575</v>
      </c>
      <c r="C152" s="76" t="s">
        <v>29</v>
      </c>
      <c r="D152" s="10" t="s">
        <v>1550</v>
      </c>
      <c r="E152" s="10" t="s">
        <v>22</v>
      </c>
      <c r="F152" s="5">
        <v>6426</v>
      </c>
      <c r="G152" s="10" t="s">
        <v>1551</v>
      </c>
      <c r="H152" s="5">
        <v>6300</v>
      </c>
      <c r="I152" s="69">
        <v>0.98039215686274506</v>
      </c>
      <c r="J152" s="10">
        <v>0</v>
      </c>
      <c r="K152" s="70">
        <v>0</v>
      </c>
      <c r="L152" s="10">
        <v>0</v>
      </c>
      <c r="M152" s="80">
        <v>0</v>
      </c>
      <c r="N152" s="72">
        <v>0</v>
      </c>
      <c r="O152" s="180">
        <f t="shared" si="2"/>
        <v>0</v>
      </c>
      <c r="P152" s="72">
        <v>126</v>
      </c>
      <c r="Q152" s="73">
        <v>1.9607843137254902E-2</v>
      </c>
      <c r="R152" s="10">
        <v>0</v>
      </c>
      <c r="S152" s="70">
        <v>0</v>
      </c>
      <c r="T152" s="10">
        <v>0</v>
      </c>
      <c r="U152" s="74">
        <v>0</v>
      </c>
      <c r="V152" s="75">
        <v>1.9607843137254902E-2</v>
      </c>
      <c r="W152" s="168" t="s">
        <v>2104</v>
      </c>
    </row>
    <row r="153" spans="1:23">
      <c r="A153" s="67" t="s">
        <v>1583</v>
      </c>
      <c r="B153" s="68" t="s">
        <v>1575</v>
      </c>
      <c r="C153" s="76" t="s">
        <v>27</v>
      </c>
      <c r="D153" s="10" t="s">
        <v>1550</v>
      </c>
      <c r="E153" s="10" t="s">
        <v>22</v>
      </c>
      <c r="F153" s="10">
        <v>7344</v>
      </c>
      <c r="G153" s="10" t="s">
        <v>1535</v>
      </c>
      <c r="H153" s="5">
        <v>7200</v>
      </c>
      <c r="I153" s="69">
        <v>0.98039215686274506</v>
      </c>
      <c r="J153" s="10">
        <v>0</v>
      </c>
      <c r="K153" s="70">
        <v>0</v>
      </c>
      <c r="L153" s="10">
        <v>0</v>
      </c>
      <c r="M153" s="80">
        <v>0</v>
      </c>
      <c r="N153" s="72">
        <v>0</v>
      </c>
      <c r="O153" s="180">
        <f t="shared" si="2"/>
        <v>0</v>
      </c>
      <c r="P153" s="72">
        <v>144</v>
      </c>
      <c r="Q153" s="73">
        <v>1.9607843137254902E-2</v>
      </c>
      <c r="R153" s="10">
        <v>0</v>
      </c>
      <c r="S153" s="70">
        <v>0</v>
      </c>
      <c r="T153" s="10">
        <v>0</v>
      </c>
      <c r="U153" s="74">
        <v>0</v>
      </c>
      <c r="V153" s="75">
        <v>1.9607843137254902E-2</v>
      </c>
      <c r="W153" s="168" t="s">
        <v>2104</v>
      </c>
    </row>
    <row r="154" spans="1:23">
      <c r="A154" s="67" t="s">
        <v>1583</v>
      </c>
      <c r="B154" s="68" t="s">
        <v>1538</v>
      </c>
      <c r="C154" s="10" t="s">
        <v>31</v>
      </c>
      <c r="D154" s="10" t="s">
        <v>1536</v>
      </c>
      <c r="E154" s="10" t="s">
        <v>1539</v>
      </c>
      <c r="F154" s="10">
        <v>5480</v>
      </c>
      <c r="G154" s="77" t="s">
        <v>1540</v>
      </c>
      <c r="H154" s="5">
        <v>4312</v>
      </c>
      <c r="I154" s="69">
        <v>0.78686131386861313</v>
      </c>
      <c r="J154" s="10">
        <v>0</v>
      </c>
      <c r="K154" s="70">
        <v>0</v>
      </c>
      <c r="L154" s="5">
        <v>266</v>
      </c>
      <c r="M154" s="80">
        <v>4.8540145985401462E-2</v>
      </c>
      <c r="N154" s="72">
        <v>685</v>
      </c>
      <c r="O154" s="180">
        <f t="shared" si="2"/>
        <v>12.5</v>
      </c>
      <c r="P154" s="72">
        <v>169</v>
      </c>
      <c r="Q154" s="73">
        <v>3.0839416058394159E-2</v>
      </c>
      <c r="R154" s="10">
        <v>0</v>
      </c>
      <c r="S154" s="70">
        <v>0</v>
      </c>
      <c r="T154" s="10">
        <v>48</v>
      </c>
      <c r="U154" s="74">
        <v>8.7591240875912416E-3</v>
      </c>
      <c r="V154" s="75">
        <v>0.16459854014598541</v>
      </c>
      <c r="W154" s="168" t="s">
        <v>1195</v>
      </c>
    </row>
    <row r="155" spans="1:23">
      <c r="A155" s="67" t="s">
        <v>1584</v>
      </c>
      <c r="B155" s="68" t="s">
        <v>1575</v>
      </c>
      <c r="C155" s="76" t="s">
        <v>29</v>
      </c>
      <c r="D155" s="10" t="s">
        <v>1550</v>
      </c>
      <c r="E155" s="10" t="s">
        <v>22</v>
      </c>
      <c r="F155" s="10">
        <v>6426</v>
      </c>
      <c r="G155" s="10" t="s">
        <v>1551</v>
      </c>
      <c r="H155" s="5">
        <v>6300</v>
      </c>
      <c r="I155" s="69">
        <v>0.98039215686274506</v>
      </c>
      <c r="J155" s="10">
        <v>0</v>
      </c>
      <c r="K155" s="70">
        <v>0</v>
      </c>
      <c r="L155" s="10">
        <v>0</v>
      </c>
      <c r="M155" s="80">
        <v>0</v>
      </c>
      <c r="N155" s="72">
        <v>0</v>
      </c>
      <c r="O155" s="180">
        <f t="shared" si="2"/>
        <v>0</v>
      </c>
      <c r="P155" s="78">
        <v>126</v>
      </c>
      <c r="Q155" s="73">
        <v>1.9607843137254902E-2</v>
      </c>
      <c r="R155" s="10">
        <v>0</v>
      </c>
      <c r="S155" s="70">
        <v>0</v>
      </c>
      <c r="T155" s="10">
        <v>0</v>
      </c>
      <c r="U155" s="74">
        <v>0</v>
      </c>
      <c r="V155" s="75">
        <v>1.9607843137254902E-2</v>
      </c>
      <c r="W155" s="168" t="s">
        <v>2104</v>
      </c>
    </row>
    <row r="156" spans="1:23">
      <c r="A156" s="67" t="s">
        <v>1584</v>
      </c>
      <c r="B156" s="68" t="s">
        <v>1575</v>
      </c>
      <c r="C156" s="76" t="s">
        <v>27</v>
      </c>
      <c r="D156" s="10" t="s">
        <v>1550</v>
      </c>
      <c r="E156" s="10" t="s">
        <v>22</v>
      </c>
      <c r="F156" s="10">
        <v>6426</v>
      </c>
      <c r="G156" s="10" t="s">
        <v>1535</v>
      </c>
      <c r="H156" s="5">
        <v>6300</v>
      </c>
      <c r="I156" s="69">
        <v>0.98039215686274506</v>
      </c>
      <c r="J156" s="10">
        <v>0</v>
      </c>
      <c r="K156" s="70">
        <v>0</v>
      </c>
      <c r="L156" s="10">
        <v>0</v>
      </c>
      <c r="M156" s="80">
        <v>0</v>
      </c>
      <c r="N156" s="72">
        <v>0</v>
      </c>
      <c r="O156" s="180">
        <f t="shared" si="2"/>
        <v>0</v>
      </c>
      <c r="P156" s="72">
        <v>126</v>
      </c>
      <c r="Q156" s="73">
        <v>1.9607843137254902E-2</v>
      </c>
      <c r="R156" s="10">
        <v>0</v>
      </c>
      <c r="S156" s="70">
        <v>0</v>
      </c>
      <c r="T156" s="10">
        <v>0</v>
      </c>
      <c r="U156" s="74">
        <v>0</v>
      </c>
      <c r="V156" s="75">
        <v>1.9607843137254902E-2</v>
      </c>
      <c r="W156" s="168" t="s">
        <v>2104</v>
      </c>
    </row>
    <row r="157" spans="1:23">
      <c r="A157" s="67" t="s">
        <v>1584</v>
      </c>
      <c r="B157" s="68" t="s">
        <v>1530</v>
      </c>
      <c r="C157" s="68" t="s">
        <v>1533</v>
      </c>
      <c r="D157" s="10" t="s">
        <v>1534</v>
      </c>
      <c r="E157" s="10" t="s">
        <v>22</v>
      </c>
      <c r="F157" s="10">
        <v>5940</v>
      </c>
      <c r="G157" s="10" t="s">
        <v>1533</v>
      </c>
      <c r="H157" s="5">
        <v>4399</v>
      </c>
      <c r="I157" s="69">
        <v>0.74057239057239055</v>
      </c>
      <c r="J157" s="10">
        <v>73</v>
      </c>
      <c r="K157" s="70">
        <v>1.2289562289562289E-2</v>
      </c>
      <c r="L157" s="5">
        <v>986</v>
      </c>
      <c r="M157" s="80">
        <v>0.165993265993266</v>
      </c>
      <c r="N157" s="72">
        <v>252</v>
      </c>
      <c r="O157" s="180">
        <f t="shared" si="2"/>
        <v>4.2424242424242431</v>
      </c>
      <c r="P157" s="72">
        <v>124</v>
      </c>
      <c r="Q157" s="73">
        <v>2.0875420875420877E-2</v>
      </c>
      <c r="R157" s="5">
        <v>106</v>
      </c>
      <c r="S157" s="70">
        <v>1.7845117845117844E-2</v>
      </c>
      <c r="T157" s="10">
        <v>0</v>
      </c>
      <c r="U157" s="74">
        <v>0</v>
      </c>
      <c r="V157" s="75">
        <v>8.1144781144781145E-2</v>
      </c>
      <c r="W157" s="168" t="s">
        <v>2104</v>
      </c>
    </row>
    <row r="158" spans="1:23">
      <c r="A158" s="67" t="s">
        <v>1584</v>
      </c>
      <c r="B158" s="68" t="s">
        <v>1538</v>
      </c>
      <c r="C158" s="10" t="s">
        <v>31</v>
      </c>
      <c r="D158" s="10" t="s">
        <v>1536</v>
      </c>
      <c r="E158" s="10" t="s">
        <v>1539</v>
      </c>
      <c r="F158" s="10">
        <v>5750</v>
      </c>
      <c r="G158" s="77" t="s">
        <v>1540</v>
      </c>
      <c r="H158" s="5">
        <v>4014</v>
      </c>
      <c r="I158" s="69">
        <v>0.69808695652173913</v>
      </c>
      <c r="J158" s="5">
        <v>50</v>
      </c>
      <c r="K158" s="70">
        <v>8.6956521739130436E-3</v>
      </c>
      <c r="L158" s="5">
        <v>1116</v>
      </c>
      <c r="M158" s="80">
        <v>0.19408695652173913</v>
      </c>
      <c r="N158" s="72">
        <v>380</v>
      </c>
      <c r="O158" s="180">
        <f t="shared" si="2"/>
        <v>6.6086956521739122</v>
      </c>
      <c r="P158" s="72">
        <v>190</v>
      </c>
      <c r="Q158" s="73">
        <v>3.3043478260869563E-2</v>
      </c>
      <c r="R158" s="10">
        <v>0</v>
      </c>
      <c r="S158" s="70">
        <v>0</v>
      </c>
      <c r="T158" s="10">
        <v>0</v>
      </c>
      <c r="U158" s="74">
        <v>0</v>
      </c>
      <c r="V158" s="75">
        <v>9.913043478260869E-2</v>
      </c>
      <c r="W158" s="168" t="s">
        <v>1195</v>
      </c>
    </row>
    <row r="159" spans="1:23">
      <c r="A159" s="67" t="s">
        <v>1585</v>
      </c>
      <c r="B159" s="68" t="s">
        <v>1530</v>
      </c>
      <c r="C159" s="10" t="s">
        <v>24</v>
      </c>
      <c r="D159" s="10" t="s">
        <v>1534</v>
      </c>
      <c r="E159" s="10" t="s">
        <v>22</v>
      </c>
      <c r="F159" s="10">
        <v>5604</v>
      </c>
      <c r="G159" s="10" t="s">
        <v>1544</v>
      </c>
      <c r="H159" s="5">
        <v>4840</v>
      </c>
      <c r="I159" s="69">
        <v>0.8636688079942898</v>
      </c>
      <c r="J159" s="5">
        <v>224</v>
      </c>
      <c r="K159" s="70">
        <v>3.9971448965024983E-2</v>
      </c>
      <c r="L159" s="5">
        <v>244</v>
      </c>
      <c r="M159" s="80">
        <v>4.3540328336902211E-2</v>
      </c>
      <c r="N159" s="72">
        <v>141</v>
      </c>
      <c r="O159" s="180">
        <f t="shared" si="2"/>
        <v>2.5160599571734474</v>
      </c>
      <c r="P159" s="72">
        <v>138</v>
      </c>
      <c r="Q159" s="73">
        <v>2.4625267665952889E-2</v>
      </c>
      <c r="R159" s="10">
        <v>0</v>
      </c>
      <c r="S159" s="70">
        <v>0</v>
      </c>
      <c r="T159" s="10">
        <v>17</v>
      </c>
      <c r="U159" s="74">
        <v>3.0335474660956462E-3</v>
      </c>
      <c r="V159" s="75">
        <v>5.2819414703783013E-2</v>
      </c>
      <c r="W159" s="168" t="s">
        <v>2104</v>
      </c>
    </row>
    <row r="160" spans="1:23">
      <c r="A160" s="67" t="s">
        <v>1585</v>
      </c>
      <c r="B160" s="68" t="s">
        <v>1575</v>
      </c>
      <c r="C160" s="76" t="s">
        <v>29</v>
      </c>
      <c r="D160" s="10" t="s">
        <v>1550</v>
      </c>
      <c r="E160" s="10" t="s">
        <v>22</v>
      </c>
      <c r="F160" s="10">
        <v>6426</v>
      </c>
      <c r="G160" s="10" t="s">
        <v>1551</v>
      </c>
      <c r="H160" s="5">
        <v>6300</v>
      </c>
      <c r="I160" s="69">
        <v>0.98039215686274506</v>
      </c>
      <c r="J160" s="10">
        <v>0</v>
      </c>
      <c r="K160" s="70">
        <v>0</v>
      </c>
      <c r="L160" s="5">
        <v>0</v>
      </c>
      <c r="M160" s="80">
        <v>0</v>
      </c>
      <c r="N160" s="72">
        <v>0</v>
      </c>
      <c r="O160" s="180">
        <f t="shared" si="2"/>
        <v>0</v>
      </c>
      <c r="P160" s="72">
        <v>126</v>
      </c>
      <c r="Q160" s="73">
        <v>1.9607843137254902E-2</v>
      </c>
      <c r="R160" s="10">
        <v>0</v>
      </c>
      <c r="S160" s="70">
        <v>0</v>
      </c>
      <c r="T160" s="10">
        <v>0</v>
      </c>
      <c r="U160" s="74">
        <v>0</v>
      </c>
      <c r="V160" s="75">
        <v>1.9607843137254902E-2</v>
      </c>
      <c r="W160" s="168" t="s">
        <v>2104</v>
      </c>
    </row>
    <row r="161" spans="1:23">
      <c r="A161" s="67" t="s">
        <v>1585</v>
      </c>
      <c r="B161" s="68" t="s">
        <v>1575</v>
      </c>
      <c r="C161" s="76" t="s">
        <v>27</v>
      </c>
      <c r="D161" s="10" t="s">
        <v>1550</v>
      </c>
      <c r="E161" s="10" t="s">
        <v>22</v>
      </c>
      <c r="F161" s="10">
        <v>7344</v>
      </c>
      <c r="G161" s="10" t="s">
        <v>1535</v>
      </c>
      <c r="H161" s="5">
        <v>7200</v>
      </c>
      <c r="I161" s="69">
        <v>0.98039215686274506</v>
      </c>
      <c r="J161" s="10">
        <v>0</v>
      </c>
      <c r="K161" s="70">
        <v>0</v>
      </c>
      <c r="L161" s="5">
        <v>0</v>
      </c>
      <c r="M161" s="80">
        <v>0</v>
      </c>
      <c r="N161" s="72">
        <v>0</v>
      </c>
      <c r="O161" s="180">
        <f t="shared" si="2"/>
        <v>0</v>
      </c>
      <c r="P161" s="72">
        <v>144</v>
      </c>
      <c r="Q161" s="73">
        <v>1.9607843137254902E-2</v>
      </c>
      <c r="R161" s="10">
        <v>0</v>
      </c>
      <c r="S161" s="70">
        <v>0</v>
      </c>
      <c r="T161" s="10">
        <v>0</v>
      </c>
      <c r="U161" s="74">
        <v>0</v>
      </c>
      <c r="V161" s="75">
        <v>1.9607843137254902E-2</v>
      </c>
      <c r="W161" s="168" t="s">
        <v>2104</v>
      </c>
    </row>
    <row r="162" spans="1:23">
      <c r="A162" s="67" t="s">
        <v>1585</v>
      </c>
      <c r="B162" s="68" t="s">
        <v>1538</v>
      </c>
      <c r="C162" s="10" t="s">
        <v>31</v>
      </c>
      <c r="D162" s="10" t="s">
        <v>1536</v>
      </c>
      <c r="E162" s="10" t="s">
        <v>1539</v>
      </c>
      <c r="F162" s="10">
        <v>5580</v>
      </c>
      <c r="G162" s="77" t="s">
        <v>1540</v>
      </c>
      <c r="H162" s="5">
        <v>3960</v>
      </c>
      <c r="I162" s="69">
        <v>0.70967741935483875</v>
      </c>
      <c r="J162" s="10">
        <v>0</v>
      </c>
      <c r="K162" s="70">
        <v>0</v>
      </c>
      <c r="L162" s="5">
        <v>1069</v>
      </c>
      <c r="M162" s="80">
        <v>0.19157706093189963</v>
      </c>
      <c r="N162" s="72">
        <v>301</v>
      </c>
      <c r="O162" s="180">
        <f t="shared" si="2"/>
        <v>5.3942652329749103</v>
      </c>
      <c r="P162" s="72">
        <v>200</v>
      </c>
      <c r="Q162" s="73">
        <v>3.5842293906810034E-2</v>
      </c>
      <c r="R162" s="10">
        <v>0</v>
      </c>
      <c r="S162" s="70">
        <v>0</v>
      </c>
      <c r="T162" s="10">
        <v>50</v>
      </c>
      <c r="U162" s="74">
        <v>8.9605734767025085E-3</v>
      </c>
      <c r="V162" s="75">
        <v>9.8745519713261648E-2</v>
      </c>
      <c r="W162" s="168" t="s">
        <v>1195</v>
      </c>
    </row>
    <row r="163" spans="1:23">
      <c r="A163" s="67" t="s">
        <v>1585</v>
      </c>
      <c r="B163" s="68" t="s">
        <v>1538</v>
      </c>
      <c r="C163" s="10" t="s">
        <v>31</v>
      </c>
      <c r="D163" s="10" t="s">
        <v>1536</v>
      </c>
      <c r="E163" s="10" t="s">
        <v>1552</v>
      </c>
      <c r="F163" s="10">
        <v>1900</v>
      </c>
      <c r="G163" s="77" t="s">
        <v>1540</v>
      </c>
      <c r="H163" s="5">
        <v>1066</v>
      </c>
      <c r="I163" s="69">
        <v>0.56105263157894736</v>
      </c>
      <c r="J163" s="10">
        <v>0</v>
      </c>
      <c r="K163" s="70">
        <v>0</v>
      </c>
      <c r="L163" s="5">
        <v>529</v>
      </c>
      <c r="M163" s="80">
        <v>0.27842105263157896</v>
      </c>
      <c r="N163" s="72">
        <v>235</v>
      </c>
      <c r="O163" s="180">
        <f t="shared" si="2"/>
        <v>12.368421052631579</v>
      </c>
      <c r="P163" s="72">
        <v>36</v>
      </c>
      <c r="Q163" s="73">
        <v>1.8947368421052633E-2</v>
      </c>
      <c r="R163" s="10">
        <v>0</v>
      </c>
      <c r="S163" s="70">
        <v>0</v>
      </c>
      <c r="T163" s="10">
        <v>34</v>
      </c>
      <c r="U163" s="74">
        <v>1.7894736842105262E-2</v>
      </c>
      <c r="V163" s="75">
        <v>0.16052631578947368</v>
      </c>
      <c r="W163" s="168" t="s">
        <v>1195</v>
      </c>
    </row>
    <row r="164" spans="1:23">
      <c r="A164" s="67" t="s">
        <v>1586</v>
      </c>
      <c r="B164" s="68" t="s">
        <v>1530</v>
      </c>
      <c r="C164" s="10" t="s">
        <v>24</v>
      </c>
      <c r="D164" s="10" t="s">
        <v>1534</v>
      </c>
      <c r="E164" s="10" t="s">
        <v>22</v>
      </c>
      <c r="F164" s="10">
        <v>5805</v>
      </c>
      <c r="G164" s="10" t="s">
        <v>1544</v>
      </c>
      <c r="H164" s="5">
        <v>4810</v>
      </c>
      <c r="I164" s="69">
        <v>0.82859603789836345</v>
      </c>
      <c r="J164" s="5">
        <v>220</v>
      </c>
      <c r="K164" s="70">
        <v>3.7898363479758827E-2</v>
      </c>
      <c r="L164" s="5">
        <v>474</v>
      </c>
      <c r="M164" s="80">
        <v>8.1653746770025834E-2</v>
      </c>
      <c r="N164" s="72">
        <v>135</v>
      </c>
      <c r="O164" s="180">
        <f t="shared" si="2"/>
        <v>2.3255813953488373</v>
      </c>
      <c r="P164" s="72">
        <v>166</v>
      </c>
      <c r="Q164" s="73">
        <v>2.8596037898363479E-2</v>
      </c>
      <c r="R164" s="10">
        <v>0</v>
      </c>
      <c r="S164" s="70">
        <v>0</v>
      </c>
      <c r="T164" s="10">
        <v>0</v>
      </c>
      <c r="U164" s="74">
        <v>0</v>
      </c>
      <c r="V164" s="75">
        <v>5.185185185185185E-2</v>
      </c>
      <c r="W164" s="168" t="s">
        <v>2104</v>
      </c>
    </row>
    <row r="165" spans="1:23">
      <c r="A165" s="67" t="s">
        <v>1586</v>
      </c>
      <c r="B165" s="68" t="s">
        <v>1575</v>
      </c>
      <c r="C165" s="76" t="s">
        <v>29</v>
      </c>
      <c r="D165" s="10" t="s">
        <v>1550</v>
      </c>
      <c r="E165" s="10" t="s">
        <v>22</v>
      </c>
      <c r="F165" s="10">
        <v>2754</v>
      </c>
      <c r="G165" s="10" t="s">
        <v>1551</v>
      </c>
      <c r="H165" s="5">
        <v>2700</v>
      </c>
      <c r="I165" s="69">
        <v>0.98039215686274506</v>
      </c>
      <c r="J165" s="10">
        <v>0</v>
      </c>
      <c r="K165" s="70">
        <v>0</v>
      </c>
      <c r="L165" s="5">
        <v>0</v>
      </c>
      <c r="M165" s="80">
        <v>0</v>
      </c>
      <c r="N165" s="72">
        <v>0</v>
      </c>
      <c r="O165" s="180">
        <f t="shared" si="2"/>
        <v>0</v>
      </c>
      <c r="P165" s="72">
        <v>54</v>
      </c>
      <c r="Q165" s="73">
        <v>1.9607843137254902E-2</v>
      </c>
      <c r="R165" s="10">
        <v>0</v>
      </c>
      <c r="S165" s="70">
        <v>0</v>
      </c>
      <c r="T165" s="10">
        <v>0</v>
      </c>
      <c r="U165" s="74">
        <v>0</v>
      </c>
      <c r="V165" s="75">
        <v>1.9607843137254902E-2</v>
      </c>
      <c r="W165" s="168" t="s">
        <v>2104</v>
      </c>
    </row>
    <row r="166" spans="1:23">
      <c r="A166" s="67" t="s">
        <v>1586</v>
      </c>
      <c r="B166" s="68" t="s">
        <v>1575</v>
      </c>
      <c r="C166" s="76" t="s">
        <v>27</v>
      </c>
      <c r="D166" s="10" t="s">
        <v>1550</v>
      </c>
      <c r="E166" s="10" t="s">
        <v>22</v>
      </c>
      <c r="F166" s="10">
        <v>6426</v>
      </c>
      <c r="G166" s="10" t="s">
        <v>1535</v>
      </c>
      <c r="H166" s="5">
        <v>6300</v>
      </c>
      <c r="I166" s="69">
        <v>0.98039215686274506</v>
      </c>
      <c r="J166" s="10">
        <v>0</v>
      </c>
      <c r="K166" s="70">
        <v>0</v>
      </c>
      <c r="L166" s="5">
        <v>0</v>
      </c>
      <c r="M166" s="80">
        <v>0</v>
      </c>
      <c r="N166" s="72">
        <v>0</v>
      </c>
      <c r="O166" s="180">
        <f t="shared" si="2"/>
        <v>0</v>
      </c>
      <c r="P166" s="72">
        <v>126</v>
      </c>
      <c r="Q166" s="73">
        <v>1.9607843137254902E-2</v>
      </c>
      <c r="R166" s="10">
        <v>0</v>
      </c>
      <c r="S166" s="70">
        <v>0</v>
      </c>
      <c r="T166" s="10">
        <v>0</v>
      </c>
      <c r="U166" s="74">
        <v>0</v>
      </c>
      <c r="V166" s="75">
        <v>1.9607843137254902E-2</v>
      </c>
      <c r="W166" s="168" t="s">
        <v>2104</v>
      </c>
    </row>
    <row r="167" spans="1:23">
      <c r="A167" s="67" t="s">
        <v>1586</v>
      </c>
      <c r="B167" s="68" t="s">
        <v>1556</v>
      </c>
      <c r="C167" s="76" t="s">
        <v>29</v>
      </c>
      <c r="D167" s="10" t="s">
        <v>1550</v>
      </c>
      <c r="E167" s="10" t="s">
        <v>22</v>
      </c>
      <c r="F167" s="10">
        <v>2413</v>
      </c>
      <c r="G167" s="10" t="s">
        <v>1551</v>
      </c>
      <c r="H167" s="5">
        <v>2380</v>
      </c>
      <c r="I167" s="69">
        <v>0.98632407791131371</v>
      </c>
      <c r="J167" s="10">
        <v>0</v>
      </c>
      <c r="K167" s="70">
        <v>0</v>
      </c>
      <c r="L167" s="5">
        <v>0</v>
      </c>
      <c r="M167" s="80">
        <v>0</v>
      </c>
      <c r="N167" s="72">
        <v>0</v>
      </c>
      <c r="O167" s="180">
        <f t="shared" si="2"/>
        <v>0</v>
      </c>
      <c r="P167" s="72">
        <v>33</v>
      </c>
      <c r="Q167" s="73">
        <v>1.3675922088686282E-2</v>
      </c>
      <c r="R167" s="10">
        <v>0</v>
      </c>
      <c r="S167" s="70">
        <v>0</v>
      </c>
      <c r="T167" s="10">
        <v>0</v>
      </c>
      <c r="U167" s="74">
        <v>0</v>
      </c>
      <c r="V167" s="75">
        <v>1.3675922088686282E-2</v>
      </c>
      <c r="W167" s="168" t="s">
        <v>2104</v>
      </c>
    </row>
    <row r="168" spans="1:23">
      <c r="A168" s="67" t="s">
        <v>1586</v>
      </c>
      <c r="B168" s="68" t="s">
        <v>1538</v>
      </c>
      <c r="C168" s="10" t="s">
        <v>31</v>
      </c>
      <c r="D168" s="10" t="s">
        <v>1536</v>
      </c>
      <c r="E168" s="10" t="s">
        <v>1539</v>
      </c>
      <c r="F168" s="10">
        <v>5040</v>
      </c>
      <c r="G168" s="77" t="s">
        <v>1540</v>
      </c>
      <c r="H168" s="5">
        <v>3240</v>
      </c>
      <c r="I168" s="69">
        <v>0.6428571428571429</v>
      </c>
      <c r="J168" s="10">
        <v>0</v>
      </c>
      <c r="K168" s="70">
        <v>0</v>
      </c>
      <c r="L168" s="5">
        <v>1110</v>
      </c>
      <c r="M168" s="80">
        <v>0.22023809523809523</v>
      </c>
      <c r="N168" s="72">
        <v>500</v>
      </c>
      <c r="O168" s="180">
        <f t="shared" si="2"/>
        <v>9.9206349206349209</v>
      </c>
      <c r="P168" s="72">
        <v>150</v>
      </c>
      <c r="Q168" s="73">
        <v>2.976190476190476E-2</v>
      </c>
      <c r="R168" s="10">
        <v>40</v>
      </c>
      <c r="S168" s="70">
        <v>7.9365079365079361E-3</v>
      </c>
      <c r="T168" s="10">
        <v>0</v>
      </c>
      <c r="U168" s="74">
        <v>0</v>
      </c>
      <c r="V168" s="75">
        <v>0.13690476190476189</v>
      </c>
      <c r="W168" s="168" t="s">
        <v>1195</v>
      </c>
    </row>
    <row r="169" spans="1:23">
      <c r="A169" s="67" t="s">
        <v>1586</v>
      </c>
      <c r="B169" s="68" t="s">
        <v>1538</v>
      </c>
      <c r="C169" s="10" t="s">
        <v>31</v>
      </c>
      <c r="D169" s="10" t="s">
        <v>1536</v>
      </c>
      <c r="E169" s="10" t="s">
        <v>1552</v>
      </c>
      <c r="F169" s="10">
        <v>1900</v>
      </c>
      <c r="G169" s="77" t="s">
        <v>1540</v>
      </c>
      <c r="H169" s="5">
        <v>1128</v>
      </c>
      <c r="I169" s="69">
        <v>0.59368421052631581</v>
      </c>
      <c r="J169" s="10">
        <v>0</v>
      </c>
      <c r="K169" s="70">
        <v>0</v>
      </c>
      <c r="L169" s="5">
        <v>506</v>
      </c>
      <c r="M169" s="80">
        <v>0.26631578947368423</v>
      </c>
      <c r="N169" s="72">
        <v>186</v>
      </c>
      <c r="O169" s="180">
        <f t="shared" si="2"/>
        <v>9.7894736842105257</v>
      </c>
      <c r="P169" s="72">
        <v>56</v>
      </c>
      <c r="Q169" s="73">
        <v>2.9473684210526315E-2</v>
      </c>
      <c r="R169" s="10">
        <v>24</v>
      </c>
      <c r="S169" s="70">
        <v>1.2631578947368421E-2</v>
      </c>
      <c r="T169" s="10">
        <v>0</v>
      </c>
      <c r="U169" s="74">
        <v>0</v>
      </c>
      <c r="V169" s="75">
        <v>0.13999999999999999</v>
      </c>
      <c r="W169" s="168" t="s">
        <v>1195</v>
      </c>
    </row>
    <row r="170" spans="1:23">
      <c r="A170" s="67" t="s">
        <v>1587</v>
      </c>
      <c r="B170" s="68" t="s">
        <v>1530</v>
      </c>
      <c r="C170" s="10" t="s">
        <v>24</v>
      </c>
      <c r="D170" s="10" t="s">
        <v>1588</v>
      </c>
      <c r="E170" s="10" t="s">
        <v>22</v>
      </c>
      <c r="F170" s="10">
        <v>3750</v>
      </c>
      <c r="G170" s="10" t="s">
        <v>1532</v>
      </c>
      <c r="H170" s="5">
        <v>3570</v>
      </c>
      <c r="I170" s="69">
        <v>0.95199999999999996</v>
      </c>
      <c r="J170" s="10">
        <v>0</v>
      </c>
      <c r="K170" s="70">
        <v>0</v>
      </c>
      <c r="L170" s="5">
        <v>0</v>
      </c>
      <c r="M170" s="80">
        <v>0</v>
      </c>
      <c r="N170" s="72">
        <v>108</v>
      </c>
      <c r="O170" s="180">
        <f t="shared" si="2"/>
        <v>2.88</v>
      </c>
      <c r="P170" s="72">
        <v>72</v>
      </c>
      <c r="Q170" s="73">
        <v>1.9199999999999998E-2</v>
      </c>
      <c r="R170" s="10">
        <v>0</v>
      </c>
      <c r="S170" s="70">
        <v>0</v>
      </c>
      <c r="T170" s="10">
        <v>0</v>
      </c>
      <c r="U170" s="74">
        <v>0</v>
      </c>
      <c r="V170" s="75">
        <v>4.8000000000000001E-2</v>
      </c>
      <c r="W170" s="168" t="s">
        <v>2104</v>
      </c>
    </row>
    <row r="171" spans="1:23">
      <c r="A171" s="67" t="s">
        <v>1587</v>
      </c>
      <c r="B171" s="68" t="s">
        <v>1530</v>
      </c>
      <c r="C171" s="10" t="s">
        <v>24</v>
      </c>
      <c r="D171" s="10" t="s">
        <v>1534</v>
      </c>
      <c r="E171" s="10" t="s">
        <v>22</v>
      </c>
      <c r="F171" s="10">
        <v>2295</v>
      </c>
      <c r="G171" s="10" t="s">
        <v>1544</v>
      </c>
      <c r="H171" s="5">
        <v>1991</v>
      </c>
      <c r="I171" s="69">
        <v>0.86753812636165573</v>
      </c>
      <c r="J171" s="5">
        <v>149</v>
      </c>
      <c r="K171" s="70">
        <v>6.4923747276688454E-2</v>
      </c>
      <c r="L171" s="5">
        <v>14</v>
      </c>
      <c r="M171" s="80">
        <v>6.100217864923747E-3</v>
      </c>
      <c r="N171" s="72">
        <v>87</v>
      </c>
      <c r="O171" s="180">
        <f t="shared" si="2"/>
        <v>3.7908496732026142</v>
      </c>
      <c r="P171" s="72">
        <v>47</v>
      </c>
      <c r="Q171" s="73">
        <v>2.0479302832244008E-2</v>
      </c>
      <c r="R171" s="10">
        <v>0</v>
      </c>
      <c r="S171" s="70">
        <v>0</v>
      </c>
      <c r="T171" s="10">
        <v>7</v>
      </c>
      <c r="U171" s="74">
        <v>3.0501089324618735E-3</v>
      </c>
      <c r="V171" s="75">
        <v>6.1437908496732023E-2</v>
      </c>
      <c r="W171" s="168" t="s">
        <v>2104</v>
      </c>
    </row>
    <row r="172" spans="1:23">
      <c r="A172" s="67" t="s">
        <v>1587</v>
      </c>
      <c r="B172" s="68" t="s">
        <v>1575</v>
      </c>
      <c r="C172" s="76" t="s">
        <v>27</v>
      </c>
      <c r="D172" s="10" t="s">
        <v>1550</v>
      </c>
      <c r="E172" s="10" t="s">
        <v>22</v>
      </c>
      <c r="F172" s="10">
        <v>6243</v>
      </c>
      <c r="G172" s="10" t="s">
        <v>1535</v>
      </c>
      <c r="H172" s="5">
        <v>6120</v>
      </c>
      <c r="I172" s="69">
        <v>0.98029793368572804</v>
      </c>
      <c r="J172" s="10">
        <v>0</v>
      </c>
      <c r="K172" s="70">
        <v>0</v>
      </c>
      <c r="L172" s="5">
        <v>0</v>
      </c>
      <c r="M172" s="80">
        <v>0</v>
      </c>
      <c r="N172" s="72">
        <v>0</v>
      </c>
      <c r="O172" s="180">
        <f t="shared" si="2"/>
        <v>0</v>
      </c>
      <c r="P172" s="72">
        <v>123</v>
      </c>
      <c r="Q172" s="73">
        <v>1.9702066314271984E-2</v>
      </c>
      <c r="R172" s="10">
        <v>0</v>
      </c>
      <c r="S172" s="70">
        <v>0</v>
      </c>
      <c r="T172" s="10">
        <v>0</v>
      </c>
      <c r="U172" s="74">
        <v>0</v>
      </c>
      <c r="V172" s="75">
        <v>1.9702066314271984E-2</v>
      </c>
      <c r="W172" s="168" t="s">
        <v>2104</v>
      </c>
    </row>
    <row r="173" spans="1:23">
      <c r="A173" s="67" t="s">
        <v>1587</v>
      </c>
      <c r="B173" s="68" t="s">
        <v>1575</v>
      </c>
      <c r="C173" s="76" t="s">
        <v>29</v>
      </c>
      <c r="D173" s="10" t="s">
        <v>1550</v>
      </c>
      <c r="E173" s="10" t="s">
        <v>22</v>
      </c>
      <c r="F173" s="10">
        <v>5508</v>
      </c>
      <c r="G173" s="10" t="s">
        <v>1551</v>
      </c>
      <c r="H173" s="5">
        <v>5400</v>
      </c>
      <c r="I173" s="69">
        <v>0.98039215686274506</v>
      </c>
      <c r="J173" s="10">
        <v>0</v>
      </c>
      <c r="K173" s="70">
        <v>0</v>
      </c>
      <c r="L173" s="5">
        <v>0</v>
      </c>
      <c r="M173" s="80">
        <v>0</v>
      </c>
      <c r="N173" s="72">
        <v>0</v>
      </c>
      <c r="O173" s="180">
        <f t="shared" si="2"/>
        <v>0</v>
      </c>
      <c r="P173" s="72">
        <v>108</v>
      </c>
      <c r="Q173" s="73">
        <v>1.9607843137254902E-2</v>
      </c>
      <c r="R173" s="10">
        <v>0</v>
      </c>
      <c r="S173" s="70">
        <v>0</v>
      </c>
      <c r="T173" s="10">
        <v>0</v>
      </c>
      <c r="U173" s="74">
        <v>0</v>
      </c>
      <c r="V173" s="75">
        <v>1.9607843137254902E-2</v>
      </c>
      <c r="W173" s="168" t="s">
        <v>2104</v>
      </c>
    </row>
    <row r="174" spans="1:23">
      <c r="A174" s="67" t="s">
        <v>1587</v>
      </c>
      <c r="B174" s="68" t="s">
        <v>1538</v>
      </c>
      <c r="C174" s="10" t="s">
        <v>31</v>
      </c>
      <c r="D174" s="10" t="s">
        <v>1536</v>
      </c>
      <c r="E174" s="10" t="s">
        <v>1539</v>
      </c>
      <c r="F174" s="10">
        <v>2880</v>
      </c>
      <c r="G174" s="77" t="s">
        <v>1540</v>
      </c>
      <c r="H174" s="5">
        <v>1541</v>
      </c>
      <c r="I174" s="69">
        <v>0.53506944444444449</v>
      </c>
      <c r="J174" s="10">
        <v>0</v>
      </c>
      <c r="K174" s="70">
        <v>0</v>
      </c>
      <c r="L174" s="5">
        <v>945</v>
      </c>
      <c r="M174" s="80">
        <v>0.328125</v>
      </c>
      <c r="N174" s="72">
        <v>300</v>
      </c>
      <c r="O174" s="180">
        <f t="shared" si="2"/>
        <v>10.416666666666668</v>
      </c>
      <c r="P174" s="72">
        <v>62</v>
      </c>
      <c r="Q174" s="73">
        <v>2.1527777777777778E-2</v>
      </c>
      <c r="R174" s="10">
        <v>0</v>
      </c>
      <c r="S174" s="70">
        <v>0</v>
      </c>
      <c r="T174" s="10">
        <v>32</v>
      </c>
      <c r="U174" s="74">
        <v>1.1111111111111112E-2</v>
      </c>
      <c r="V174" s="75">
        <v>0.13680555555555554</v>
      </c>
      <c r="W174" s="168" t="s">
        <v>1195</v>
      </c>
    </row>
    <row r="175" spans="1:23">
      <c r="A175" s="67" t="s">
        <v>1587</v>
      </c>
      <c r="B175" s="68" t="s">
        <v>1538</v>
      </c>
      <c r="C175" s="10" t="s">
        <v>31</v>
      </c>
      <c r="D175" s="10" t="s">
        <v>1536</v>
      </c>
      <c r="E175" s="10" t="s">
        <v>1552</v>
      </c>
      <c r="F175" s="10">
        <v>950</v>
      </c>
      <c r="G175" s="77" t="s">
        <v>1540</v>
      </c>
      <c r="H175" s="5">
        <v>636</v>
      </c>
      <c r="I175" s="69">
        <v>0.66947368421052633</v>
      </c>
      <c r="J175" s="10">
        <v>0</v>
      </c>
      <c r="K175" s="70">
        <v>0</v>
      </c>
      <c r="L175" s="5">
        <v>169</v>
      </c>
      <c r="M175" s="80">
        <v>0.17789473684210527</v>
      </c>
      <c r="N175" s="72">
        <v>80</v>
      </c>
      <c r="O175" s="180">
        <f t="shared" si="2"/>
        <v>8.4210526315789469</v>
      </c>
      <c r="P175" s="72">
        <v>50</v>
      </c>
      <c r="Q175" s="73">
        <v>5.2631578947368418E-2</v>
      </c>
      <c r="R175" s="10">
        <v>0</v>
      </c>
      <c r="S175" s="70">
        <v>0</v>
      </c>
      <c r="T175" s="10">
        <v>15</v>
      </c>
      <c r="U175" s="74">
        <v>1.5789473684210527E-2</v>
      </c>
      <c r="V175" s="75">
        <v>0.1526315789473684</v>
      </c>
      <c r="W175" s="168" t="s">
        <v>1195</v>
      </c>
    </row>
    <row r="176" spans="1:23">
      <c r="A176" s="67" t="s">
        <v>1589</v>
      </c>
      <c r="B176" s="68" t="s">
        <v>1530</v>
      </c>
      <c r="C176" s="10" t="s">
        <v>24</v>
      </c>
      <c r="D176" s="10" t="s">
        <v>1534</v>
      </c>
      <c r="E176" s="10" t="s">
        <v>22</v>
      </c>
      <c r="F176" s="10">
        <v>3855</v>
      </c>
      <c r="G176" s="10" t="s">
        <v>1544</v>
      </c>
      <c r="H176" s="5">
        <v>3454</v>
      </c>
      <c r="I176" s="69">
        <v>0.89597924773022053</v>
      </c>
      <c r="J176" s="5">
        <v>257</v>
      </c>
      <c r="K176" s="70">
        <v>6.6666666666666666E-2</v>
      </c>
      <c r="L176" s="5">
        <v>42</v>
      </c>
      <c r="M176" s="80">
        <v>1.0894941634241245E-2</v>
      </c>
      <c r="N176" s="72">
        <v>39</v>
      </c>
      <c r="O176" s="180">
        <f t="shared" si="2"/>
        <v>1.0116731517509727</v>
      </c>
      <c r="P176" s="72">
        <v>63</v>
      </c>
      <c r="Q176" s="73">
        <v>1.6342412451361869E-2</v>
      </c>
      <c r="R176" s="10">
        <v>0</v>
      </c>
      <c r="S176" s="70">
        <v>0</v>
      </c>
      <c r="T176" s="10">
        <v>0</v>
      </c>
      <c r="U176" s="74">
        <v>0</v>
      </c>
      <c r="V176" s="75">
        <v>2.6459143968871598E-2</v>
      </c>
      <c r="W176" s="168" t="s">
        <v>2104</v>
      </c>
    </row>
    <row r="177" spans="1:23">
      <c r="A177" s="67" t="s">
        <v>1589</v>
      </c>
      <c r="B177" s="68" t="s">
        <v>1530</v>
      </c>
      <c r="C177" s="10" t="s">
        <v>24</v>
      </c>
      <c r="D177" s="10" t="s">
        <v>1588</v>
      </c>
      <c r="E177" s="10" t="s">
        <v>22</v>
      </c>
      <c r="F177" s="10">
        <v>3880</v>
      </c>
      <c r="G177" s="10" t="s">
        <v>1532</v>
      </c>
      <c r="H177" s="5">
        <v>3790</v>
      </c>
      <c r="I177" s="69">
        <v>0.97680412371134018</v>
      </c>
      <c r="J177" s="10">
        <v>0</v>
      </c>
      <c r="K177" s="70">
        <v>0</v>
      </c>
      <c r="L177" s="10">
        <v>0</v>
      </c>
      <c r="M177" s="80">
        <v>0</v>
      </c>
      <c r="N177" s="72">
        <v>64</v>
      </c>
      <c r="O177" s="180">
        <f t="shared" si="2"/>
        <v>1.6494845360824744</v>
      </c>
      <c r="P177" s="72">
        <v>26</v>
      </c>
      <c r="Q177" s="73">
        <v>6.7010309278350512E-3</v>
      </c>
      <c r="R177" s="10">
        <v>0</v>
      </c>
      <c r="S177" s="70">
        <v>0</v>
      </c>
      <c r="T177" s="10">
        <v>0</v>
      </c>
      <c r="U177" s="74">
        <v>0</v>
      </c>
      <c r="V177" s="75">
        <v>2.3195876288659795E-2</v>
      </c>
      <c r="W177" s="168" t="s">
        <v>2104</v>
      </c>
    </row>
    <row r="178" spans="1:23">
      <c r="A178" s="67" t="s">
        <v>1589</v>
      </c>
      <c r="B178" s="68" t="s">
        <v>1575</v>
      </c>
      <c r="C178" s="76" t="s">
        <v>29</v>
      </c>
      <c r="D178" s="10" t="s">
        <v>1550</v>
      </c>
      <c r="E178" s="10" t="s">
        <v>22</v>
      </c>
      <c r="F178" s="10">
        <v>1284</v>
      </c>
      <c r="G178" s="10" t="s">
        <v>1551</v>
      </c>
      <c r="H178" s="5">
        <v>1260</v>
      </c>
      <c r="I178" s="69">
        <v>0.98130841121495327</v>
      </c>
      <c r="J178" s="10">
        <v>0</v>
      </c>
      <c r="K178" s="70">
        <v>0</v>
      </c>
      <c r="L178" s="10">
        <v>0</v>
      </c>
      <c r="M178" s="80">
        <v>0</v>
      </c>
      <c r="N178" s="72">
        <v>0</v>
      </c>
      <c r="O178" s="180">
        <f t="shared" si="2"/>
        <v>0</v>
      </c>
      <c r="P178" s="72">
        <v>24</v>
      </c>
      <c r="Q178" s="73">
        <v>1.8691588785046728E-2</v>
      </c>
      <c r="R178" s="10">
        <v>0</v>
      </c>
      <c r="S178" s="70">
        <v>0</v>
      </c>
      <c r="T178" s="10">
        <v>0</v>
      </c>
      <c r="U178" s="74">
        <v>0</v>
      </c>
      <c r="V178" s="75">
        <v>1.8691588785046728E-2</v>
      </c>
      <c r="W178" s="168" t="s">
        <v>2104</v>
      </c>
    </row>
    <row r="179" spans="1:23">
      <c r="A179" s="67" t="s">
        <v>1589</v>
      </c>
      <c r="B179" s="68" t="s">
        <v>1575</v>
      </c>
      <c r="C179" s="76" t="s">
        <v>27</v>
      </c>
      <c r="D179" s="10" t="s">
        <v>1550</v>
      </c>
      <c r="E179" s="10" t="s">
        <v>22</v>
      </c>
      <c r="F179" s="10">
        <v>6060</v>
      </c>
      <c r="G179" s="10" t="s">
        <v>1535</v>
      </c>
      <c r="H179" s="5">
        <v>5940</v>
      </c>
      <c r="I179" s="69">
        <v>0.98019801980198018</v>
      </c>
      <c r="J179" s="10">
        <v>0</v>
      </c>
      <c r="K179" s="70">
        <v>0</v>
      </c>
      <c r="L179" s="10">
        <v>0</v>
      </c>
      <c r="M179" s="80">
        <v>0</v>
      </c>
      <c r="N179" s="72">
        <v>0</v>
      </c>
      <c r="O179" s="180">
        <f t="shared" si="2"/>
        <v>0</v>
      </c>
      <c r="P179" s="72">
        <v>120</v>
      </c>
      <c r="Q179" s="73">
        <v>1.9801980198019802E-2</v>
      </c>
      <c r="R179" s="10">
        <v>0</v>
      </c>
      <c r="S179" s="70">
        <v>0</v>
      </c>
      <c r="T179" s="10">
        <v>0</v>
      </c>
      <c r="U179" s="74">
        <v>0</v>
      </c>
      <c r="V179" s="75">
        <v>1.9801980198019802E-2</v>
      </c>
      <c r="W179" s="168" t="s">
        <v>2104</v>
      </c>
    </row>
    <row r="180" spans="1:23">
      <c r="A180" s="67" t="s">
        <v>1589</v>
      </c>
      <c r="B180" s="68" t="s">
        <v>1538</v>
      </c>
      <c r="C180" s="10" t="s">
        <v>31</v>
      </c>
      <c r="D180" s="10" t="s">
        <v>1536</v>
      </c>
      <c r="E180" s="10" t="s">
        <v>1539</v>
      </c>
      <c r="F180" s="10">
        <v>3060</v>
      </c>
      <c r="G180" s="77" t="s">
        <v>1540</v>
      </c>
      <c r="H180" s="5">
        <v>1800</v>
      </c>
      <c r="I180" s="69">
        <v>0.58823529411764708</v>
      </c>
      <c r="J180" s="10">
        <v>0</v>
      </c>
      <c r="K180" s="70">
        <v>0</v>
      </c>
      <c r="L180" s="5">
        <v>731</v>
      </c>
      <c r="M180" s="80">
        <v>0.2388888888888889</v>
      </c>
      <c r="N180" s="72">
        <v>80</v>
      </c>
      <c r="O180" s="180">
        <f t="shared" si="2"/>
        <v>2.6143790849673203</v>
      </c>
      <c r="P180" s="72">
        <v>399</v>
      </c>
      <c r="Q180" s="73">
        <v>0.13039215686274511</v>
      </c>
      <c r="R180" s="10">
        <v>0</v>
      </c>
      <c r="S180" s="70">
        <v>0</v>
      </c>
      <c r="T180" s="10">
        <v>50</v>
      </c>
      <c r="U180" s="74">
        <v>1.6339869281045753E-2</v>
      </c>
      <c r="V180" s="75">
        <v>0.17287581699346405</v>
      </c>
      <c r="W180" s="168" t="s">
        <v>1195</v>
      </c>
    </row>
    <row r="181" spans="1:23">
      <c r="A181" s="67" t="s">
        <v>1589</v>
      </c>
      <c r="B181" s="68" t="s">
        <v>1538</v>
      </c>
      <c r="C181" s="10" t="s">
        <v>31</v>
      </c>
      <c r="D181" s="10" t="s">
        <v>1536</v>
      </c>
      <c r="E181" s="10" t="s">
        <v>1552</v>
      </c>
      <c r="F181" s="10">
        <v>1710</v>
      </c>
      <c r="G181" s="77" t="s">
        <v>1540</v>
      </c>
      <c r="H181" s="5">
        <v>1183</v>
      </c>
      <c r="I181" s="69">
        <v>0.69181286549707599</v>
      </c>
      <c r="J181" s="10">
        <v>0</v>
      </c>
      <c r="K181" s="70">
        <v>0</v>
      </c>
      <c r="L181" s="10">
        <v>273</v>
      </c>
      <c r="M181" s="80">
        <v>0.15964912280701754</v>
      </c>
      <c r="N181" s="72">
        <v>60</v>
      </c>
      <c r="O181" s="180">
        <f t="shared" si="2"/>
        <v>3.5087719298245612</v>
      </c>
      <c r="P181" s="72">
        <v>129</v>
      </c>
      <c r="Q181" s="73">
        <v>7.5438596491228069E-2</v>
      </c>
      <c r="R181" s="10">
        <v>0</v>
      </c>
      <c r="S181" s="70">
        <v>0</v>
      </c>
      <c r="T181" s="10">
        <v>65</v>
      </c>
      <c r="U181" s="74">
        <v>3.8011695906432746E-2</v>
      </c>
      <c r="V181" s="75">
        <v>0.14853801169590641</v>
      </c>
      <c r="W181" s="168" t="s">
        <v>1195</v>
      </c>
    </row>
    <row r="182" spans="1:23">
      <c r="A182" s="67" t="s">
        <v>1590</v>
      </c>
      <c r="B182" s="68" t="s">
        <v>1530</v>
      </c>
      <c r="C182" s="10" t="s">
        <v>24</v>
      </c>
      <c r="D182" s="10" t="s">
        <v>1534</v>
      </c>
      <c r="E182" s="10" t="s">
        <v>22</v>
      </c>
      <c r="F182" s="10">
        <v>3213</v>
      </c>
      <c r="G182" s="10" t="s">
        <v>1544</v>
      </c>
      <c r="H182" s="5">
        <v>2792</v>
      </c>
      <c r="I182" s="69">
        <v>0.86896981014628072</v>
      </c>
      <c r="J182" s="5">
        <v>230</v>
      </c>
      <c r="K182" s="70">
        <v>7.1584189231248055E-2</v>
      </c>
      <c r="L182" s="5">
        <v>62</v>
      </c>
      <c r="M182" s="80">
        <v>1.9296607531901648E-2</v>
      </c>
      <c r="N182" s="72">
        <v>64</v>
      </c>
      <c r="O182" s="180">
        <f t="shared" si="2"/>
        <v>1.9919078742608156</v>
      </c>
      <c r="P182" s="72">
        <v>54</v>
      </c>
      <c r="Q182" s="73">
        <v>1.680672268907563E-2</v>
      </c>
      <c r="R182" s="10">
        <v>0</v>
      </c>
      <c r="S182" s="70">
        <v>0</v>
      </c>
      <c r="T182" s="10">
        <v>11</v>
      </c>
      <c r="U182" s="74">
        <v>3.4235916588857764E-3</v>
      </c>
      <c r="V182" s="75">
        <v>4.0149393090569564E-2</v>
      </c>
      <c r="W182" s="168" t="s">
        <v>2104</v>
      </c>
    </row>
    <row r="183" spans="1:23">
      <c r="A183" s="67" t="s">
        <v>1590</v>
      </c>
      <c r="B183" s="68" t="s">
        <v>1530</v>
      </c>
      <c r="C183" s="10" t="s">
        <v>24</v>
      </c>
      <c r="D183" s="10" t="s">
        <v>1588</v>
      </c>
      <c r="E183" s="10" t="s">
        <v>22</v>
      </c>
      <c r="F183" s="10">
        <v>3660</v>
      </c>
      <c r="G183" s="10" t="s">
        <v>1532</v>
      </c>
      <c r="H183" s="5">
        <v>3560</v>
      </c>
      <c r="I183" s="69">
        <v>0.97267759562841527</v>
      </c>
      <c r="J183" s="10">
        <v>0</v>
      </c>
      <c r="K183" s="70">
        <v>0</v>
      </c>
      <c r="L183" s="5">
        <v>0</v>
      </c>
      <c r="M183" s="80">
        <v>0</v>
      </c>
      <c r="N183" s="72">
        <v>0</v>
      </c>
      <c r="O183" s="180">
        <f t="shared" si="2"/>
        <v>0</v>
      </c>
      <c r="P183" s="72">
        <v>80</v>
      </c>
      <c r="Q183" s="73">
        <v>2.185792349726776E-2</v>
      </c>
      <c r="R183" s="10">
        <v>20</v>
      </c>
      <c r="S183" s="70">
        <v>5.4644808743169399E-3</v>
      </c>
      <c r="T183" s="10">
        <v>0</v>
      </c>
      <c r="U183" s="74">
        <v>0</v>
      </c>
      <c r="V183" s="75">
        <v>2.7322404371584699E-2</v>
      </c>
      <c r="W183" s="168" t="s">
        <v>2104</v>
      </c>
    </row>
    <row r="184" spans="1:23">
      <c r="A184" s="67" t="s">
        <v>1590</v>
      </c>
      <c r="B184" s="68" t="s">
        <v>1538</v>
      </c>
      <c r="C184" s="10" t="s">
        <v>31</v>
      </c>
      <c r="D184" s="10" t="s">
        <v>1536</v>
      </c>
      <c r="E184" s="10" t="s">
        <v>1552</v>
      </c>
      <c r="F184" s="10">
        <v>3230</v>
      </c>
      <c r="G184" s="77" t="s">
        <v>1540</v>
      </c>
      <c r="H184" s="5">
        <v>2655</v>
      </c>
      <c r="I184" s="69">
        <v>0.82198142414860687</v>
      </c>
      <c r="J184" s="10">
        <v>0</v>
      </c>
      <c r="K184" s="70">
        <v>0</v>
      </c>
      <c r="L184" s="5">
        <v>267</v>
      </c>
      <c r="M184" s="80">
        <v>8.2662538699690397E-2</v>
      </c>
      <c r="N184" s="72">
        <v>200</v>
      </c>
      <c r="O184" s="180">
        <f t="shared" si="2"/>
        <v>6.1919504643962853</v>
      </c>
      <c r="P184" s="72">
        <v>58</v>
      </c>
      <c r="Q184" s="73">
        <v>1.7956656346749224E-2</v>
      </c>
      <c r="R184" s="10">
        <v>0</v>
      </c>
      <c r="S184" s="70">
        <v>0</v>
      </c>
      <c r="T184" s="10">
        <v>50</v>
      </c>
      <c r="U184" s="74">
        <v>1.5479876160990712E-2</v>
      </c>
      <c r="V184" s="75">
        <v>9.535603715170278E-2</v>
      </c>
      <c r="W184" s="168" t="s">
        <v>1195</v>
      </c>
    </row>
    <row r="185" spans="1:23">
      <c r="A185" s="67" t="s">
        <v>1590</v>
      </c>
      <c r="B185" s="68" t="s">
        <v>1538</v>
      </c>
      <c r="C185" s="10" t="s">
        <v>31</v>
      </c>
      <c r="D185" s="10" t="s">
        <v>1536</v>
      </c>
      <c r="E185" s="10" t="s">
        <v>1539</v>
      </c>
      <c r="F185" s="10">
        <v>1470</v>
      </c>
      <c r="G185" s="77" t="s">
        <v>1540</v>
      </c>
      <c r="H185" s="5">
        <v>1026</v>
      </c>
      <c r="I185" s="69">
        <v>0.69795918367346943</v>
      </c>
      <c r="J185" s="10">
        <v>0</v>
      </c>
      <c r="K185" s="70">
        <v>0</v>
      </c>
      <c r="L185" s="5">
        <v>194</v>
      </c>
      <c r="M185" s="80">
        <v>0.13197278911564625</v>
      </c>
      <c r="N185" s="72">
        <v>186</v>
      </c>
      <c r="O185" s="180">
        <f t="shared" si="2"/>
        <v>12.653061224489795</v>
      </c>
      <c r="P185" s="72">
        <v>32</v>
      </c>
      <c r="Q185" s="73">
        <v>2.1768707482993196E-2</v>
      </c>
      <c r="R185" s="10">
        <v>0</v>
      </c>
      <c r="S185" s="70">
        <v>0</v>
      </c>
      <c r="T185" s="10">
        <v>32</v>
      </c>
      <c r="U185" s="74">
        <v>2.1768707482993196E-2</v>
      </c>
      <c r="V185" s="75">
        <v>0.17006802721088435</v>
      </c>
      <c r="W185" s="168" t="s">
        <v>1195</v>
      </c>
    </row>
    <row r="186" spans="1:23">
      <c r="A186" s="67" t="s">
        <v>1591</v>
      </c>
      <c r="B186" s="68" t="s">
        <v>1530</v>
      </c>
      <c r="C186" s="10" t="s">
        <v>24</v>
      </c>
      <c r="D186" s="10" t="s">
        <v>1550</v>
      </c>
      <c r="E186" s="10" t="s">
        <v>22</v>
      </c>
      <c r="F186" s="10">
        <v>7344</v>
      </c>
      <c r="G186" s="10" t="s">
        <v>1544</v>
      </c>
      <c r="H186" s="5">
        <v>7200</v>
      </c>
      <c r="I186" s="69">
        <v>0.98039215686274506</v>
      </c>
      <c r="J186" s="10">
        <v>0</v>
      </c>
      <c r="K186" s="70">
        <v>0</v>
      </c>
      <c r="L186" s="5">
        <v>0</v>
      </c>
      <c r="M186" s="80">
        <v>0</v>
      </c>
      <c r="N186" s="72">
        <v>0</v>
      </c>
      <c r="O186" s="180">
        <f t="shared" si="2"/>
        <v>0</v>
      </c>
      <c r="P186" s="72">
        <v>144</v>
      </c>
      <c r="Q186" s="73">
        <v>1.9607843137254902E-2</v>
      </c>
      <c r="R186" s="10">
        <v>0</v>
      </c>
      <c r="S186" s="70">
        <v>0</v>
      </c>
      <c r="T186" s="10">
        <v>0</v>
      </c>
      <c r="U186" s="74">
        <v>0</v>
      </c>
      <c r="V186" s="75">
        <v>1.9607843137254902E-2</v>
      </c>
      <c r="W186" s="168" t="s">
        <v>2104</v>
      </c>
    </row>
    <row r="187" spans="1:23">
      <c r="A187" s="67" t="s">
        <v>1591</v>
      </c>
      <c r="B187" s="68" t="s">
        <v>1530</v>
      </c>
      <c r="C187" s="10" t="s">
        <v>24</v>
      </c>
      <c r="D187" s="10" t="s">
        <v>1534</v>
      </c>
      <c r="E187" s="10" t="s">
        <v>22</v>
      </c>
      <c r="F187" s="10">
        <v>5159</v>
      </c>
      <c r="G187" s="10" t="s">
        <v>1544</v>
      </c>
      <c r="H187" s="5">
        <v>4151</v>
      </c>
      <c r="I187" s="69">
        <v>0.80461329715061058</v>
      </c>
      <c r="J187" s="10">
        <v>212</v>
      </c>
      <c r="K187" s="70">
        <v>4.1093235123085867E-2</v>
      </c>
      <c r="L187" s="5">
        <v>344</v>
      </c>
      <c r="M187" s="80">
        <v>6.6679589067648773E-2</v>
      </c>
      <c r="N187" s="72">
        <v>185</v>
      </c>
      <c r="O187" s="180">
        <f t="shared" si="2"/>
        <v>3.5859662725334371</v>
      </c>
      <c r="P187" s="72">
        <v>267</v>
      </c>
      <c r="Q187" s="73">
        <v>5.1754215933320413E-2</v>
      </c>
      <c r="R187" s="10">
        <v>0</v>
      </c>
      <c r="S187" s="70">
        <v>0</v>
      </c>
      <c r="T187" s="10">
        <v>0</v>
      </c>
      <c r="U187" s="74">
        <v>0</v>
      </c>
      <c r="V187" s="75">
        <v>8.7613878658654776E-2</v>
      </c>
      <c r="W187" s="168" t="s">
        <v>2104</v>
      </c>
    </row>
    <row r="188" spans="1:23">
      <c r="A188" s="67" t="s">
        <v>1591</v>
      </c>
      <c r="B188" s="68" t="s">
        <v>1538</v>
      </c>
      <c r="C188" s="10" t="s">
        <v>31</v>
      </c>
      <c r="D188" s="10" t="s">
        <v>1536</v>
      </c>
      <c r="E188" s="10" t="s">
        <v>1552</v>
      </c>
      <c r="F188" s="10">
        <v>760</v>
      </c>
      <c r="G188" s="77" t="s">
        <v>1540</v>
      </c>
      <c r="H188" s="5">
        <v>540</v>
      </c>
      <c r="I188" s="69">
        <v>0.71052631578947367</v>
      </c>
      <c r="J188" s="10">
        <v>0</v>
      </c>
      <c r="K188" s="70">
        <v>0</v>
      </c>
      <c r="L188" s="5">
        <v>180</v>
      </c>
      <c r="M188" s="80">
        <v>0.23684210526315788</v>
      </c>
      <c r="N188" s="72">
        <v>24</v>
      </c>
      <c r="O188" s="180">
        <f t="shared" si="2"/>
        <v>3.1578947368421053</v>
      </c>
      <c r="P188" s="72">
        <v>10</v>
      </c>
      <c r="Q188" s="73">
        <v>1.3157894736842105E-2</v>
      </c>
      <c r="R188" s="10">
        <v>0</v>
      </c>
      <c r="S188" s="70">
        <v>0</v>
      </c>
      <c r="T188" s="10">
        <v>6</v>
      </c>
      <c r="U188" s="74">
        <v>7.8947368421052634E-3</v>
      </c>
      <c r="V188" s="75">
        <v>5.2631578947368418E-2</v>
      </c>
      <c r="W188" s="168" t="s">
        <v>1195</v>
      </c>
    </row>
    <row r="189" spans="1:23">
      <c r="A189" s="67" t="s">
        <v>1591</v>
      </c>
      <c r="B189" s="68" t="s">
        <v>1538</v>
      </c>
      <c r="C189" s="10" t="s">
        <v>31</v>
      </c>
      <c r="D189" s="10" t="s">
        <v>1536</v>
      </c>
      <c r="E189" s="10" t="s">
        <v>1539</v>
      </c>
      <c r="F189" s="10">
        <v>7110</v>
      </c>
      <c r="G189" s="77" t="s">
        <v>1540</v>
      </c>
      <c r="H189" s="5">
        <v>4607</v>
      </c>
      <c r="I189" s="69">
        <v>0.64796061884669476</v>
      </c>
      <c r="J189" s="10">
        <v>0</v>
      </c>
      <c r="K189" s="70">
        <v>0</v>
      </c>
      <c r="L189" s="5">
        <v>1619</v>
      </c>
      <c r="M189" s="80">
        <v>0.22770745428973277</v>
      </c>
      <c r="N189" s="72">
        <v>700</v>
      </c>
      <c r="O189" s="180">
        <f t="shared" si="2"/>
        <v>9.8452883263009845</v>
      </c>
      <c r="P189" s="72">
        <v>164</v>
      </c>
      <c r="Q189" s="73">
        <v>2.3066104078762306E-2</v>
      </c>
      <c r="R189" s="10">
        <v>0</v>
      </c>
      <c r="S189" s="70">
        <v>0</v>
      </c>
      <c r="T189" s="10">
        <v>20</v>
      </c>
      <c r="U189" s="74">
        <v>2.8129395218002813E-3</v>
      </c>
      <c r="V189" s="75">
        <v>0.12433192686357243</v>
      </c>
      <c r="W189" s="168" t="s">
        <v>1195</v>
      </c>
    </row>
    <row r="190" spans="1:23">
      <c r="A190" s="67" t="s">
        <v>1592</v>
      </c>
      <c r="B190" s="68" t="s">
        <v>1530</v>
      </c>
      <c r="C190" s="10" t="s">
        <v>24</v>
      </c>
      <c r="D190" s="10" t="s">
        <v>1534</v>
      </c>
      <c r="E190" s="10" t="s">
        <v>22</v>
      </c>
      <c r="F190" s="10">
        <v>7191</v>
      </c>
      <c r="G190" s="10" t="s">
        <v>1544</v>
      </c>
      <c r="H190" s="5">
        <v>6513</v>
      </c>
      <c r="I190" s="69">
        <v>0.90571547768043392</v>
      </c>
      <c r="J190" s="5">
        <v>240</v>
      </c>
      <c r="K190" s="70">
        <v>3.3375052148518984E-2</v>
      </c>
      <c r="L190" s="5">
        <v>60</v>
      </c>
      <c r="M190" s="80">
        <v>8.343763037129746E-3</v>
      </c>
      <c r="N190" s="72">
        <v>100</v>
      </c>
      <c r="O190" s="180">
        <f t="shared" si="2"/>
        <v>1.3906271728549575</v>
      </c>
      <c r="P190" s="72">
        <v>253</v>
      </c>
      <c r="Q190" s="73">
        <v>3.5182867473230427E-2</v>
      </c>
      <c r="R190" s="10">
        <v>0</v>
      </c>
      <c r="S190" s="70">
        <v>0</v>
      </c>
      <c r="T190" s="10">
        <v>25</v>
      </c>
      <c r="U190" s="74">
        <v>3.476567932137394E-3</v>
      </c>
      <c r="V190" s="75">
        <v>5.2565707133917394E-2</v>
      </c>
      <c r="W190" s="168" t="s">
        <v>2104</v>
      </c>
    </row>
    <row r="191" spans="1:23">
      <c r="A191" s="67" t="s">
        <v>1592</v>
      </c>
      <c r="B191" s="68" t="s">
        <v>1575</v>
      </c>
      <c r="C191" s="76" t="s">
        <v>27</v>
      </c>
      <c r="D191" s="10" t="s">
        <v>1550</v>
      </c>
      <c r="E191" s="10" t="s">
        <v>22</v>
      </c>
      <c r="F191" s="10">
        <v>3858</v>
      </c>
      <c r="G191" s="10" t="s">
        <v>1535</v>
      </c>
      <c r="H191" s="5">
        <v>3780</v>
      </c>
      <c r="I191" s="69">
        <v>0.97978227060653189</v>
      </c>
      <c r="J191" s="10">
        <v>0</v>
      </c>
      <c r="K191" s="70">
        <v>0</v>
      </c>
      <c r="L191" s="5">
        <v>0</v>
      </c>
      <c r="M191" s="80">
        <v>0</v>
      </c>
      <c r="N191" s="72">
        <v>0</v>
      </c>
      <c r="O191" s="180">
        <f t="shared" si="2"/>
        <v>0</v>
      </c>
      <c r="P191" s="72">
        <v>78</v>
      </c>
      <c r="Q191" s="73">
        <v>2.0217729393468119E-2</v>
      </c>
      <c r="R191" s="10">
        <v>0</v>
      </c>
      <c r="S191" s="70">
        <v>0</v>
      </c>
      <c r="T191" s="10">
        <v>0</v>
      </c>
      <c r="U191" s="74">
        <v>0</v>
      </c>
      <c r="V191" s="75">
        <v>2.0217729393468119E-2</v>
      </c>
      <c r="W191" s="168" t="s">
        <v>2104</v>
      </c>
    </row>
    <row r="192" spans="1:23">
      <c r="A192" s="67" t="s">
        <v>1592</v>
      </c>
      <c r="B192" s="68" t="s">
        <v>1530</v>
      </c>
      <c r="C192" s="10" t="s">
        <v>24</v>
      </c>
      <c r="D192" s="10" t="s">
        <v>1550</v>
      </c>
      <c r="E192" s="10" t="s">
        <v>22</v>
      </c>
      <c r="F192" s="10">
        <v>8262</v>
      </c>
      <c r="G192" s="10" t="s">
        <v>1544</v>
      </c>
      <c r="H192" s="5">
        <v>8100</v>
      </c>
      <c r="I192" s="69">
        <v>0.98039215686274506</v>
      </c>
      <c r="J192" s="10">
        <v>0</v>
      </c>
      <c r="K192" s="70">
        <v>0</v>
      </c>
      <c r="L192" s="5">
        <v>0</v>
      </c>
      <c r="M192" s="80">
        <v>0</v>
      </c>
      <c r="N192" s="72">
        <v>0</v>
      </c>
      <c r="O192" s="180">
        <f t="shared" si="2"/>
        <v>0</v>
      </c>
      <c r="P192" s="72">
        <v>162</v>
      </c>
      <c r="Q192" s="73">
        <v>1.9607843137254902E-2</v>
      </c>
      <c r="R192" s="10">
        <v>0</v>
      </c>
      <c r="S192" s="70">
        <v>0</v>
      </c>
      <c r="T192" s="10">
        <v>0</v>
      </c>
      <c r="U192" s="74">
        <v>0</v>
      </c>
      <c r="V192" s="75">
        <v>1.9607843137254902E-2</v>
      </c>
      <c r="W192" s="168" t="s">
        <v>2104</v>
      </c>
    </row>
    <row r="193" spans="1:23">
      <c r="A193" s="67" t="s">
        <v>1592</v>
      </c>
      <c r="B193" s="68" t="s">
        <v>1538</v>
      </c>
      <c r="C193" s="10" t="s">
        <v>31</v>
      </c>
      <c r="D193" s="10" t="s">
        <v>1536</v>
      </c>
      <c r="E193" s="10" t="s">
        <v>22</v>
      </c>
      <c r="F193" s="10">
        <v>8540</v>
      </c>
      <c r="G193" s="77" t="s">
        <v>1540</v>
      </c>
      <c r="H193" s="5">
        <v>5495</v>
      </c>
      <c r="I193" s="69">
        <v>0.64344262295081966</v>
      </c>
      <c r="J193" s="10">
        <v>0</v>
      </c>
      <c r="K193" s="70">
        <v>0</v>
      </c>
      <c r="L193" s="5">
        <v>1532</v>
      </c>
      <c r="M193" s="80">
        <v>0.17939110070257611</v>
      </c>
      <c r="N193" s="72">
        <v>230</v>
      </c>
      <c r="O193" s="180">
        <f t="shared" si="2"/>
        <v>2.6932084309133488</v>
      </c>
      <c r="P193" s="72">
        <v>1202</v>
      </c>
      <c r="Q193" s="73">
        <v>0.14074941451990633</v>
      </c>
      <c r="R193" s="10">
        <v>0</v>
      </c>
      <c r="S193" s="70">
        <v>0</v>
      </c>
      <c r="T193" s="10">
        <v>81</v>
      </c>
      <c r="U193" s="74">
        <v>9.4847775175644026E-3</v>
      </c>
      <c r="V193" s="75">
        <v>0.17716627634660423</v>
      </c>
      <c r="W193" s="168" t="s">
        <v>1195</v>
      </c>
    </row>
    <row r="194" spans="1:23">
      <c r="A194" s="38" t="s">
        <v>1593</v>
      </c>
      <c r="B194" s="68" t="s">
        <v>1530</v>
      </c>
      <c r="C194" s="10" t="s">
        <v>24</v>
      </c>
      <c r="D194" s="10" t="s">
        <v>1534</v>
      </c>
      <c r="E194" s="10" t="s">
        <v>22</v>
      </c>
      <c r="F194" s="10">
        <v>3825</v>
      </c>
      <c r="G194" s="10" t="s">
        <v>1544</v>
      </c>
      <c r="H194" s="5">
        <v>3325</v>
      </c>
      <c r="I194" s="69">
        <v>0.86928104575163401</v>
      </c>
      <c r="J194" s="5">
        <v>208</v>
      </c>
      <c r="K194" s="70">
        <v>5.437908496732026E-2</v>
      </c>
      <c r="L194" s="5">
        <v>30</v>
      </c>
      <c r="M194" s="80">
        <v>7.8431372549019607E-3</v>
      </c>
      <c r="N194" s="72">
        <v>74</v>
      </c>
      <c r="O194" s="180">
        <f t="shared" si="2"/>
        <v>1.934640522875817</v>
      </c>
      <c r="P194" s="72">
        <v>168</v>
      </c>
      <c r="Q194" s="73">
        <v>4.3921568627450981E-2</v>
      </c>
      <c r="R194" s="10">
        <v>0</v>
      </c>
      <c r="S194" s="70">
        <v>0</v>
      </c>
      <c r="T194" s="10">
        <v>20</v>
      </c>
      <c r="U194" s="74">
        <v>5.2287581699346402E-3</v>
      </c>
      <c r="V194" s="75">
        <v>6.8496732026143786E-2</v>
      </c>
      <c r="W194" s="168" t="s">
        <v>2104</v>
      </c>
    </row>
    <row r="195" spans="1:23">
      <c r="A195" s="38" t="s">
        <v>1593</v>
      </c>
      <c r="B195" s="68" t="s">
        <v>1538</v>
      </c>
      <c r="C195" s="10" t="s">
        <v>31</v>
      </c>
      <c r="D195" s="10" t="s">
        <v>1536</v>
      </c>
      <c r="E195" s="10" t="s">
        <v>22</v>
      </c>
      <c r="F195" s="10">
        <v>7085</v>
      </c>
      <c r="G195" s="77" t="s">
        <v>1540</v>
      </c>
      <c r="H195" s="5">
        <v>5012</v>
      </c>
      <c r="I195" s="69">
        <v>0.7074100211714891</v>
      </c>
      <c r="J195" s="5">
        <v>0</v>
      </c>
      <c r="K195" s="70">
        <v>0</v>
      </c>
      <c r="L195" s="5">
        <v>1301</v>
      </c>
      <c r="M195" s="80">
        <v>0.18362738179251942</v>
      </c>
      <c r="N195" s="72">
        <v>218</v>
      </c>
      <c r="O195" s="180">
        <f t="shared" ref="O195:O258" si="3">N195/F195*100</f>
        <v>3.0769230769230771</v>
      </c>
      <c r="P195" s="72">
        <v>554</v>
      </c>
      <c r="Q195" s="73">
        <v>7.8193366266760767E-2</v>
      </c>
      <c r="R195" s="10">
        <v>0</v>
      </c>
      <c r="S195" s="70">
        <v>0</v>
      </c>
      <c r="T195" s="10">
        <v>0</v>
      </c>
      <c r="U195" s="74">
        <v>0</v>
      </c>
      <c r="V195" s="75">
        <v>0.10896259703599154</v>
      </c>
      <c r="W195" s="168" t="s">
        <v>1195</v>
      </c>
    </row>
    <row r="196" spans="1:23">
      <c r="A196" s="38" t="s">
        <v>1594</v>
      </c>
      <c r="B196" s="68" t="s">
        <v>1530</v>
      </c>
      <c r="C196" s="10" t="s">
        <v>24</v>
      </c>
      <c r="D196" s="10" t="s">
        <v>1534</v>
      </c>
      <c r="E196" s="10" t="s">
        <v>22</v>
      </c>
      <c r="F196" s="10">
        <v>3213</v>
      </c>
      <c r="G196" s="10" t="s">
        <v>1544</v>
      </c>
      <c r="H196" s="5">
        <v>2656</v>
      </c>
      <c r="I196" s="69">
        <v>0.82664176781823839</v>
      </c>
      <c r="J196" s="5">
        <v>200</v>
      </c>
      <c r="K196" s="70">
        <v>6.2247121070650481E-2</v>
      </c>
      <c r="L196" s="5">
        <v>30</v>
      </c>
      <c r="M196" s="80">
        <v>9.3370681605975722E-3</v>
      </c>
      <c r="N196" s="72">
        <v>124</v>
      </c>
      <c r="O196" s="180">
        <f t="shared" si="3"/>
        <v>3.8593215063803297</v>
      </c>
      <c r="P196" s="72">
        <v>190</v>
      </c>
      <c r="Q196" s="73">
        <v>5.9134765017117959E-2</v>
      </c>
      <c r="R196" s="10">
        <v>0</v>
      </c>
      <c r="S196" s="70">
        <v>0</v>
      </c>
      <c r="T196" s="10">
        <v>13</v>
      </c>
      <c r="U196" s="74">
        <v>4.0460628695922814E-3</v>
      </c>
      <c r="V196" s="75">
        <v>0.10177404295051354</v>
      </c>
      <c r="W196" s="168" t="s">
        <v>2104</v>
      </c>
    </row>
    <row r="197" spans="1:23">
      <c r="A197" s="38" t="s">
        <v>1594</v>
      </c>
      <c r="B197" s="68" t="s">
        <v>1530</v>
      </c>
      <c r="C197" s="76" t="s">
        <v>27</v>
      </c>
      <c r="D197" s="10" t="s">
        <v>1534</v>
      </c>
      <c r="E197" s="10" t="s">
        <v>22</v>
      </c>
      <c r="F197" s="10">
        <v>3301</v>
      </c>
      <c r="G197" s="10" t="s">
        <v>1554</v>
      </c>
      <c r="H197" s="5">
        <v>2790</v>
      </c>
      <c r="I197" s="69">
        <v>0.8451984247197819</v>
      </c>
      <c r="J197" s="5">
        <v>180</v>
      </c>
      <c r="K197" s="70">
        <v>5.4528930627082701E-2</v>
      </c>
      <c r="L197" s="5">
        <v>50</v>
      </c>
      <c r="M197" s="80">
        <v>1.5146925174189639E-2</v>
      </c>
      <c r="N197" s="72">
        <v>58</v>
      </c>
      <c r="O197" s="180">
        <f t="shared" si="3"/>
        <v>1.7570433202059983</v>
      </c>
      <c r="P197" s="72">
        <v>97</v>
      </c>
      <c r="Q197" s="73">
        <v>2.9385034837927902E-2</v>
      </c>
      <c r="R197" s="10">
        <v>53</v>
      </c>
      <c r="S197" s="70">
        <v>1.6055740684641016E-2</v>
      </c>
      <c r="T197" s="10">
        <v>73</v>
      </c>
      <c r="U197" s="74">
        <v>2.2114510754316873E-2</v>
      </c>
      <c r="V197" s="75">
        <v>8.5125719478945774E-2</v>
      </c>
      <c r="W197" s="168" t="s">
        <v>2107</v>
      </c>
    </row>
    <row r="198" spans="1:23">
      <c r="A198" s="38" t="s">
        <v>1594</v>
      </c>
      <c r="B198" s="68" t="s">
        <v>1575</v>
      </c>
      <c r="C198" s="76" t="s">
        <v>29</v>
      </c>
      <c r="D198" s="10" t="s">
        <v>1550</v>
      </c>
      <c r="E198" s="10" t="s">
        <v>22</v>
      </c>
      <c r="F198" s="10">
        <v>1836</v>
      </c>
      <c r="G198" s="10" t="s">
        <v>1551</v>
      </c>
      <c r="H198" s="5">
        <v>1800</v>
      </c>
      <c r="I198" s="69">
        <v>0.98039215686274506</v>
      </c>
      <c r="J198" s="5">
        <v>0</v>
      </c>
      <c r="K198" s="70">
        <v>0</v>
      </c>
      <c r="L198" s="5">
        <v>0</v>
      </c>
      <c r="M198" s="80">
        <v>0</v>
      </c>
      <c r="N198" s="72">
        <v>0</v>
      </c>
      <c r="O198" s="180">
        <f t="shared" si="3"/>
        <v>0</v>
      </c>
      <c r="P198" s="72">
        <v>36</v>
      </c>
      <c r="Q198" s="73">
        <v>1.9607843137254902E-2</v>
      </c>
      <c r="R198" s="10">
        <v>0</v>
      </c>
      <c r="S198" s="70">
        <v>0</v>
      </c>
      <c r="T198" s="10">
        <v>0</v>
      </c>
      <c r="U198" s="74">
        <v>0</v>
      </c>
      <c r="V198" s="75">
        <v>1.9607843137254902E-2</v>
      </c>
      <c r="W198" s="168" t="s">
        <v>2104</v>
      </c>
    </row>
    <row r="199" spans="1:23">
      <c r="A199" s="38" t="s">
        <v>1594</v>
      </c>
      <c r="B199" s="68" t="s">
        <v>1575</v>
      </c>
      <c r="C199" s="76" t="s">
        <v>27</v>
      </c>
      <c r="D199" s="10" t="s">
        <v>1550</v>
      </c>
      <c r="E199" s="10" t="s">
        <v>22</v>
      </c>
      <c r="F199" s="10">
        <v>13770</v>
      </c>
      <c r="G199" s="10" t="s">
        <v>1535</v>
      </c>
      <c r="H199" s="5">
        <v>13500</v>
      </c>
      <c r="I199" s="69">
        <v>0.98039215686274506</v>
      </c>
      <c r="J199" s="5">
        <v>0</v>
      </c>
      <c r="K199" s="70">
        <v>0</v>
      </c>
      <c r="L199" s="5">
        <v>0</v>
      </c>
      <c r="M199" s="80">
        <v>0</v>
      </c>
      <c r="N199" s="72">
        <v>0</v>
      </c>
      <c r="O199" s="180">
        <f t="shared" si="3"/>
        <v>0</v>
      </c>
      <c r="P199" s="72">
        <v>270</v>
      </c>
      <c r="Q199" s="73">
        <v>1.9607843137254902E-2</v>
      </c>
      <c r="R199" s="10">
        <v>0</v>
      </c>
      <c r="S199" s="70">
        <v>0</v>
      </c>
      <c r="T199" s="10">
        <v>0</v>
      </c>
      <c r="U199" s="74">
        <v>0</v>
      </c>
      <c r="V199" s="75">
        <v>1.9607843137254902E-2</v>
      </c>
      <c r="W199" s="168" t="s">
        <v>2104</v>
      </c>
    </row>
    <row r="200" spans="1:23">
      <c r="A200" s="38" t="s">
        <v>1594</v>
      </c>
      <c r="B200" s="68" t="s">
        <v>1538</v>
      </c>
      <c r="C200" s="10" t="s">
        <v>31</v>
      </c>
      <c r="D200" s="10" t="s">
        <v>1536</v>
      </c>
      <c r="E200" s="10" t="s">
        <v>22</v>
      </c>
      <c r="F200" s="10">
        <v>8160</v>
      </c>
      <c r="G200" s="77" t="s">
        <v>1540</v>
      </c>
      <c r="H200" s="5">
        <v>5251</v>
      </c>
      <c r="I200" s="69">
        <v>0.64350490196078436</v>
      </c>
      <c r="J200" s="5">
        <v>0</v>
      </c>
      <c r="K200" s="70">
        <v>0</v>
      </c>
      <c r="L200" s="5">
        <v>856</v>
      </c>
      <c r="M200" s="80">
        <v>0.10490196078431373</v>
      </c>
      <c r="N200" s="72">
        <v>1481</v>
      </c>
      <c r="O200" s="180">
        <f t="shared" si="3"/>
        <v>18.149509803921568</v>
      </c>
      <c r="P200" s="72">
        <v>553</v>
      </c>
      <c r="Q200" s="73">
        <v>6.776960784313725E-2</v>
      </c>
      <c r="R200" s="10">
        <v>0</v>
      </c>
      <c r="S200" s="70">
        <v>0</v>
      </c>
      <c r="T200" s="10">
        <v>19</v>
      </c>
      <c r="U200" s="74">
        <v>2.3284313725490196E-3</v>
      </c>
      <c r="V200" s="75">
        <v>0.25159313725490196</v>
      </c>
      <c r="W200" s="168" t="s">
        <v>1195</v>
      </c>
    </row>
    <row r="201" spans="1:23">
      <c r="A201" s="77" t="s">
        <v>1595</v>
      </c>
      <c r="B201" s="68" t="s">
        <v>1530</v>
      </c>
      <c r="C201" s="76" t="s">
        <v>27</v>
      </c>
      <c r="D201" s="10" t="s">
        <v>1534</v>
      </c>
      <c r="E201" s="10" t="s">
        <v>22</v>
      </c>
      <c r="F201" s="10">
        <v>8498</v>
      </c>
      <c r="G201" s="10" t="s">
        <v>1554</v>
      </c>
      <c r="H201" s="5">
        <v>7622</v>
      </c>
      <c r="I201" s="69">
        <v>0.89691692162861847</v>
      </c>
      <c r="J201" s="5">
        <v>252</v>
      </c>
      <c r="K201" s="70">
        <v>2.9654036243822075E-2</v>
      </c>
      <c r="L201" s="5">
        <v>140</v>
      </c>
      <c r="M201" s="80">
        <v>1.6474464579901153E-2</v>
      </c>
      <c r="N201" s="72">
        <v>74</v>
      </c>
      <c r="O201" s="180">
        <f t="shared" si="3"/>
        <v>0.87079312779477525</v>
      </c>
      <c r="P201" s="72">
        <v>50</v>
      </c>
      <c r="Q201" s="73">
        <v>5.8837373499646978E-3</v>
      </c>
      <c r="R201" s="5">
        <v>360</v>
      </c>
      <c r="S201" s="70">
        <v>4.2362908919745826E-2</v>
      </c>
      <c r="T201" s="10">
        <v>0</v>
      </c>
      <c r="U201" s="74">
        <v>0</v>
      </c>
      <c r="V201" s="75">
        <v>5.6954577547658272E-2</v>
      </c>
      <c r="W201" s="168" t="s">
        <v>2107</v>
      </c>
    </row>
    <row r="202" spans="1:23">
      <c r="A202" s="77" t="s">
        <v>1595</v>
      </c>
      <c r="B202" s="68" t="s">
        <v>1575</v>
      </c>
      <c r="C202" s="76" t="s">
        <v>27</v>
      </c>
      <c r="D202" s="10" t="s">
        <v>1550</v>
      </c>
      <c r="E202" s="10" t="s">
        <v>22</v>
      </c>
      <c r="F202" s="10">
        <v>4590</v>
      </c>
      <c r="G202" s="10" t="s">
        <v>1535</v>
      </c>
      <c r="H202" s="5">
        <v>4500</v>
      </c>
      <c r="I202" s="69">
        <v>0.98039215686274506</v>
      </c>
      <c r="J202" s="5">
        <v>0</v>
      </c>
      <c r="K202" s="70">
        <v>0</v>
      </c>
      <c r="L202" s="5">
        <v>0</v>
      </c>
      <c r="M202" s="80">
        <v>0</v>
      </c>
      <c r="N202" s="72">
        <v>0</v>
      </c>
      <c r="O202" s="180">
        <f t="shared" si="3"/>
        <v>0</v>
      </c>
      <c r="P202" s="72">
        <v>90</v>
      </c>
      <c r="Q202" s="73">
        <v>1.9607843137254902E-2</v>
      </c>
      <c r="R202" s="10">
        <v>0</v>
      </c>
      <c r="S202" s="70">
        <v>0</v>
      </c>
      <c r="T202" s="10">
        <v>0</v>
      </c>
      <c r="U202" s="74">
        <v>0</v>
      </c>
      <c r="V202" s="75">
        <v>1.9607843137254902E-2</v>
      </c>
      <c r="W202" s="168" t="s">
        <v>2104</v>
      </c>
    </row>
    <row r="203" spans="1:23">
      <c r="A203" s="77" t="s">
        <v>1595</v>
      </c>
      <c r="B203" s="68" t="s">
        <v>1575</v>
      </c>
      <c r="C203" s="76" t="s">
        <v>29</v>
      </c>
      <c r="D203" s="10" t="s">
        <v>1550</v>
      </c>
      <c r="E203" s="10" t="s">
        <v>22</v>
      </c>
      <c r="F203" s="10">
        <v>3672</v>
      </c>
      <c r="G203" s="10" t="s">
        <v>1551</v>
      </c>
      <c r="H203" s="5">
        <v>3600</v>
      </c>
      <c r="I203" s="69">
        <v>0.98039215686274506</v>
      </c>
      <c r="J203" s="5">
        <v>0</v>
      </c>
      <c r="K203" s="70">
        <v>0</v>
      </c>
      <c r="L203" s="5">
        <v>0</v>
      </c>
      <c r="M203" s="80">
        <v>0</v>
      </c>
      <c r="N203" s="72">
        <v>0</v>
      </c>
      <c r="O203" s="180">
        <f t="shared" si="3"/>
        <v>0</v>
      </c>
      <c r="P203" s="72">
        <v>72</v>
      </c>
      <c r="Q203" s="73">
        <v>1.9607843137254902E-2</v>
      </c>
      <c r="R203" s="10">
        <v>0</v>
      </c>
      <c r="S203" s="70">
        <v>0</v>
      </c>
      <c r="T203" s="10">
        <v>0</v>
      </c>
      <c r="U203" s="74">
        <v>0</v>
      </c>
      <c r="V203" s="75">
        <v>1.9607843137254902E-2</v>
      </c>
      <c r="W203" s="168" t="s">
        <v>2104</v>
      </c>
    </row>
    <row r="204" spans="1:23">
      <c r="A204" s="77" t="s">
        <v>1595</v>
      </c>
      <c r="B204" s="68" t="s">
        <v>1538</v>
      </c>
      <c r="C204" s="76" t="s">
        <v>27</v>
      </c>
      <c r="D204" s="10" t="s">
        <v>1536</v>
      </c>
      <c r="E204" s="10" t="s">
        <v>22</v>
      </c>
      <c r="F204" s="10">
        <v>8330</v>
      </c>
      <c r="G204" s="10" t="s">
        <v>1554</v>
      </c>
      <c r="H204" s="5">
        <v>6771</v>
      </c>
      <c r="I204" s="69">
        <v>0.81284513805522207</v>
      </c>
      <c r="J204" s="5">
        <v>808</v>
      </c>
      <c r="K204" s="70">
        <v>9.6998799519807929E-2</v>
      </c>
      <c r="L204" s="5">
        <v>358</v>
      </c>
      <c r="M204" s="80">
        <v>4.2977190876350539E-2</v>
      </c>
      <c r="N204" s="72">
        <v>102</v>
      </c>
      <c r="O204" s="180">
        <f t="shared" si="3"/>
        <v>1.2244897959183674</v>
      </c>
      <c r="P204" s="72">
        <v>107</v>
      </c>
      <c r="Q204" s="73">
        <v>1.2845138055222088E-2</v>
      </c>
      <c r="R204" s="10">
        <v>0</v>
      </c>
      <c r="S204" s="70">
        <v>0</v>
      </c>
      <c r="T204" s="5">
        <v>184</v>
      </c>
      <c r="U204" s="74">
        <v>2.2088835534213685E-2</v>
      </c>
      <c r="V204" s="75">
        <v>4.7178871548619446E-2</v>
      </c>
      <c r="W204" s="168" t="s">
        <v>2107</v>
      </c>
    </row>
    <row r="205" spans="1:23">
      <c r="A205" s="77" t="s">
        <v>1596</v>
      </c>
      <c r="B205" s="68" t="s">
        <v>1530</v>
      </c>
      <c r="C205" s="10" t="s">
        <v>24</v>
      </c>
      <c r="D205" s="10" t="s">
        <v>1550</v>
      </c>
      <c r="E205" s="10" t="s">
        <v>22</v>
      </c>
      <c r="F205" s="10">
        <v>4743</v>
      </c>
      <c r="G205" s="10" t="s">
        <v>1532</v>
      </c>
      <c r="H205" s="5">
        <v>4650</v>
      </c>
      <c r="I205" s="69">
        <v>0.98039215686274506</v>
      </c>
      <c r="J205" s="5">
        <v>0</v>
      </c>
      <c r="K205" s="70">
        <v>0</v>
      </c>
      <c r="L205" s="5">
        <v>0</v>
      </c>
      <c r="M205" s="80">
        <v>0</v>
      </c>
      <c r="N205" s="72">
        <v>0</v>
      </c>
      <c r="O205" s="180">
        <f t="shared" si="3"/>
        <v>0</v>
      </c>
      <c r="P205" s="72">
        <v>93</v>
      </c>
      <c r="Q205" s="73">
        <v>1.9607843137254902E-2</v>
      </c>
      <c r="R205" s="10">
        <v>0</v>
      </c>
      <c r="S205" s="70">
        <v>0</v>
      </c>
      <c r="T205" s="10">
        <v>0</v>
      </c>
      <c r="U205" s="74">
        <v>0</v>
      </c>
      <c r="V205" s="75">
        <v>1.9607843137254902E-2</v>
      </c>
      <c r="W205" s="168" t="s">
        <v>2104</v>
      </c>
    </row>
    <row r="206" spans="1:23">
      <c r="A206" s="77" t="s">
        <v>1596</v>
      </c>
      <c r="B206" s="68" t="s">
        <v>1530</v>
      </c>
      <c r="C206" s="76" t="s">
        <v>27</v>
      </c>
      <c r="D206" s="10" t="s">
        <v>1534</v>
      </c>
      <c r="E206" s="10" t="s">
        <v>22</v>
      </c>
      <c r="F206" s="10">
        <v>6534</v>
      </c>
      <c r="G206" s="10" t="s">
        <v>1554</v>
      </c>
      <c r="H206" s="5">
        <v>4538</v>
      </c>
      <c r="I206" s="69">
        <v>0.69452096724823997</v>
      </c>
      <c r="J206" s="5">
        <v>1347</v>
      </c>
      <c r="K206" s="70">
        <v>0.20615243342516071</v>
      </c>
      <c r="L206" s="5">
        <v>115</v>
      </c>
      <c r="M206" s="80">
        <v>1.7600244872972147E-2</v>
      </c>
      <c r="N206" s="72">
        <v>68</v>
      </c>
      <c r="O206" s="180">
        <f t="shared" si="3"/>
        <v>1.0407101316192224</v>
      </c>
      <c r="P206" s="72">
        <v>110</v>
      </c>
      <c r="Q206" s="73">
        <v>1.6835016835016835E-2</v>
      </c>
      <c r="R206" s="5">
        <v>356</v>
      </c>
      <c r="S206" s="70">
        <v>5.4484236302418124E-2</v>
      </c>
      <c r="T206" s="10">
        <v>0</v>
      </c>
      <c r="U206" s="74">
        <v>0</v>
      </c>
      <c r="V206" s="75">
        <v>8.1726354453627192E-2</v>
      </c>
      <c r="W206" s="168" t="s">
        <v>2107</v>
      </c>
    </row>
    <row r="207" spans="1:23">
      <c r="A207" s="77" t="s">
        <v>1596</v>
      </c>
      <c r="B207" s="68" t="s">
        <v>1530</v>
      </c>
      <c r="C207" s="10" t="s">
        <v>24</v>
      </c>
      <c r="D207" s="10" t="s">
        <v>1536</v>
      </c>
      <c r="E207" s="10" t="s">
        <v>22</v>
      </c>
      <c r="F207" s="10">
        <v>2306</v>
      </c>
      <c r="G207" s="10" t="s">
        <v>1532</v>
      </c>
      <c r="H207" s="5">
        <v>1980</v>
      </c>
      <c r="I207" s="69">
        <v>0.85862966175195143</v>
      </c>
      <c r="J207" s="5">
        <v>61</v>
      </c>
      <c r="K207" s="70">
        <v>2.6452732003469211E-2</v>
      </c>
      <c r="L207" s="5">
        <v>0</v>
      </c>
      <c r="M207" s="80">
        <v>0</v>
      </c>
      <c r="N207" s="72">
        <v>189</v>
      </c>
      <c r="O207" s="180">
        <f t="shared" si="3"/>
        <v>8.1960104076322633</v>
      </c>
      <c r="P207" s="72">
        <v>76</v>
      </c>
      <c r="Q207" s="73">
        <v>3.2957502168256721E-2</v>
      </c>
      <c r="R207" s="10">
        <v>0</v>
      </c>
      <c r="S207" s="70">
        <v>0</v>
      </c>
      <c r="T207" s="10">
        <v>0</v>
      </c>
      <c r="U207" s="74">
        <v>0</v>
      </c>
      <c r="V207" s="75">
        <v>0.11491760624457936</v>
      </c>
      <c r="W207" s="168" t="s">
        <v>2104</v>
      </c>
    </row>
    <row r="208" spans="1:23">
      <c r="A208" s="77" t="s">
        <v>1596</v>
      </c>
      <c r="B208" s="5" t="s">
        <v>1538</v>
      </c>
      <c r="C208" s="76" t="s">
        <v>27</v>
      </c>
      <c r="D208" s="5" t="s">
        <v>1536</v>
      </c>
      <c r="E208" s="5" t="s">
        <v>22</v>
      </c>
      <c r="F208" s="10">
        <v>5325</v>
      </c>
      <c r="G208" s="10" t="s">
        <v>1554</v>
      </c>
      <c r="H208" s="9">
        <v>3745</v>
      </c>
      <c r="I208" s="81">
        <v>0.70328638497652585</v>
      </c>
      <c r="J208" s="9">
        <v>1100</v>
      </c>
      <c r="K208" s="82">
        <v>0.20657276995305165</v>
      </c>
      <c r="L208" s="5">
        <v>108</v>
      </c>
      <c r="M208" s="80">
        <v>2.028169014084507E-2</v>
      </c>
      <c r="N208" s="78">
        <v>92</v>
      </c>
      <c r="O208" s="180">
        <f t="shared" si="3"/>
        <v>1.727699530516432</v>
      </c>
      <c r="P208" s="78">
        <v>84</v>
      </c>
      <c r="Q208" s="73">
        <v>1.5774647887323943E-2</v>
      </c>
      <c r="R208" s="5">
        <v>0</v>
      </c>
      <c r="S208" s="70">
        <v>0</v>
      </c>
      <c r="T208" s="5">
        <v>196</v>
      </c>
      <c r="U208" s="74">
        <v>3.6807511737089203E-2</v>
      </c>
      <c r="V208" s="75">
        <v>6.9859154929577477E-2</v>
      </c>
      <c r="W208" s="168" t="s">
        <v>2107</v>
      </c>
    </row>
    <row r="209" spans="1:23">
      <c r="A209" s="77" t="s">
        <v>1597</v>
      </c>
      <c r="B209" s="68" t="s">
        <v>1575</v>
      </c>
      <c r="C209" s="76" t="s">
        <v>27</v>
      </c>
      <c r="D209" s="10" t="s">
        <v>1550</v>
      </c>
      <c r="E209" s="10" t="s">
        <v>22</v>
      </c>
      <c r="F209" s="10">
        <v>10098</v>
      </c>
      <c r="G209" s="10" t="s">
        <v>1535</v>
      </c>
      <c r="H209" s="83">
        <v>9900</v>
      </c>
      <c r="I209" s="81">
        <v>0.98039215686274506</v>
      </c>
      <c r="J209" s="83">
        <v>0</v>
      </c>
      <c r="K209" s="82">
        <v>0</v>
      </c>
      <c r="L209" s="5">
        <v>0</v>
      </c>
      <c r="M209" s="80">
        <v>0</v>
      </c>
      <c r="N209" s="72">
        <v>0</v>
      </c>
      <c r="O209" s="180">
        <f t="shared" si="3"/>
        <v>0</v>
      </c>
      <c r="P209" s="72">
        <v>198</v>
      </c>
      <c r="Q209" s="73">
        <v>1.9607843137254902E-2</v>
      </c>
      <c r="R209" s="10">
        <v>0</v>
      </c>
      <c r="S209" s="70">
        <v>0</v>
      </c>
      <c r="T209" s="10">
        <v>0</v>
      </c>
      <c r="U209" s="74">
        <v>0</v>
      </c>
      <c r="V209" s="75">
        <v>1.9607843137254902E-2</v>
      </c>
      <c r="W209" s="168" t="s">
        <v>2104</v>
      </c>
    </row>
    <row r="210" spans="1:23">
      <c r="A210" s="77" t="s">
        <v>1597</v>
      </c>
      <c r="B210" s="68" t="s">
        <v>1575</v>
      </c>
      <c r="C210" s="76" t="s">
        <v>29</v>
      </c>
      <c r="D210" s="10" t="s">
        <v>1550</v>
      </c>
      <c r="E210" s="10" t="s">
        <v>22</v>
      </c>
      <c r="F210" s="10">
        <v>13581</v>
      </c>
      <c r="G210" s="10" t="s">
        <v>1551</v>
      </c>
      <c r="H210" s="83">
        <v>13320</v>
      </c>
      <c r="I210" s="81">
        <v>0.98078197481776008</v>
      </c>
      <c r="J210" s="83">
        <v>0</v>
      </c>
      <c r="K210" s="82">
        <v>0</v>
      </c>
      <c r="L210" s="5">
        <v>0</v>
      </c>
      <c r="M210" s="80">
        <v>0</v>
      </c>
      <c r="N210" s="72">
        <v>0</v>
      </c>
      <c r="O210" s="180">
        <f t="shared" si="3"/>
        <v>0</v>
      </c>
      <c r="P210" s="72">
        <v>261</v>
      </c>
      <c r="Q210" s="73">
        <v>1.9218025182239893E-2</v>
      </c>
      <c r="R210" s="10">
        <v>0</v>
      </c>
      <c r="S210" s="70">
        <v>0</v>
      </c>
      <c r="T210" s="10">
        <v>0</v>
      </c>
      <c r="U210" s="74">
        <v>0</v>
      </c>
      <c r="V210" s="75">
        <v>1.9218025182239893E-2</v>
      </c>
      <c r="W210" s="168" t="s">
        <v>2104</v>
      </c>
    </row>
    <row r="211" spans="1:23">
      <c r="A211" s="77" t="s">
        <v>1597</v>
      </c>
      <c r="B211" s="68" t="s">
        <v>1530</v>
      </c>
      <c r="C211" s="10" t="s">
        <v>24</v>
      </c>
      <c r="D211" s="68" t="s">
        <v>1559</v>
      </c>
      <c r="E211" s="10" t="s">
        <v>22</v>
      </c>
      <c r="F211" s="10">
        <v>4500</v>
      </c>
      <c r="G211" s="10" t="s">
        <v>1544</v>
      </c>
      <c r="H211" s="83">
        <v>4500</v>
      </c>
      <c r="I211" s="81">
        <v>1</v>
      </c>
      <c r="J211" s="83">
        <v>0</v>
      </c>
      <c r="K211" s="82">
        <v>0</v>
      </c>
      <c r="L211" s="5">
        <v>0</v>
      </c>
      <c r="M211" s="80">
        <v>0</v>
      </c>
      <c r="N211" s="72">
        <v>0</v>
      </c>
      <c r="O211" s="180">
        <f t="shared" si="3"/>
        <v>0</v>
      </c>
      <c r="P211" s="72">
        <v>0</v>
      </c>
      <c r="Q211" s="73">
        <v>0</v>
      </c>
      <c r="R211" s="10">
        <v>0</v>
      </c>
      <c r="S211" s="70">
        <v>0</v>
      </c>
      <c r="T211" s="10">
        <v>0</v>
      </c>
      <c r="U211" s="74">
        <v>0</v>
      </c>
      <c r="V211" s="75">
        <v>0</v>
      </c>
      <c r="W211" s="168" t="s">
        <v>1109</v>
      </c>
    </row>
    <row r="212" spans="1:23">
      <c r="A212" s="77" t="s">
        <v>1597</v>
      </c>
      <c r="B212" s="68" t="s">
        <v>1530</v>
      </c>
      <c r="C212" s="76" t="s">
        <v>29</v>
      </c>
      <c r="D212" s="68" t="s">
        <v>1531</v>
      </c>
      <c r="E212" s="10" t="s">
        <v>1539</v>
      </c>
      <c r="F212" s="10">
        <v>3600</v>
      </c>
      <c r="G212" s="10" t="s">
        <v>1545</v>
      </c>
      <c r="H212" s="83">
        <v>3420</v>
      </c>
      <c r="I212" s="81">
        <v>0.95</v>
      </c>
      <c r="J212" s="83">
        <v>0</v>
      </c>
      <c r="K212" s="82">
        <v>0</v>
      </c>
      <c r="L212" s="5">
        <v>24</v>
      </c>
      <c r="M212" s="80">
        <v>6.6666666666666671E-3</v>
      </c>
      <c r="N212" s="72">
        <v>27</v>
      </c>
      <c r="O212" s="180">
        <f t="shared" si="3"/>
        <v>0.75</v>
      </c>
      <c r="P212" s="72">
        <v>90</v>
      </c>
      <c r="Q212" s="73">
        <v>2.5000000000000001E-2</v>
      </c>
      <c r="R212" s="10">
        <v>39</v>
      </c>
      <c r="S212" s="70">
        <v>1.0833333333333334E-2</v>
      </c>
      <c r="T212" s="10">
        <v>0</v>
      </c>
      <c r="U212" s="74">
        <v>0</v>
      </c>
      <c r="V212" s="75">
        <v>4.3333333333333335E-2</v>
      </c>
      <c r="W212" s="168" t="s">
        <v>2107</v>
      </c>
    </row>
    <row r="213" spans="1:23">
      <c r="A213" s="77" t="s">
        <v>1597</v>
      </c>
      <c r="B213" s="68" t="s">
        <v>1530</v>
      </c>
      <c r="C213" s="76" t="s">
        <v>29</v>
      </c>
      <c r="D213" s="10" t="s">
        <v>1534</v>
      </c>
      <c r="E213" s="10" t="s">
        <v>1539</v>
      </c>
      <c r="F213" s="10">
        <v>9720</v>
      </c>
      <c r="G213" s="10" t="s">
        <v>1545</v>
      </c>
      <c r="H213" s="9">
        <v>7256</v>
      </c>
      <c r="I213" s="81">
        <v>0.74650205761316868</v>
      </c>
      <c r="J213" s="9">
        <v>854</v>
      </c>
      <c r="K213" s="82">
        <v>8.7860082304526743E-2</v>
      </c>
      <c r="L213" s="5">
        <v>396</v>
      </c>
      <c r="M213" s="80">
        <v>4.0740740740740744E-2</v>
      </c>
      <c r="N213" s="72">
        <v>132</v>
      </c>
      <c r="O213" s="180">
        <f t="shared" si="3"/>
        <v>1.3580246913580247</v>
      </c>
      <c r="P213" s="72">
        <v>70</v>
      </c>
      <c r="Q213" s="73">
        <v>7.2016460905349796E-3</v>
      </c>
      <c r="R213" s="10">
        <v>109</v>
      </c>
      <c r="S213" s="70">
        <v>1.1213991769547325E-2</v>
      </c>
      <c r="T213" s="5">
        <v>903</v>
      </c>
      <c r="U213" s="74">
        <v>9.2901234567901239E-2</v>
      </c>
      <c r="V213" s="75">
        <v>0.12489711934156379</v>
      </c>
      <c r="W213" s="168" t="s">
        <v>2107</v>
      </c>
    </row>
    <row r="214" spans="1:23">
      <c r="A214" s="77" t="s">
        <v>1597</v>
      </c>
      <c r="B214" s="68" t="s">
        <v>1538</v>
      </c>
      <c r="C214" s="76" t="s">
        <v>27</v>
      </c>
      <c r="D214" s="10" t="s">
        <v>1536</v>
      </c>
      <c r="E214" s="10" t="s">
        <v>22</v>
      </c>
      <c r="F214" s="10">
        <v>4672</v>
      </c>
      <c r="G214" s="10" t="s">
        <v>1554</v>
      </c>
      <c r="H214" s="9">
        <v>3957</v>
      </c>
      <c r="I214" s="81">
        <v>0.84696061643835618</v>
      </c>
      <c r="J214" s="9">
        <v>360</v>
      </c>
      <c r="K214" s="82">
        <v>7.7054794520547948E-2</v>
      </c>
      <c r="L214" s="5">
        <v>81</v>
      </c>
      <c r="M214" s="80">
        <v>1.7337328767123288E-2</v>
      </c>
      <c r="N214" s="72">
        <v>89</v>
      </c>
      <c r="O214" s="180">
        <f t="shared" si="3"/>
        <v>1.9049657534246576</v>
      </c>
      <c r="P214" s="72">
        <v>155</v>
      </c>
      <c r="Q214" s="73">
        <v>3.3176369863013699E-2</v>
      </c>
      <c r="R214" s="10">
        <v>0</v>
      </c>
      <c r="S214" s="70">
        <v>0</v>
      </c>
      <c r="T214" s="10">
        <v>30</v>
      </c>
      <c r="U214" s="74">
        <v>6.4212328767123284E-3</v>
      </c>
      <c r="V214" s="75">
        <v>5.8647260273972601E-2</v>
      </c>
      <c r="W214" s="168" t="s">
        <v>2107</v>
      </c>
    </row>
    <row r="215" spans="1:23">
      <c r="A215" s="77" t="s">
        <v>1598</v>
      </c>
      <c r="B215" s="5" t="s">
        <v>1575</v>
      </c>
      <c r="C215" s="76" t="s">
        <v>27</v>
      </c>
      <c r="D215" s="5" t="s">
        <v>1550</v>
      </c>
      <c r="E215" s="5" t="s">
        <v>22</v>
      </c>
      <c r="F215" s="10">
        <v>10098</v>
      </c>
      <c r="G215" s="10" t="s">
        <v>1535</v>
      </c>
      <c r="H215" s="9">
        <v>9900</v>
      </c>
      <c r="I215" s="81">
        <v>0.98039215686274506</v>
      </c>
      <c r="J215" s="9">
        <v>0</v>
      </c>
      <c r="K215" s="82">
        <v>0</v>
      </c>
      <c r="L215" s="5">
        <v>0</v>
      </c>
      <c r="M215" s="80">
        <v>0</v>
      </c>
      <c r="N215" s="78">
        <v>0</v>
      </c>
      <c r="O215" s="180">
        <f t="shared" si="3"/>
        <v>0</v>
      </c>
      <c r="P215" s="78">
        <v>198</v>
      </c>
      <c r="Q215" s="73">
        <v>1.9607843137254902E-2</v>
      </c>
      <c r="R215" s="5">
        <v>0</v>
      </c>
      <c r="S215" s="70">
        <v>0</v>
      </c>
      <c r="T215" s="5">
        <v>0</v>
      </c>
      <c r="U215" s="74">
        <v>0</v>
      </c>
      <c r="V215" s="75">
        <v>1.9607843137254902E-2</v>
      </c>
      <c r="W215" s="168" t="s">
        <v>2104</v>
      </c>
    </row>
    <row r="216" spans="1:23">
      <c r="A216" s="77" t="s">
        <v>1598</v>
      </c>
      <c r="B216" s="5" t="s">
        <v>1575</v>
      </c>
      <c r="C216" s="76" t="s">
        <v>29</v>
      </c>
      <c r="D216" s="5" t="s">
        <v>1550</v>
      </c>
      <c r="E216" s="5" t="s">
        <v>22</v>
      </c>
      <c r="F216" s="10">
        <v>6606</v>
      </c>
      <c r="G216" s="10" t="s">
        <v>1545</v>
      </c>
      <c r="H216" s="9">
        <v>6480</v>
      </c>
      <c r="I216" s="81">
        <v>0.98092643051771122</v>
      </c>
      <c r="J216" s="9">
        <v>0</v>
      </c>
      <c r="K216" s="82">
        <v>0</v>
      </c>
      <c r="L216" s="5">
        <v>0</v>
      </c>
      <c r="M216" s="80">
        <v>0</v>
      </c>
      <c r="N216" s="78">
        <v>0</v>
      </c>
      <c r="O216" s="180">
        <f t="shared" si="3"/>
        <v>0</v>
      </c>
      <c r="P216" s="78">
        <v>126</v>
      </c>
      <c r="Q216" s="73">
        <v>1.9073569482288829E-2</v>
      </c>
      <c r="R216" s="5">
        <v>0</v>
      </c>
      <c r="S216" s="70">
        <v>0</v>
      </c>
      <c r="T216" s="5">
        <v>0</v>
      </c>
      <c r="U216" s="74">
        <v>0</v>
      </c>
      <c r="V216" s="75">
        <v>1.9073569482288829E-2</v>
      </c>
      <c r="W216" s="168" t="s">
        <v>1109</v>
      </c>
    </row>
    <row r="217" spans="1:23">
      <c r="A217" s="77" t="s">
        <v>1598</v>
      </c>
      <c r="B217" s="5" t="s">
        <v>1530</v>
      </c>
      <c r="C217" s="5" t="s">
        <v>24</v>
      </c>
      <c r="D217" s="68" t="s">
        <v>1559</v>
      </c>
      <c r="E217" s="5" t="s">
        <v>22</v>
      </c>
      <c r="F217" s="10">
        <v>6480</v>
      </c>
      <c r="G217" s="10" t="s">
        <v>1544</v>
      </c>
      <c r="H217" s="9">
        <v>6480</v>
      </c>
      <c r="I217" s="81">
        <v>1</v>
      </c>
      <c r="J217" s="9">
        <v>0</v>
      </c>
      <c r="K217" s="82">
        <v>0</v>
      </c>
      <c r="L217" s="5">
        <v>0</v>
      </c>
      <c r="M217" s="80">
        <v>0</v>
      </c>
      <c r="N217" s="78">
        <v>0</v>
      </c>
      <c r="O217" s="180">
        <f t="shared" si="3"/>
        <v>0</v>
      </c>
      <c r="P217" s="78">
        <v>0</v>
      </c>
      <c r="Q217" s="73">
        <v>0</v>
      </c>
      <c r="R217" s="5">
        <v>0</v>
      </c>
      <c r="S217" s="70">
        <v>0</v>
      </c>
      <c r="T217" s="5">
        <v>0</v>
      </c>
      <c r="U217" s="74">
        <v>0</v>
      </c>
      <c r="V217" s="75">
        <v>0</v>
      </c>
      <c r="W217" s="168" t="s">
        <v>1109</v>
      </c>
    </row>
    <row r="218" spans="1:23">
      <c r="A218" s="77" t="s">
        <v>1598</v>
      </c>
      <c r="B218" s="5" t="s">
        <v>1530</v>
      </c>
      <c r="C218" s="76" t="s">
        <v>29</v>
      </c>
      <c r="D218" s="68" t="s">
        <v>1531</v>
      </c>
      <c r="E218" s="5" t="s">
        <v>1539</v>
      </c>
      <c r="F218" s="10">
        <v>6300</v>
      </c>
      <c r="G218" s="10" t="s">
        <v>1545</v>
      </c>
      <c r="H218" s="9">
        <v>6080</v>
      </c>
      <c r="I218" s="81">
        <v>0.96507936507936509</v>
      </c>
      <c r="J218" s="9">
        <v>0</v>
      </c>
      <c r="K218" s="82">
        <v>0</v>
      </c>
      <c r="L218" s="5">
        <v>35</v>
      </c>
      <c r="M218" s="80">
        <v>5.5555555555555558E-3</v>
      </c>
      <c r="N218" s="78">
        <v>40</v>
      </c>
      <c r="O218" s="180">
        <f t="shared" si="3"/>
        <v>0.63492063492063489</v>
      </c>
      <c r="P218" s="78">
        <v>125</v>
      </c>
      <c r="Q218" s="73">
        <v>1.984126984126984E-2</v>
      </c>
      <c r="R218" s="5">
        <v>20</v>
      </c>
      <c r="S218" s="70">
        <v>3.1746031746031746E-3</v>
      </c>
      <c r="T218" s="5">
        <v>0</v>
      </c>
      <c r="U218" s="74">
        <v>0</v>
      </c>
      <c r="V218" s="75">
        <v>2.9365079365079361E-2</v>
      </c>
      <c r="W218" s="168" t="s">
        <v>2107</v>
      </c>
    </row>
    <row r="219" spans="1:23">
      <c r="A219" s="77" t="s">
        <v>1598</v>
      </c>
      <c r="B219" s="5" t="s">
        <v>1530</v>
      </c>
      <c r="C219" s="76" t="s">
        <v>29</v>
      </c>
      <c r="D219" s="5" t="s">
        <v>1534</v>
      </c>
      <c r="E219" s="5" t="s">
        <v>1539</v>
      </c>
      <c r="F219" s="10">
        <v>10260</v>
      </c>
      <c r="G219" s="10" t="s">
        <v>1545</v>
      </c>
      <c r="H219" s="9">
        <v>7626</v>
      </c>
      <c r="I219" s="81">
        <v>0.74327485380116964</v>
      </c>
      <c r="J219" s="9">
        <v>1109</v>
      </c>
      <c r="K219" s="82">
        <v>0.1080896686159844</v>
      </c>
      <c r="L219" s="5">
        <v>279</v>
      </c>
      <c r="M219" s="80">
        <v>2.7192982456140352E-2</v>
      </c>
      <c r="N219" s="78">
        <v>98</v>
      </c>
      <c r="O219" s="180">
        <f t="shared" si="3"/>
        <v>0.95516569200779722</v>
      </c>
      <c r="P219" s="78">
        <v>131</v>
      </c>
      <c r="Q219" s="73">
        <v>1.2768031189083821E-2</v>
      </c>
      <c r="R219" s="5">
        <v>105</v>
      </c>
      <c r="S219" s="70">
        <v>1.023391812865497E-2</v>
      </c>
      <c r="T219" s="5">
        <v>912</v>
      </c>
      <c r="U219" s="74">
        <v>8.8888888888888892E-2</v>
      </c>
      <c r="V219" s="75">
        <v>0.12144249512670566</v>
      </c>
      <c r="W219" s="168" t="s">
        <v>2107</v>
      </c>
    </row>
    <row r="220" spans="1:23">
      <c r="A220" s="77" t="s">
        <v>1599</v>
      </c>
      <c r="B220" s="10" t="s">
        <v>1575</v>
      </c>
      <c r="C220" s="76" t="s">
        <v>27</v>
      </c>
      <c r="D220" s="10" t="s">
        <v>1550</v>
      </c>
      <c r="E220" s="10" t="s">
        <v>22</v>
      </c>
      <c r="F220" s="10">
        <v>16524</v>
      </c>
      <c r="G220" s="10" t="s">
        <v>1535</v>
      </c>
      <c r="H220" s="5">
        <v>16200</v>
      </c>
      <c r="I220" s="69">
        <v>0.98039215686274506</v>
      </c>
      <c r="J220" s="10">
        <v>0</v>
      </c>
      <c r="K220" s="70">
        <v>0</v>
      </c>
      <c r="L220" s="10">
        <v>0</v>
      </c>
      <c r="M220" s="80">
        <v>0</v>
      </c>
      <c r="N220" s="72">
        <v>0</v>
      </c>
      <c r="O220" s="180">
        <f t="shared" si="3"/>
        <v>0</v>
      </c>
      <c r="P220" s="72">
        <v>324</v>
      </c>
      <c r="Q220" s="73">
        <v>1.9607843137254902E-2</v>
      </c>
      <c r="R220" s="10">
        <v>0</v>
      </c>
      <c r="S220" s="70">
        <v>0</v>
      </c>
      <c r="T220" s="10">
        <v>0</v>
      </c>
      <c r="U220" s="74">
        <v>0</v>
      </c>
      <c r="V220" s="75">
        <v>1.9607843137254902E-2</v>
      </c>
      <c r="W220" s="168" t="s">
        <v>2104</v>
      </c>
    </row>
    <row r="221" spans="1:23">
      <c r="A221" s="77" t="s">
        <v>1599</v>
      </c>
      <c r="B221" s="10" t="s">
        <v>1530</v>
      </c>
      <c r="C221" s="10" t="s">
        <v>24</v>
      </c>
      <c r="D221" s="10" t="s">
        <v>1550</v>
      </c>
      <c r="E221" s="10" t="s">
        <v>22</v>
      </c>
      <c r="F221" s="10">
        <v>7344</v>
      </c>
      <c r="G221" s="10" t="s">
        <v>1544</v>
      </c>
      <c r="H221" s="5">
        <v>7200</v>
      </c>
      <c r="I221" s="69">
        <v>0.98039215686274506</v>
      </c>
      <c r="J221" s="10">
        <v>0</v>
      </c>
      <c r="K221" s="70">
        <v>0</v>
      </c>
      <c r="L221" s="10">
        <v>0</v>
      </c>
      <c r="M221" s="80">
        <v>0</v>
      </c>
      <c r="N221" s="72">
        <v>0</v>
      </c>
      <c r="O221" s="180">
        <f t="shared" si="3"/>
        <v>0</v>
      </c>
      <c r="P221" s="72">
        <v>144</v>
      </c>
      <c r="Q221" s="73">
        <v>1.9607843137254902E-2</v>
      </c>
      <c r="R221" s="10">
        <v>0</v>
      </c>
      <c r="S221" s="70">
        <v>0</v>
      </c>
      <c r="T221" s="10">
        <v>0</v>
      </c>
      <c r="U221" s="74">
        <v>0</v>
      </c>
      <c r="V221" s="75">
        <v>1.9607843137254902E-2</v>
      </c>
      <c r="W221" s="168" t="s">
        <v>2104</v>
      </c>
    </row>
    <row r="222" spans="1:23">
      <c r="A222" s="77" t="s">
        <v>1599</v>
      </c>
      <c r="B222" s="10" t="s">
        <v>1530</v>
      </c>
      <c r="C222" s="76" t="s">
        <v>29</v>
      </c>
      <c r="D222" s="68" t="s">
        <v>1531</v>
      </c>
      <c r="E222" s="10" t="s">
        <v>1539</v>
      </c>
      <c r="F222" s="10">
        <v>5040</v>
      </c>
      <c r="G222" s="10" t="s">
        <v>1545</v>
      </c>
      <c r="H222" s="5">
        <v>4576</v>
      </c>
      <c r="I222" s="69">
        <v>0.90793650793650793</v>
      </c>
      <c r="J222" s="5">
        <v>101</v>
      </c>
      <c r="K222" s="70">
        <v>2.0039682539682541E-2</v>
      </c>
      <c r="L222" s="10">
        <v>95</v>
      </c>
      <c r="M222" s="80">
        <v>1.8849206349206348E-2</v>
      </c>
      <c r="N222" s="72">
        <v>68</v>
      </c>
      <c r="O222" s="180">
        <f t="shared" si="3"/>
        <v>1.3492063492063493</v>
      </c>
      <c r="P222" s="72">
        <v>190</v>
      </c>
      <c r="Q222" s="73">
        <v>3.7698412698412696E-2</v>
      </c>
      <c r="R222" s="10">
        <v>0</v>
      </c>
      <c r="S222" s="70">
        <v>0</v>
      </c>
      <c r="T222" s="10">
        <v>10</v>
      </c>
      <c r="U222" s="74">
        <v>1.984126984126984E-3</v>
      </c>
      <c r="V222" s="75">
        <v>5.3174603174603173E-2</v>
      </c>
      <c r="W222" s="168" t="s">
        <v>2107</v>
      </c>
    </row>
    <row r="223" spans="1:23">
      <c r="A223" s="77" t="s">
        <v>1599</v>
      </c>
      <c r="B223" s="10" t="s">
        <v>1530</v>
      </c>
      <c r="C223" s="76" t="s">
        <v>29</v>
      </c>
      <c r="D223" s="10" t="s">
        <v>1534</v>
      </c>
      <c r="E223" s="10" t="s">
        <v>1539</v>
      </c>
      <c r="F223" s="10">
        <v>9180</v>
      </c>
      <c r="G223" s="10" t="s">
        <v>1545</v>
      </c>
      <c r="H223" s="5">
        <v>6365</v>
      </c>
      <c r="I223" s="69">
        <v>0.69335511982570808</v>
      </c>
      <c r="J223" s="5">
        <v>1057</v>
      </c>
      <c r="K223" s="70">
        <v>0.11514161220043573</v>
      </c>
      <c r="L223" s="5">
        <v>395</v>
      </c>
      <c r="M223" s="80">
        <v>4.3028322440087148E-2</v>
      </c>
      <c r="N223" s="72">
        <v>80</v>
      </c>
      <c r="O223" s="180">
        <f t="shared" si="3"/>
        <v>0.8714596949891068</v>
      </c>
      <c r="P223" s="72">
        <v>123</v>
      </c>
      <c r="Q223" s="73">
        <v>1.3398692810457516E-2</v>
      </c>
      <c r="R223" s="5">
        <v>86</v>
      </c>
      <c r="S223" s="70">
        <v>9.3681917211328979E-3</v>
      </c>
      <c r="T223" s="5">
        <v>1074</v>
      </c>
      <c r="U223" s="74">
        <v>0.11699346405228758</v>
      </c>
      <c r="V223" s="75">
        <v>0.14847494553376905</v>
      </c>
      <c r="W223" s="168" t="s">
        <v>2107</v>
      </c>
    </row>
    <row r="224" spans="1:23">
      <c r="A224" s="77" t="s">
        <v>1599</v>
      </c>
      <c r="B224" s="10" t="s">
        <v>1530</v>
      </c>
      <c r="C224" s="68" t="s">
        <v>1533</v>
      </c>
      <c r="D224" s="10" t="s">
        <v>1536</v>
      </c>
      <c r="E224" s="10" t="s">
        <v>22</v>
      </c>
      <c r="F224" s="10">
        <v>6130</v>
      </c>
      <c r="G224" s="10" t="s">
        <v>1533</v>
      </c>
      <c r="H224" s="5">
        <v>5724</v>
      </c>
      <c r="I224" s="69">
        <v>0.933768352365416</v>
      </c>
      <c r="J224" s="5">
        <v>11</v>
      </c>
      <c r="K224" s="70">
        <v>1.7944535073409463E-3</v>
      </c>
      <c r="L224" s="5">
        <v>291</v>
      </c>
      <c r="M224" s="80">
        <v>4.7471451876019574E-2</v>
      </c>
      <c r="N224" s="72">
        <v>82</v>
      </c>
      <c r="O224" s="180">
        <f t="shared" si="3"/>
        <v>1.33768352365416</v>
      </c>
      <c r="P224" s="72">
        <v>22</v>
      </c>
      <c r="Q224" s="73">
        <v>3.5889070146818925E-3</v>
      </c>
      <c r="R224" s="10">
        <v>0</v>
      </c>
      <c r="S224" s="70">
        <v>0</v>
      </c>
      <c r="T224" s="10">
        <v>0</v>
      </c>
      <c r="U224" s="74">
        <v>0</v>
      </c>
      <c r="V224" s="75">
        <v>1.6965742251223492E-2</v>
      </c>
      <c r="W224" s="168" t="s">
        <v>2104</v>
      </c>
    </row>
    <row r="225" spans="1:23">
      <c r="A225" s="84" t="s">
        <v>1600</v>
      </c>
      <c r="B225" s="10" t="s">
        <v>1530</v>
      </c>
      <c r="C225" s="10" t="s">
        <v>24</v>
      </c>
      <c r="D225" s="10" t="s">
        <v>1550</v>
      </c>
      <c r="E225" s="10" t="s">
        <v>22</v>
      </c>
      <c r="F225" s="10">
        <v>3672</v>
      </c>
      <c r="G225" s="10" t="s">
        <v>1544</v>
      </c>
      <c r="H225" s="5">
        <v>3600</v>
      </c>
      <c r="I225" s="69">
        <v>0.98039215686274506</v>
      </c>
      <c r="J225" s="10">
        <v>0</v>
      </c>
      <c r="K225" s="70">
        <v>0</v>
      </c>
      <c r="L225" s="10">
        <v>0</v>
      </c>
      <c r="M225" s="80">
        <v>0</v>
      </c>
      <c r="N225" s="72">
        <v>0</v>
      </c>
      <c r="O225" s="180">
        <f t="shared" si="3"/>
        <v>0</v>
      </c>
      <c r="P225" s="72">
        <v>72</v>
      </c>
      <c r="Q225" s="73">
        <v>1.9607843137254902E-2</v>
      </c>
      <c r="R225" s="10">
        <v>0</v>
      </c>
      <c r="S225" s="70">
        <v>0</v>
      </c>
      <c r="T225" s="10">
        <v>0</v>
      </c>
      <c r="U225" s="74">
        <v>0</v>
      </c>
      <c r="V225" s="75">
        <v>1.9607843137254902E-2</v>
      </c>
      <c r="W225" s="168" t="s">
        <v>2104</v>
      </c>
    </row>
    <row r="226" spans="1:23">
      <c r="A226" s="84" t="s">
        <v>1600</v>
      </c>
      <c r="B226" s="10" t="s">
        <v>1575</v>
      </c>
      <c r="C226" s="76" t="s">
        <v>27</v>
      </c>
      <c r="D226" s="10" t="s">
        <v>1550</v>
      </c>
      <c r="E226" s="10" t="s">
        <v>22</v>
      </c>
      <c r="F226" s="10">
        <v>14688</v>
      </c>
      <c r="G226" s="10" t="s">
        <v>1535</v>
      </c>
      <c r="H226" s="5">
        <v>14400</v>
      </c>
      <c r="I226" s="69">
        <v>0.98039215686274506</v>
      </c>
      <c r="J226" s="10">
        <v>0</v>
      </c>
      <c r="K226" s="70">
        <v>0</v>
      </c>
      <c r="L226" s="10">
        <v>0</v>
      </c>
      <c r="M226" s="80">
        <v>0</v>
      </c>
      <c r="N226" s="72">
        <v>0</v>
      </c>
      <c r="O226" s="180">
        <f t="shared" si="3"/>
        <v>0</v>
      </c>
      <c r="P226" s="72">
        <v>288</v>
      </c>
      <c r="Q226" s="73">
        <v>1.9607843137254902E-2</v>
      </c>
      <c r="R226" s="10">
        <v>0</v>
      </c>
      <c r="S226" s="70">
        <v>0</v>
      </c>
      <c r="T226" s="10">
        <v>0</v>
      </c>
      <c r="U226" s="74">
        <v>0</v>
      </c>
      <c r="V226" s="75">
        <v>1.9607843137254902E-2</v>
      </c>
      <c r="W226" s="168" t="s">
        <v>2104</v>
      </c>
    </row>
    <row r="227" spans="1:23">
      <c r="A227" s="84" t="s">
        <v>1600</v>
      </c>
      <c r="B227" s="10" t="s">
        <v>1575</v>
      </c>
      <c r="C227" s="76" t="s">
        <v>29</v>
      </c>
      <c r="D227" s="10" t="s">
        <v>1550</v>
      </c>
      <c r="E227" s="10" t="s">
        <v>22</v>
      </c>
      <c r="F227" s="10">
        <v>5508</v>
      </c>
      <c r="G227" s="10" t="s">
        <v>1545</v>
      </c>
      <c r="H227" s="5">
        <v>5400</v>
      </c>
      <c r="I227" s="69">
        <v>0.98039215686274506</v>
      </c>
      <c r="J227" s="10">
        <v>0</v>
      </c>
      <c r="K227" s="70">
        <v>0</v>
      </c>
      <c r="L227" s="10">
        <v>0</v>
      </c>
      <c r="M227" s="80">
        <v>0</v>
      </c>
      <c r="N227" s="72">
        <v>0</v>
      </c>
      <c r="O227" s="180">
        <f t="shared" si="3"/>
        <v>0</v>
      </c>
      <c r="P227" s="72">
        <v>108</v>
      </c>
      <c r="Q227" s="73">
        <v>1.9607843137254902E-2</v>
      </c>
      <c r="R227" s="10">
        <v>0</v>
      </c>
      <c r="S227" s="70">
        <v>0</v>
      </c>
      <c r="T227" s="10">
        <v>0</v>
      </c>
      <c r="U227" s="74">
        <v>0</v>
      </c>
      <c r="V227" s="75">
        <v>1.9607843137254902E-2</v>
      </c>
      <c r="W227" s="168" t="s">
        <v>2104</v>
      </c>
    </row>
    <row r="228" spans="1:23">
      <c r="A228" s="84" t="s">
        <v>1600</v>
      </c>
      <c r="B228" s="10" t="s">
        <v>1530</v>
      </c>
      <c r="C228" s="10" t="s">
        <v>24</v>
      </c>
      <c r="D228" s="10" t="s">
        <v>1534</v>
      </c>
      <c r="E228" s="10" t="s">
        <v>22</v>
      </c>
      <c r="F228" s="10">
        <v>3659</v>
      </c>
      <c r="G228" s="10" t="s">
        <v>1544</v>
      </c>
      <c r="H228" s="5">
        <v>3453</v>
      </c>
      <c r="I228" s="69">
        <v>0.94370046460781631</v>
      </c>
      <c r="J228" s="10">
        <v>85</v>
      </c>
      <c r="K228" s="70">
        <v>2.323039081716316E-2</v>
      </c>
      <c r="L228" s="10">
        <v>0</v>
      </c>
      <c r="M228" s="80">
        <v>0</v>
      </c>
      <c r="N228" s="72">
        <v>48</v>
      </c>
      <c r="O228" s="180">
        <f t="shared" si="3"/>
        <v>1.3118338343809786</v>
      </c>
      <c r="P228" s="72">
        <v>58</v>
      </c>
      <c r="Q228" s="73">
        <v>1.5851325498770157E-2</v>
      </c>
      <c r="R228" s="10">
        <v>0</v>
      </c>
      <c r="S228" s="70">
        <v>0</v>
      </c>
      <c r="T228" s="10">
        <v>15</v>
      </c>
      <c r="U228" s="74">
        <v>4.0994807324405578E-3</v>
      </c>
      <c r="V228" s="75">
        <v>3.3069144575020498E-2</v>
      </c>
      <c r="W228" s="168" t="s">
        <v>2104</v>
      </c>
    </row>
    <row r="229" spans="1:23">
      <c r="A229" s="84" t="s">
        <v>1600</v>
      </c>
      <c r="B229" s="10" t="s">
        <v>1530</v>
      </c>
      <c r="C229" s="68" t="s">
        <v>1533</v>
      </c>
      <c r="D229" s="10" t="s">
        <v>1536</v>
      </c>
      <c r="E229" s="10" t="s">
        <v>22</v>
      </c>
      <c r="F229" s="10">
        <v>3600</v>
      </c>
      <c r="G229" s="10" t="s">
        <v>1533</v>
      </c>
      <c r="H229" s="5">
        <v>3133</v>
      </c>
      <c r="I229" s="69">
        <v>0.87027777777777782</v>
      </c>
      <c r="J229" s="10">
        <v>17</v>
      </c>
      <c r="K229" s="70">
        <v>4.7222222222222223E-3</v>
      </c>
      <c r="L229" s="5">
        <v>199</v>
      </c>
      <c r="M229" s="80">
        <v>5.527777777777778E-2</v>
      </c>
      <c r="N229" s="72">
        <v>110</v>
      </c>
      <c r="O229" s="180">
        <f t="shared" si="3"/>
        <v>3.0555555555555554</v>
      </c>
      <c r="P229" s="72">
        <v>141</v>
      </c>
      <c r="Q229" s="73">
        <v>3.9166666666666669E-2</v>
      </c>
      <c r="R229" s="10">
        <v>0</v>
      </c>
      <c r="S229" s="70">
        <v>0</v>
      </c>
      <c r="T229" s="10">
        <v>0</v>
      </c>
      <c r="U229" s="74">
        <v>0</v>
      </c>
      <c r="V229" s="75">
        <v>6.9722222222222227E-2</v>
      </c>
      <c r="W229" s="168" t="s">
        <v>2104</v>
      </c>
    </row>
    <row r="230" spans="1:23">
      <c r="A230" s="84" t="s">
        <v>1600</v>
      </c>
      <c r="B230" s="10" t="s">
        <v>1530</v>
      </c>
      <c r="C230" s="176" t="s">
        <v>31</v>
      </c>
      <c r="D230" s="10" t="s">
        <v>1536</v>
      </c>
      <c r="E230" s="10" t="s">
        <v>1601</v>
      </c>
      <c r="F230" s="10">
        <v>6480</v>
      </c>
      <c r="G230" s="77" t="s">
        <v>1540</v>
      </c>
      <c r="H230" s="5">
        <v>6168</v>
      </c>
      <c r="I230" s="69">
        <v>0.95185185185185184</v>
      </c>
      <c r="J230" s="10">
        <v>20</v>
      </c>
      <c r="K230" s="70">
        <v>3.0864197530864196E-3</v>
      </c>
      <c r="L230" s="5">
        <v>0</v>
      </c>
      <c r="M230" s="80">
        <v>0</v>
      </c>
      <c r="N230" s="72">
        <v>94</v>
      </c>
      <c r="O230" s="180">
        <f t="shared" si="3"/>
        <v>1.4506172839506173</v>
      </c>
      <c r="P230" s="72">
        <v>198</v>
      </c>
      <c r="Q230" s="73">
        <v>3.0555555555555555E-2</v>
      </c>
      <c r="R230" s="10">
        <v>0</v>
      </c>
      <c r="S230" s="70">
        <v>0</v>
      </c>
      <c r="T230" s="10">
        <v>0</v>
      </c>
      <c r="U230" s="74">
        <v>0</v>
      </c>
      <c r="V230" s="75">
        <v>4.5061728395061729E-2</v>
      </c>
      <c r="W230" s="168" t="s">
        <v>2107</v>
      </c>
    </row>
    <row r="231" spans="1:23">
      <c r="A231" s="38" t="s">
        <v>1602</v>
      </c>
      <c r="B231" s="5" t="s">
        <v>1530</v>
      </c>
      <c r="C231" s="5" t="s">
        <v>24</v>
      </c>
      <c r="D231" s="5" t="s">
        <v>1534</v>
      </c>
      <c r="E231" s="5" t="s">
        <v>22</v>
      </c>
      <c r="F231" s="10">
        <v>5224</v>
      </c>
      <c r="G231" s="10" t="s">
        <v>1544</v>
      </c>
      <c r="H231" s="5">
        <v>4544</v>
      </c>
      <c r="I231" s="69">
        <v>0.86983154670750384</v>
      </c>
      <c r="J231" s="5">
        <v>325</v>
      </c>
      <c r="K231" s="70">
        <v>6.2212863705972433E-2</v>
      </c>
      <c r="L231" s="5">
        <v>64</v>
      </c>
      <c r="M231" s="80">
        <v>1.2251148545176111E-2</v>
      </c>
      <c r="N231" s="78">
        <v>85</v>
      </c>
      <c r="O231" s="180">
        <f t="shared" si="3"/>
        <v>1.6271056661562022</v>
      </c>
      <c r="P231" s="78">
        <v>206</v>
      </c>
      <c r="Q231" s="73">
        <v>3.9433384379785608E-2</v>
      </c>
      <c r="R231" s="5">
        <v>0</v>
      </c>
      <c r="S231" s="70">
        <v>0</v>
      </c>
      <c r="T231" s="5">
        <v>0</v>
      </c>
      <c r="U231" s="74">
        <v>0</v>
      </c>
      <c r="V231" s="75">
        <v>5.5704441041347627E-2</v>
      </c>
      <c r="W231" s="168" t="s">
        <v>2104</v>
      </c>
    </row>
    <row r="232" spans="1:23">
      <c r="A232" s="38" t="s">
        <v>1602</v>
      </c>
      <c r="B232" s="5" t="s">
        <v>1575</v>
      </c>
      <c r="C232" s="76" t="s">
        <v>29</v>
      </c>
      <c r="D232" s="5" t="s">
        <v>1550</v>
      </c>
      <c r="E232" s="5" t="s">
        <v>22</v>
      </c>
      <c r="F232" s="10">
        <v>4590</v>
      </c>
      <c r="G232" s="10" t="s">
        <v>1545</v>
      </c>
      <c r="H232" s="5">
        <v>4500</v>
      </c>
      <c r="I232" s="69">
        <v>0.98039215686274506</v>
      </c>
      <c r="J232" s="5">
        <v>0</v>
      </c>
      <c r="K232" s="70">
        <v>0</v>
      </c>
      <c r="L232" s="5">
        <v>0</v>
      </c>
      <c r="M232" s="80">
        <v>0</v>
      </c>
      <c r="N232" s="78">
        <v>0</v>
      </c>
      <c r="O232" s="180">
        <f t="shared" si="3"/>
        <v>0</v>
      </c>
      <c r="P232" s="78">
        <v>90</v>
      </c>
      <c r="Q232" s="73">
        <v>1.9607843137254902E-2</v>
      </c>
      <c r="R232" s="5">
        <v>0</v>
      </c>
      <c r="S232" s="70">
        <v>0</v>
      </c>
      <c r="T232" s="5">
        <v>0</v>
      </c>
      <c r="U232" s="74">
        <v>0</v>
      </c>
      <c r="V232" s="75">
        <v>1.9607843137254902E-2</v>
      </c>
      <c r="W232" s="168" t="s">
        <v>2104</v>
      </c>
    </row>
    <row r="233" spans="1:23">
      <c r="A233" s="38" t="s">
        <v>1602</v>
      </c>
      <c r="B233" s="5" t="s">
        <v>1575</v>
      </c>
      <c r="C233" s="76" t="s">
        <v>27</v>
      </c>
      <c r="D233" s="5" t="s">
        <v>1550</v>
      </c>
      <c r="E233" s="5" t="s">
        <v>22</v>
      </c>
      <c r="F233" s="10">
        <v>10098</v>
      </c>
      <c r="G233" s="10" t="s">
        <v>1535</v>
      </c>
      <c r="H233" s="5">
        <v>9900</v>
      </c>
      <c r="I233" s="69">
        <v>0.98039215686274506</v>
      </c>
      <c r="J233" s="5">
        <v>0</v>
      </c>
      <c r="K233" s="70">
        <v>0</v>
      </c>
      <c r="L233" s="5">
        <v>0</v>
      </c>
      <c r="M233" s="80">
        <v>0</v>
      </c>
      <c r="N233" s="78">
        <v>0</v>
      </c>
      <c r="O233" s="180">
        <f t="shared" si="3"/>
        <v>0</v>
      </c>
      <c r="P233" s="78">
        <v>198</v>
      </c>
      <c r="Q233" s="73">
        <v>1.9607843137254902E-2</v>
      </c>
      <c r="R233" s="5">
        <v>0</v>
      </c>
      <c r="S233" s="70">
        <v>0</v>
      </c>
      <c r="T233" s="5">
        <v>0</v>
      </c>
      <c r="U233" s="74">
        <v>0</v>
      </c>
      <c r="V233" s="75">
        <v>1.9607843137254902E-2</v>
      </c>
      <c r="W233" s="168" t="s">
        <v>2104</v>
      </c>
    </row>
    <row r="234" spans="1:23">
      <c r="A234" s="38" t="s">
        <v>1602</v>
      </c>
      <c r="B234" s="10" t="s">
        <v>1538</v>
      </c>
      <c r="C234" s="176" t="s">
        <v>31</v>
      </c>
      <c r="D234" s="10" t="s">
        <v>1536</v>
      </c>
      <c r="E234" s="10" t="s">
        <v>1601</v>
      </c>
      <c r="F234" s="10">
        <v>5760</v>
      </c>
      <c r="G234" s="77" t="s">
        <v>1540</v>
      </c>
      <c r="H234" s="5">
        <v>5396</v>
      </c>
      <c r="I234" s="69">
        <v>0.93680555555555556</v>
      </c>
      <c r="J234" s="10">
        <v>0</v>
      </c>
      <c r="K234" s="70">
        <v>0</v>
      </c>
      <c r="L234" s="10">
        <v>0</v>
      </c>
      <c r="M234" s="80">
        <v>0</v>
      </c>
      <c r="N234" s="72">
        <v>180</v>
      </c>
      <c r="O234" s="180">
        <f t="shared" si="3"/>
        <v>3.125</v>
      </c>
      <c r="P234" s="72">
        <v>184</v>
      </c>
      <c r="Q234" s="73">
        <v>3.1944444444444442E-2</v>
      </c>
      <c r="R234" s="10">
        <v>0</v>
      </c>
      <c r="S234" s="70">
        <v>0</v>
      </c>
      <c r="T234" s="10">
        <v>0</v>
      </c>
      <c r="U234" s="74">
        <v>0</v>
      </c>
      <c r="V234" s="75">
        <v>6.3194444444444442E-2</v>
      </c>
      <c r="W234" s="168" t="s">
        <v>2107</v>
      </c>
    </row>
    <row r="235" spans="1:23">
      <c r="A235" s="38" t="s">
        <v>1603</v>
      </c>
      <c r="B235" s="10" t="s">
        <v>1530</v>
      </c>
      <c r="C235" s="10" t="s">
        <v>24</v>
      </c>
      <c r="D235" s="10" t="s">
        <v>1534</v>
      </c>
      <c r="E235" s="10" t="s">
        <v>22</v>
      </c>
      <c r="F235" s="10">
        <v>2206</v>
      </c>
      <c r="G235" s="10" t="s">
        <v>1532</v>
      </c>
      <c r="H235" s="5">
        <v>1960</v>
      </c>
      <c r="I235" s="69">
        <v>0.88848594741613784</v>
      </c>
      <c r="J235" s="10">
        <v>54</v>
      </c>
      <c r="K235" s="70">
        <v>2.4478694469628286E-2</v>
      </c>
      <c r="L235" s="10">
        <v>0</v>
      </c>
      <c r="M235" s="85">
        <v>0</v>
      </c>
      <c r="N235" s="72">
        <v>80</v>
      </c>
      <c r="O235" s="180">
        <f t="shared" si="3"/>
        <v>3.626473254759746</v>
      </c>
      <c r="P235" s="72">
        <v>101</v>
      </c>
      <c r="Q235" s="73">
        <v>4.5784224841341793E-2</v>
      </c>
      <c r="R235" s="10">
        <v>0</v>
      </c>
      <c r="S235" s="70">
        <v>0</v>
      </c>
      <c r="T235" s="10">
        <v>11</v>
      </c>
      <c r="U235" s="74">
        <v>4.9864007252946509E-3</v>
      </c>
      <c r="V235" s="75">
        <v>8.7035358114233893E-2</v>
      </c>
      <c r="W235" s="168" t="s">
        <v>2104</v>
      </c>
    </row>
    <row r="236" spans="1:23">
      <c r="A236" s="38" t="s">
        <v>1603</v>
      </c>
      <c r="B236" s="10" t="s">
        <v>1530</v>
      </c>
      <c r="C236" s="10" t="s">
        <v>24</v>
      </c>
      <c r="D236" s="10" t="s">
        <v>1531</v>
      </c>
      <c r="E236" s="10" t="s">
        <v>22</v>
      </c>
      <c r="F236" s="10">
        <v>5658</v>
      </c>
      <c r="G236" s="10" t="s">
        <v>1532</v>
      </c>
      <c r="H236" s="5">
        <v>2602</v>
      </c>
      <c r="I236" s="69">
        <v>0.45987981618946622</v>
      </c>
      <c r="J236" s="5">
        <v>1039</v>
      </c>
      <c r="K236" s="70">
        <v>0.18363379285966772</v>
      </c>
      <c r="L236" s="5">
        <v>1790</v>
      </c>
      <c r="M236" s="85">
        <v>0.31636620714033226</v>
      </c>
      <c r="N236" s="72">
        <v>43</v>
      </c>
      <c r="O236" s="180">
        <f t="shared" si="3"/>
        <v>0.75998586072817254</v>
      </c>
      <c r="P236" s="72">
        <v>184</v>
      </c>
      <c r="Q236" s="73">
        <v>3.2520325203252036E-2</v>
      </c>
      <c r="R236" s="10">
        <v>0</v>
      </c>
      <c r="S236" s="70">
        <v>0</v>
      </c>
      <c r="T236" s="10">
        <v>0</v>
      </c>
      <c r="U236" s="74">
        <v>0</v>
      </c>
      <c r="V236" s="75">
        <v>4.0120183810533762E-2</v>
      </c>
      <c r="W236" s="168" t="s">
        <v>2104</v>
      </c>
    </row>
    <row r="237" spans="1:23">
      <c r="A237" s="38" t="s">
        <v>1603</v>
      </c>
      <c r="B237" s="10" t="s">
        <v>1530</v>
      </c>
      <c r="C237" s="68" t="s">
        <v>1533</v>
      </c>
      <c r="D237" s="10" t="s">
        <v>1536</v>
      </c>
      <c r="E237" s="10" t="s">
        <v>22</v>
      </c>
      <c r="F237" s="10">
        <v>5976</v>
      </c>
      <c r="G237" s="10" t="s">
        <v>1533</v>
      </c>
      <c r="H237" s="5">
        <v>4442</v>
      </c>
      <c r="I237" s="69">
        <v>0.74330655957161984</v>
      </c>
      <c r="J237" s="5">
        <v>163</v>
      </c>
      <c r="K237" s="70">
        <v>2.7275769745649263E-2</v>
      </c>
      <c r="L237" s="5">
        <v>651</v>
      </c>
      <c r="M237" s="85">
        <v>0.10893574297188754</v>
      </c>
      <c r="N237" s="72">
        <v>230</v>
      </c>
      <c r="O237" s="180">
        <f t="shared" si="3"/>
        <v>3.8487282463186077</v>
      </c>
      <c r="P237" s="72">
        <v>373</v>
      </c>
      <c r="Q237" s="73">
        <v>6.2416331994645247E-2</v>
      </c>
      <c r="R237" s="10">
        <v>117</v>
      </c>
      <c r="S237" s="70">
        <v>1.9578313253012049E-2</v>
      </c>
      <c r="T237" s="10">
        <v>0</v>
      </c>
      <c r="U237" s="74">
        <v>0</v>
      </c>
      <c r="V237" s="75">
        <v>0.12048192771084337</v>
      </c>
      <c r="W237" s="168" t="s">
        <v>2104</v>
      </c>
    </row>
    <row r="238" spans="1:23">
      <c r="A238" s="38" t="s">
        <v>1603</v>
      </c>
      <c r="B238" s="10" t="s">
        <v>1575</v>
      </c>
      <c r="C238" s="76" t="s">
        <v>27</v>
      </c>
      <c r="D238" s="10" t="s">
        <v>1550</v>
      </c>
      <c r="E238" s="10" t="s">
        <v>22</v>
      </c>
      <c r="F238" s="10">
        <v>5508</v>
      </c>
      <c r="G238" s="10" t="s">
        <v>1535</v>
      </c>
      <c r="H238" s="5">
        <v>5400</v>
      </c>
      <c r="I238" s="69">
        <v>0.98039215686274506</v>
      </c>
      <c r="J238" s="5">
        <v>0</v>
      </c>
      <c r="K238" s="70">
        <v>0</v>
      </c>
      <c r="L238" s="5">
        <v>0</v>
      </c>
      <c r="M238" s="85">
        <v>0</v>
      </c>
      <c r="N238" s="72">
        <v>0</v>
      </c>
      <c r="O238" s="180">
        <f t="shared" si="3"/>
        <v>0</v>
      </c>
      <c r="P238" s="72">
        <v>108</v>
      </c>
      <c r="Q238" s="73">
        <v>1.9607843137254902E-2</v>
      </c>
      <c r="R238" s="10">
        <v>0</v>
      </c>
      <c r="S238" s="70">
        <v>0</v>
      </c>
      <c r="T238" s="10">
        <v>0</v>
      </c>
      <c r="U238" s="74">
        <v>0</v>
      </c>
      <c r="V238" s="75">
        <v>1.9607843137254902E-2</v>
      </c>
      <c r="W238" s="168" t="s">
        <v>2104</v>
      </c>
    </row>
    <row r="239" spans="1:23">
      <c r="A239" s="38" t="s">
        <v>1603</v>
      </c>
      <c r="B239" s="10" t="s">
        <v>1538</v>
      </c>
      <c r="C239" s="176" t="s">
        <v>31</v>
      </c>
      <c r="D239" s="10" t="s">
        <v>1536</v>
      </c>
      <c r="E239" s="10" t="s">
        <v>22</v>
      </c>
      <c r="F239" s="10">
        <v>5590</v>
      </c>
      <c r="G239" s="77" t="s">
        <v>1540</v>
      </c>
      <c r="H239" s="5">
        <v>4616</v>
      </c>
      <c r="I239" s="69">
        <v>0.82576028622540254</v>
      </c>
      <c r="J239" s="5">
        <v>587</v>
      </c>
      <c r="K239" s="70">
        <v>0.10500894454382827</v>
      </c>
      <c r="L239" s="5">
        <v>0</v>
      </c>
      <c r="M239" s="85">
        <v>0</v>
      </c>
      <c r="N239" s="72">
        <v>253</v>
      </c>
      <c r="O239" s="180">
        <f t="shared" si="3"/>
        <v>4.5259391771019679</v>
      </c>
      <c r="P239" s="72">
        <v>134</v>
      </c>
      <c r="Q239" s="73">
        <v>2.3971377459749553E-2</v>
      </c>
      <c r="R239" s="10">
        <v>0</v>
      </c>
      <c r="S239" s="70">
        <v>0</v>
      </c>
      <c r="T239" s="10">
        <v>0</v>
      </c>
      <c r="U239" s="74">
        <v>0</v>
      </c>
      <c r="V239" s="75">
        <v>6.9230769230769235E-2</v>
      </c>
      <c r="W239" s="168" t="s">
        <v>2107</v>
      </c>
    </row>
    <row r="240" spans="1:23">
      <c r="A240" s="38" t="s">
        <v>1604</v>
      </c>
      <c r="B240" s="5" t="s">
        <v>1575</v>
      </c>
      <c r="C240" s="76" t="s">
        <v>29</v>
      </c>
      <c r="D240" s="10" t="s">
        <v>1550</v>
      </c>
      <c r="E240" s="10" t="s">
        <v>22</v>
      </c>
      <c r="F240" s="10">
        <v>5508</v>
      </c>
      <c r="G240" s="10" t="s">
        <v>1545</v>
      </c>
      <c r="H240" s="5">
        <v>5400</v>
      </c>
      <c r="I240" s="69">
        <v>0.98039215686274506</v>
      </c>
      <c r="J240" s="5">
        <v>0</v>
      </c>
      <c r="K240" s="70">
        <v>0</v>
      </c>
      <c r="L240" s="5">
        <v>0</v>
      </c>
      <c r="M240" s="85">
        <v>0</v>
      </c>
      <c r="N240" s="72">
        <v>0</v>
      </c>
      <c r="O240" s="180">
        <f t="shared" si="3"/>
        <v>0</v>
      </c>
      <c r="P240" s="72">
        <v>108</v>
      </c>
      <c r="Q240" s="73">
        <v>1.9607843137254902E-2</v>
      </c>
      <c r="R240" s="10">
        <v>0</v>
      </c>
      <c r="S240" s="70">
        <v>0</v>
      </c>
      <c r="T240" s="10">
        <v>0</v>
      </c>
      <c r="U240" s="74">
        <v>0</v>
      </c>
      <c r="V240" s="75">
        <v>1.9607843137254902E-2</v>
      </c>
      <c r="W240" s="168" t="s">
        <v>2104</v>
      </c>
    </row>
    <row r="241" spans="1:23">
      <c r="A241" s="38" t="s">
        <v>1604</v>
      </c>
      <c r="B241" s="5" t="s">
        <v>1575</v>
      </c>
      <c r="C241" s="76" t="s">
        <v>27</v>
      </c>
      <c r="D241" s="10" t="s">
        <v>1550</v>
      </c>
      <c r="E241" s="10" t="s">
        <v>22</v>
      </c>
      <c r="F241" s="10">
        <v>6426</v>
      </c>
      <c r="G241" s="10" t="s">
        <v>1535</v>
      </c>
      <c r="H241" s="5">
        <v>6300</v>
      </c>
      <c r="I241" s="69">
        <v>0.98039215686274506</v>
      </c>
      <c r="J241" s="5">
        <v>0</v>
      </c>
      <c r="K241" s="70">
        <v>0</v>
      </c>
      <c r="L241" s="5">
        <v>0</v>
      </c>
      <c r="M241" s="85">
        <v>0</v>
      </c>
      <c r="N241" s="72">
        <v>0</v>
      </c>
      <c r="O241" s="180">
        <f t="shared" si="3"/>
        <v>0</v>
      </c>
      <c r="P241" s="72">
        <v>126</v>
      </c>
      <c r="Q241" s="73">
        <v>1.9607843137254902E-2</v>
      </c>
      <c r="R241" s="10">
        <v>0</v>
      </c>
      <c r="S241" s="70">
        <v>0</v>
      </c>
      <c r="T241" s="10">
        <v>0</v>
      </c>
      <c r="U241" s="74">
        <v>0</v>
      </c>
      <c r="V241" s="75">
        <v>1.9607843137254902E-2</v>
      </c>
      <c r="W241" s="168" t="s">
        <v>2104</v>
      </c>
    </row>
    <row r="242" spans="1:23">
      <c r="A242" s="38" t="s">
        <v>1604</v>
      </c>
      <c r="B242" s="5" t="s">
        <v>1530</v>
      </c>
      <c r="C242" s="76" t="s">
        <v>29</v>
      </c>
      <c r="D242" s="10" t="s">
        <v>1534</v>
      </c>
      <c r="E242" s="10" t="s">
        <v>22</v>
      </c>
      <c r="F242" s="10">
        <v>2700</v>
      </c>
      <c r="G242" s="10" t="s">
        <v>1545</v>
      </c>
      <c r="H242" s="5">
        <v>2354</v>
      </c>
      <c r="I242" s="69">
        <v>0.87185185185185188</v>
      </c>
      <c r="J242" s="5">
        <v>184</v>
      </c>
      <c r="K242" s="70">
        <v>6.8148148148148152E-2</v>
      </c>
      <c r="L242" s="5">
        <v>8</v>
      </c>
      <c r="M242" s="85">
        <v>2.9629629629629628E-3</v>
      </c>
      <c r="N242" s="72">
        <v>22</v>
      </c>
      <c r="O242" s="180">
        <f t="shared" si="3"/>
        <v>0.81481481481481477</v>
      </c>
      <c r="P242" s="72">
        <v>34</v>
      </c>
      <c r="Q242" s="73">
        <v>1.2592592592592593E-2</v>
      </c>
      <c r="R242" s="10">
        <v>0</v>
      </c>
      <c r="S242" s="70">
        <v>0</v>
      </c>
      <c r="T242" s="5">
        <v>98</v>
      </c>
      <c r="U242" s="74">
        <v>3.6296296296296299E-2</v>
      </c>
      <c r="V242" s="75">
        <v>5.7037037037037039E-2</v>
      </c>
      <c r="W242" s="168" t="s">
        <v>2107</v>
      </c>
    </row>
    <row r="243" spans="1:23">
      <c r="A243" s="38" t="s">
        <v>1604</v>
      </c>
      <c r="B243" s="5" t="s">
        <v>1530</v>
      </c>
      <c r="C243" s="10" t="s">
        <v>24</v>
      </c>
      <c r="D243" s="10" t="s">
        <v>1534</v>
      </c>
      <c r="E243" s="10" t="s">
        <v>22</v>
      </c>
      <c r="F243" s="10">
        <v>2477</v>
      </c>
      <c r="G243" s="10" t="s">
        <v>1544</v>
      </c>
      <c r="H243" s="5">
        <v>2084</v>
      </c>
      <c r="I243" s="69">
        <v>0.84134033104561967</v>
      </c>
      <c r="J243" s="5">
        <v>154</v>
      </c>
      <c r="K243" s="70">
        <v>6.2171982236576502E-2</v>
      </c>
      <c r="L243" s="5">
        <v>50</v>
      </c>
      <c r="M243" s="85">
        <v>2.0185708518368994E-2</v>
      </c>
      <c r="N243" s="72">
        <v>85</v>
      </c>
      <c r="O243" s="180">
        <f t="shared" si="3"/>
        <v>3.4315704481227289</v>
      </c>
      <c r="P243" s="72">
        <v>87</v>
      </c>
      <c r="Q243" s="73">
        <v>3.5123132821962048E-2</v>
      </c>
      <c r="R243" s="10">
        <v>0</v>
      </c>
      <c r="S243" s="70">
        <v>0</v>
      </c>
      <c r="T243" s="5">
        <v>17</v>
      </c>
      <c r="U243" s="74">
        <v>6.8631408962454583E-3</v>
      </c>
      <c r="V243" s="75">
        <v>7.6301978199434795E-2</v>
      </c>
      <c r="W243" s="168" t="s">
        <v>2104</v>
      </c>
    </row>
    <row r="244" spans="1:23">
      <c r="A244" s="38" t="s">
        <v>1604</v>
      </c>
      <c r="B244" s="5" t="s">
        <v>1530</v>
      </c>
      <c r="C244" s="10" t="s">
        <v>24</v>
      </c>
      <c r="D244" s="10" t="s">
        <v>1536</v>
      </c>
      <c r="E244" s="10" t="s">
        <v>22</v>
      </c>
      <c r="F244" s="10">
        <v>2416</v>
      </c>
      <c r="G244" s="10" t="s">
        <v>1532</v>
      </c>
      <c r="H244" s="5">
        <v>2180</v>
      </c>
      <c r="I244" s="69">
        <v>0.90231788079470199</v>
      </c>
      <c r="J244" s="5">
        <v>120</v>
      </c>
      <c r="K244" s="70">
        <v>4.9668874172185427E-2</v>
      </c>
      <c r="L244" s="5">
        <v>0</v>
      </c>
      <c r="M244" s="85">
        <v>0</v>
      </c>
      <c r="N244" s="72">
        <v>53</v>
      </c>
      <c r="O244" s="180">
        <f t="shared" si="3"/>
        <v>2.1937086092715234</v>
      </c>
      <c r="P244" s="72">
        <v>63</v>
      </c>
      <c r="Q244" s="73">
        <v>2.6076158940397352E-2</v>
      </c>
      <c r="R244" s="10">
        <v>0</v>
      </c>
      <c r="S244" s="70">
        <v>0</v>
      </c>
      <c r="T244" s="5">
        <v>0</v>
      </c>
      <c r="U244" s="74">
        <v>0</v>
      </c>
      <c r="V244" s="75">
        <v>4.8013245033112585E-2</v>
      </c>
      <c r="W244" s="168" t="s">
        <v>2104</v>
      </c>
    </row>
    <row r="245" spans="1:23">
      <c r="A245" s="38" t="s">
        <v>1604</v>
      </c>
      <c r="B245" s="5" t="s">
        <v>1530</v>
      </c>
      <c r="C245" s="10" t="s">
        <v>24</v>
      </c>
      <c r="D245" s="10" t="s">
        <v>1531</v>
      </c>
      <c r="E245" s="10" t="s">
        <v>22</v>
      </c>
      <c r="F245" s="10">
        <v>6266</v>
      </c>
      <c r="G245" s="10" t="s">
        <v>1532</v>
      </c>
      <c r="H245" s="5">
        <v>2619</v>
      </c>
      <c r="I245" s="69">
        <v>0.4179699968081711</v>
      </c>
      <c r="J245" s="5">
        <v>847</v>
      </c>
      <c r="K245" s="70">
        <v>0.13517395467602936</v>
      </c>
      <c r="L245" s="5">
        <v>2358</v>
      </c>
      <c r="M245" s="85">
        <v>0.37631662942866262</v>
      </c>
      <c r="N245" s="72">
        <v>48</v>
      </c>
      <c r="O245" s="180">
        <f t="shared" si="3"/>
        <v>0.76603894031279918</v>
      </c>
      <c r="P245" s="72">
        <v>394</v>
      </c>
      <c r="Q245" s="73">
        <v>6.2879029684008936E-2</v>
      </c>
      <c r="R245" s="10">
        <v>0</v>
      </c>
      <c r="S245" s="70">
        <v>0</v>
      </c>
      <c r="T245" s="5">
        <v>0</v>
      </c>
      <c r="U245" s="74">
        <v>0</v>
      </c>
      <c r="V245" s="75">
        <v>7.0539419087136929E-2</v>
      </c>
      <c r="W245" s="168" t="s">
        <v>2104</v>
      </c>
    </row>
    <row r="246" spans="1:23">
      <c r="A246" s="38" t="s">
        <v>1604</v>
      </c>
      <c r="B246" s="5" t="s">
        <v>1538</v>
      </c>
      <c r="C246" s="10" t="s">
        <v>31</v>
      </c>
      <c r="D246" s="10" t="s">
        <v>1536</v>
      </c>
      <c r="E246" s="10" t="s">
        <v>1601</v>
      </c>
      <c r="F246" s="10">
        <v>4320</v>
      </c>
      <c r="G246" s="77" t="s">
        <v>1540</v>
      </c>
      <c r="H246" s="5">
        <v>3503</v>
      </c>
      <c r="I246" s="69">
        <v>0.81087962962962967</v>
      </c>
      <c r="J246" s="5">
        <v>646</v>
      </c>
      <c r="K246" s="70">
        <v>0.14953703703703702</v>
      </c>
      <c r="L246" s="5">
        <v>0</v>
      </c>
      <c r="M246" s="85">
        <v>0</v>
      </c>
      <c r="N246" s="72">
        <v>116</v>
      </c>
      <c r="O246" s="180">
        <f t="shared" si="3"/>
        <v>2.6851851851851851</v>
      </c>
      <c r="P246" s="72">
        <v>55</v>
      </c>
      <c r="Q246" s="73">
        <v>1.2731481481481481E-2</v>
      </c>
      <c r="R246" s="10">
        <v>0</v>
      </c>
      <c r="S246" s="70">
        <v>0</v>
      </c>
      <c r="T246" s="5">
        <v>0</v>
      </c>
      <c r="U246" s="74">
        <v>0</v>
      </c>
      <c r="V246" s="75">
        <v>3.9583333333333331E-2</v>
      </c>
      <c r="W246" s="168" t="s">
        <v>1195</v>
      </c>
    </row>
    <row r="247" spans="1:23">
      <c r="A247" s="38" t="s">
        <v>1604</v>
      </c>
      <c r="B247" s="5" t="s">
        <v>1530</v>
      </c>
      <c r="C247" s="10" t="s">
        <v>1605</v>
      </c>
      <c r="D247" s="10" t="s">
        <v>1536</v>
      </c>
      <c r="E247" s="10" t="s">
        <v>22</v>
      </c>
      <c r="F247" s="10">
        <v>280</v>
      </c>
      <c r="G247" s="10" t="s">
        <v>1605</v>
      </c>
      <c r="H247" s="5">
        <v>229</v>
      </c>
      <c r="I247" s="69">
        <v>0.81785714285714284</v>
      </c>
      <c r="J247" s="5">
        <v>40</v>
      </c>
      <c r="K247" s="70">
        <v>0.14285714285714285</v>
      </c>
      <c r="L247" s="5">
        <v>0</v>
      </c>
      <c r="M247" s="85">
        <v>0</v>
      </c>
      <c r="N247" s="72">
        <v>4</v>
      </c>
      <c r="O247" s="180">
        <f t="shared" si="3"/>
        <v>1.4285714285714286</v>
      </c>
      <c r="P247" s="72">
        <v>7</v>
      </c>
      <c r="Q247" s="73">
        <v>2.5000000000000001E-2</v>
      </c>
      <c r="R247" s="10">
        <v>0</v>
      </c>
      <c r="S247" s="70">
        <v>0</v>
      </c>
      <c r="T247" s="5">
        <v>0</v>
      </c>
      <c r="U247" s="74">
        <v>0</v>
      </c>
      <c r="V247" s="75">
        <v>3.9285714285714285E-2</v>
      </c>
      <c r="W247" s="168" t="s">
        <v>1195</v>
      </c>
    </row>
    <row r="248" spans="1:23">
      <c r="A248" s="77" t="s">
        <v>1606</v>
      </c>
      <c r="B248" s="10" t="s">
        <v>1556</v>
      </c>
      <c r="C248" s="76" t="s">
        <v>29</v>
      </c>
      <c r="D248" s="10" t="s">
        <v>1550</v>
      </c>
      <c r="E248" s="10" t="s">
        <v>22</v>
      </c>
      <c r="F248" s="10">
        <v>5190</v>
      </c>
      <c r="G248" s="10" t="s">
        <v>1551</v>
      </c>
      <c r="H248" s="5">
        <v>5100</v>
      </c>
      <c r="I248" s="69">
        <v>0.98265895953757221</v>
      </c>
      <c r="J248" s="5">
        <v>0</v>
      </c>
      <c r="K248" s="70">
        <v>0</v>
      </c>
      <c r="L248" s="10">
        <v>0</v>
      </c>
      <c r="M248" s="85">
        <v>0</v>
      </c>
      <c r="N248" s="72">
        <v>0</v>
      </c>
      <c r="O248" s="180">
        <f t="shared" si="3"/>
        <v>0</v>
      </c>
      <c r="P248" s="72">
        <v>90</v>
      </c>
      <c r="Q248" s="73">
        <v>1.7341040462427744E-2</v>
      </c>
      <c r="R248" s="10">
        <v>0</v>
      </c>
      <c r="S248" s="70">
        <v>0</v>
      </c>
      <c r="T248" s="10">
        <v>0</v>
      </c>
      <c r="U248" s="74">
        <v>0</v>
      </c>
      <c r="V248" s="75">
        <v>1.7341040462427744E-2</v>
      </c>
      <c r="W248" s="168" t="s">
        <v>2104</v>
      </c>
    </row>
    <row r="249" spans="1:23">
      <c r="A249" s="77" t="s">
        <v>1606</v>
      </c>
      <c r="B249" s="10" t="s">
        <v>1575</v>
      </c>
      <c r="C249" s="76" t="s">
        <v>29</v>
      </c>
      <c r="D249" s="10" t="s">
        <v>1550</v>
      </c>
      <c r="E249" s="10" t="s">
        <v>22</v>
      </c>
      <c r="F249" s="10">
        <v>6426</v>
      </c>
      <c r="G249" s="10" t="s">
        <v>1545</v>
      </c>
      <c r="H249" s="5">
        <v>6300</v>
      </c>
      <c r="I249" s="69">
        <v>0.98039215686274506</v>
      </c>
      <c r="J249" s="5">
        <v>0</v>
      </c>
      <c r="K249" s="70">
        <v>0</v>
      </c>
      <c r="L249" s="10">
        <v>0</v>
      </c>
      <c r="M249" s="85">
        <v>0</v>
      </c>
      <c r="N249" s="72">
        <v>0</v>
      </c>
      <c r="O249" s="180">
        <f t="shared" si="3"/>
        <v>0</v>
      </c>
      <c r="P249" s="72">
        <v>126</v>
      </c>
      <c r="Q249" s="73">
        <v>1.9607843137254902E-2</v>
      </c>
      <c r="R249" s="10">
        <v>0</v>
      </c>
      <c r="S249" s="70">
        <v>0</v>
      </c>
      <c r="T249" s="10">
        <v>0</v>
      </c>
      <c r="U249" s="74">
        <v>0</v>
      </c>
      <c r="V249" s="75">
        <v>1.9607843137254902E-2</v>
      </c>
      <c r="W249" s="168" t="s">
        <v>2104</v>
      </c>
    </row>
    <row r="250" spans="1:23">
      <c r="A250" s="77" t="s">
        <v>1606</v>
      </c>
      <c r="B250" s="10" t="s">
        <v>1530</v>
      </c>
      <c r="C250" s="10" t="s">
        <v>24</v>
      </c>
      <c r="D250" s="10" t="s">
        <v>1536</v>
      </c>
      <c r="E250" s="10" t="s">
        <v>22</v>
      </c>
      <c r="F250" s="10">
        <v>1260</v>
      </c>
      <c r="G250" s="10" t="s">
        <v>1532</v>
      </c>
      <c r="H250" s="5">
        <v>1089</v>
      </c>
      <c r="I250" s="69">
        <v>0.86428571428571432</v>
      </c>
      <c r="J250" s="10">
        <v>40</v>
      </c>
      <c r="K250" s="70">
        <v>3.1746031746031744E-2</v>
      </c>
      <c r="L250" s="10">
        <v>0</v>
      </c>
      <c r="M250" s="85">
        <v>0</v>
      </c>
      <c r="N250" s="72">
        <v>68</v>
      </c>
      <c r="O250" s="180">
        <f t="shared" si="3"/>
        <v>5.3968253968253972</v>
      </c>
      <c r="P250" s="72">
        <v>63</v>
      </c>
      <c r="Q250" s="73">
        <v>0.05</v>
      </c>
      <c r="R250" s="10">
        <v>0</v>
      </c>
      <c r="S250" s="70">
        <v>0</v>
      </c>
      <c r="T250" s="10">
        <v>0</v>
      </c>
      <c r="U250" s="74">
        <v>0</v>
      </c>
      <c r="V250" s="75">
        <v>0.10396825396825397</v>
      </c>
      <c r="W250" s="168" t="s">
        <v>2104</v>
      </c>
    </row>
    <row r="251" spans="1:23">
      <c r="A251" s="77" t="s">
        <v>1606</v>
      </c>
      <c r="B251" s="10" t="s">
        <v>1530</v>
      </c>
      <c r="C251" s="10" t="s">
        <v>24</v>
      </c>
      <c r="D251" s="10" t="s">
        <v>1534</v>
      </c>
      <c r="E251" s="10" t="s">
        <v>22</v>
      </c>
      <c r="F251" s="10">
        <v>4590</v>
      </c>
      <c r="G251" s="10" t="s">
        <v>1544</v>
      </c>
      <c r="H251" s="5">
        <v>3840</v>
      </c>
      <c r="I251" s="69">
        <v>0.83660130718954251</v>
      </c>
      <c r="J251" s="5">
        <v>241</v>
      </c>
      <c r="K251" s="70">
        <v>5.2505446623093685E-2</v>
      </c>
      <c r="L251" s="5">
        <v>68</v>
      </c>
      <c r="M251" s="85">
        <v>1.4814814814814815E-2</v>
      </c>
      <c r="N251" s="72">
        <v>128</v>
      </c>
      <c r="O251" s="180">
        <f t="shared" si="3"/>
        <v>2.7886710239651413</v>
      </c>
      <c r="P251" s="72">
        <v>268</v>
      </c>
      <c r="Q251" s="73">
        <v>5.8387799564270156E-2</v>
      </c>
      <c r="R251" s="10">
        <v>0</v>
      </c>
      <c r="S251" s="70">
        <v>0</v>
      </c>
      <c r="T251" s="10">
        <v>45</v>
      </c>
      <c r="U251" s="74">
        <v>9.8039215686274508E-3</v>
      </c>
      <c r="V251" s="75">
        <v>9.6078431372549011E-2</v>
      </c>
      <c r="W251" s="168" t="s">
        <v>2104</v>
      </c>
    </row>
    <row r="252" spans="1:23">
      <c r="A252" s="77" t="s">
        <v>1606</v>
      </c>
      <c r="B252" s="10" t="s">
        <v>1530</v>
      </c>
      <c r="C252" s="10" t="s">
        <v>24</v>
      </c>
      <c r="D252" s="10" t="s">
        <v>1531</v>
      </c>
      <c r="E252" s="10" t="s">
        <v>22</v>
      </c>
      <c r="F252" s="10">
        <v>6189</v>
      </c>
      <c r="G252" s="10" t="s">
        <v>1532</v>
      </c>
      <c r="H252" s="5">
        <v>2740</v>
      </c>
      <c r="I252" s="69">
        <v>0.4427209565357893</v>
      </c>
      <c r="J252" s="5">
        <v>727</v>
      </c>
      <c r="K252" s="70">
        <v>0.11746647277427694</v>
      </c>
      <c r="L252" s="5">
        <v>2240</v>
      </c>
      <c r="M252" s="85">
        <v>0.36193246081757957</v>
      </c>
      <c r="N252" s="72">
        <v>58</v>
      </c>
      <c r="O252" s="180">
        <f t="shared" si="3"/>
        <v>0.93714655033123284</v>
      </c>
      <c r="P252" s="72">
        <v>424</v>
      </c>
      <c r="Q252" s="73">
        <v>6.8508644369041846E-2</v>
      </c>
      <c r="R252" s="10">
        <v>0</v>
      </c>
      <c r="S252" s="70">
        <v>0</v>
      </c>
      <c r="T252" s="10">
        <v>0</v>
      </c>
      <c r="U252" s="74">
        <v>0</v>
      </c>
      <c r="V252" s="75">
        <v>7.7880109872354178E-2</v>
      </c>
      <c r="W252" s="168" t="s">
        <v>2104</v>
      </c>
    </row>
    <row r="253" spans="1:23">
      <c r="A253" s="77" t="s">
        <v>1606</v>
      </c>
      <c r="B253" s="10" t="s">
        <v>1538</v>
      </c>
      <c r="C253" s="76" t="s">
        <v>27</v>
      </c>
      <c r="D253" s="10" t="s">
        <v>1536</v>
      </c>
      <c r="E253" s="10" t="s">
        <v>22</v>
      </c>
      <c r="F253" s="10">
        <v>900</v>
      </c>
      <c r="G253" s="10" t="s">
        <v>1554</v>
      </c>
      <c r="H253" s="5">
        <v>801</v>
      </c>
      <c r="I253" s="69">
        <v>0.89</v>
      </c>
      <c r="J253" s="5">
        <v>10</v>
      </c>
      <c r="K253" s="70">
        <v>1.1111111111111112E-2</v>
      </c>
      <c r="L253" s="10">
        <v>51</v>
      </c>
      <c r="M253" s="85">
        <v>5.6666666666666664E-2</v>
      </c>
      <c r="N253" s="72">
        <v>18</v>
      </c>
      <c r="O253" s="180">
        <f t="shared" si="3"/>
        <v>2</v>
      </c>
      <c r="P253" s="72">
        <v>20</v>
      </c>
      <c r="Q253" s="73">
        <v>2.2222222222222223E-2</v>
      </c>
      <c r="R253" s="10">
        <v>0</v>
      </c>
      <c r="S253" s="70">
        <v>0</v>
      </c>
      <c r="T253" s="10">
        <v>0</v>
      </c>
      <c r="U253" s="74">
        <v>0</v>
      </c>
      <c r="V253" s="75">
        <v>4.2222222222222223E-2</v>
      </c>
      <c r="W253" s="168" t="s">
        <v>2107</v>
      </c>
    </row>
    <row r="254" spans="1:23">
      <c r="A254" s="77" t="s">
        <v>1606</v>
      </c>
      <c r="B254" s="10" t="s">
        <v>1538</v>
      </c>
      <c r="C254" s="176" t="s">
        <v>31</v>
      </c>
      <c r="D254" s="10" t="s">
        <v>1536</v>
      </c>
      <c r="E254" s="10" t="s">
        <v>22</v>
      </c>
      <c r="F254" s="10">
        <v>5205</v>
      </c>
      <c r="G254" s="77" t="s">
        <v>1540</v>
      </c>
      <c r="H254" s="5">
        <v>2246</v>
      </c>
      <c r="I254" s="69">
        <v>0.43150816522574448</v>
      </c>
      <c r="J254" s="5">
        <v>1283</v>
      </c>
      <c r="K254" s="70">
        <v>0.24649375600384246</v>
      </c>
      <c r="L254" s="10">
        <v>656</v>
      </c>
      <c r="M254" s="85">
        <v>0.12603266090297791</v>
      </c>
      <c r="N254" s="72">
        <v>531</v>
      </c>
      <c r="O254" s="180">
        <f t="shared" si="3"/>
        <v>10.201729106628243</v>
      </c>
      <c r="P254" s="78">
        <v>489</v>
      </c>
      <c r="Q254" s="73">
        <v>9.3948126801152734E-2</v>
      </c>
      <c r="R254" s="10">
        <v>0</v>
      </c>
      <c r="S254" s="70">
        <v>0</v>
      </c>
      <c r="T254" s="10">
        <v>0</v>
      </c>
      <c r="U254" s="74">
        <v>0</v>
      </c>
      <c r="V254" s="75">
        <v>0.19596541786743515</v>
      </c>
      <c r="W254" s="168" t="s">
        <v>2107</v>
      </c>
    </row>
    <row r="255" spans="1:23">
      <c r="A255" s="77" t="s">
        <v>1607</v>
      </c>
      <c r="B255" s="10" t="s">
        <v>1530</v>
      </c>
      <c r="C255" s="10" t="s">
        <v>24</v>
      </c>
      <c r="D255" s="10" t="s">
        <v>1536</v>
      </c>
      <c r="E255" s="10" t="s">
        <v>22</v>
      </c>
      <c r="F255" s="10">
        <v>5390</v>
      </c>
      <c r="G255" s="10" t="s">
        <v>1532</v>
      </c>
      <c r="H255" s="5">
        <v>5149</v>
      </c>
      <c r="I255" s="69">
        <v>0.95528756957328387</v>
      </c>
      <c r="J255" s="5">
        <v>68</v>
      </c>
      <c r="K255" s="70">
        <v>1.2615955473098329E-2</v>
      </c>
      <c r="L255" s="10">
        <v>0</v>
      </c>
      <c r="M255" s="85">
        <v>0</v>
      </c>
      <c r="N255" s="72">
        <v>78</v>
      </c>
      <c r="O255" s="180">
        <f t="shared" si="3"/>
        <v>1.4471243042671615</v>
      </c>
      <c r="P255" s="72">
        <v>95</v>
      </c>
      <c r="Q255" s="73">
        <v>1.7625231910946195E-2</v>
      </c>
      <c r="R255" s="10">
        <v>0</v>
      </c>
      <c r="S255" s="70">
        <v>0</v>
      </c>
      <c r="T255" s="10">
        <v>0</v>
      </c>
      <c r="U255" s="74">
        <v>0</v>
      </c>
      <c r="V255" s="75">
        <v>3.209647495361781E-2</v>
      </c>
      <c r="W255" s="168" t="s">
        <v>2104</v>
      </c>
    </row>
    <row r="256" spans="1:23">
      <c r="A256" s="77" t="s">
        <v>1607</v>
      </c>
      <c r="B256" s="10" t="s">
        <v>1530</v>
      </c>
      <c r="C256" s="10" t="s">
        <v>24</v>
      </c>
      <c r="D256" s="10" t="s">
        <v>1531</v>
      </c>
      <c r="E256" s="10" t="s">
        <v>22</v>
      </c>
      <c r="F256" s="10">
        <v>7191</v>
      </c>
      <c r="G256" s="10" t="s">
        <v>1532</v>
      </c>
      <c r="H256" s="5">
        <v>3271</v>
      </c>
      <c r="I256" s="69">
        <v>0.45487414824085665</v>
      </c>
      <c r="J256" s="5">
        <v>946</v>
      </c>
      <c r="K256" s="70">
        <v>0.13155333055207899</v>
      </c>
      <c r="L256" s="5">
        <v>2372</v>
      </c>
      <c r="M256" s="85">
        <v>0.32985676540119596</v>
      </c>
      <c r="N256" s="72">
        <v>58</v>
      </c>
      <c r="O256" s="180">
        <f t="shared" si="3"/>
        <v>0.80656376025587528</v>
      </c>
      <c r="P256" s="72">
        <v>544</v>
      </c>
      <c r="Q256" s="73">
        <v>7.5650118203309691E-2</v>
      </c>
      <c r="R256" s="10">
        <v>0</v>
      </c>
      <c r="S256" s="70">
        <v>0</v>
      </c>
      <c r="T256" s="10">
        <v>0</v>
      </c>
      <c r="U256" s="74">
        <v>0</v>
      </c>
      <c r="V256" s="75">
        <v>8.3715755805868444E-2</v>
      </c>
      <c r="W256" s="168" t="s">
        <v>2104</v>
      </c>
    </row>
    <row r="257" spans="1:23">
      <c r="A257" s="77" t="s">
        <v>1607</v>
      </c>
      <c r="B257" s="10" t="s">
        <v>1575</v>
      </c>
      <c r="C257" s="76" t="s">
        <v>27</v>
      </c>
      <c r="D257" s="10" t="s">
        <v>1550</v>
      </c>
      <c r="E257" s="10" t="s">
        <v>22</v>
      </c>
      <c r="F257" s="10">
        <v>33078</v>
      </c>
      <c r="G257" s="10" t="s">
        <v>1535</v>
      </c>
      <c r="H257" s="5">
        <v>32400</v>
      </c>
      <c r="I257" s="69">
        <v>0.97950299292581167</v>
      </c>
      <c r="J257" s="5">
        <v>0</v>
      </c>
      <c r="K257" s="70">
        <v>0</v>
      </c>
      <c r="L257" s="10">
        <v>0</v>
      </c>
      <c r="M257" s="85">
        <v>0</v>
      </c>
      <c r="N257" s="72">
        <v>0</v>
      </c>
      <c r="O257" s="180">
        <f t="shared" si="3"/>
        <v>0</v>
      </c>
      <c r="P257" s="72">
        <v>678</v>
      </c>
      <c r="Q257" s="73">
        <v>2.0497007074188282E-2</v>
      </c>
      <c r="R257" s="10">
        <v>0</v>
      </c>
      <c r="S257" s="70">
        <v>0</v>
      </c>
      <c r="T257" s="10">
        <v>0</v>
      </c>
      <c r="U257" s="74">
        <v>0</v>
      </c>
      <c r="V257" s="75">
        <v>2.0497007074188282E-2</v>
      </c>
      <c r="W257" s="168" t="s">
        <v>2104</v>
      </c>
    </row>
    <row r="258" spans="1:23">
      <c r="A258" s="77" t="s">
        <v>1607</v>
      </c>
      <c r="B258" s="10" t="s">
        <v>1530</v>
      </c>
      <c r="C258" s="10" t="s">
        <v>24</v>
      </c>
      <c r="D258" s="10" t="s">
        <v>1550</v>
      </c>
      <c r="E258" s="10" t="s">
        <v>22</v>
      </c>
      <c r="F258" s="10">
        <v>3672</v>
      </c>
      <c r="G258" s="10" t="s">
        <v>1544</v>
      </c>
      <c r="H258" s="5">
        <v>3600</v>
      </c>
      <c r="I258" s="69">
        <v>0.98039215686274506</v>
      </c>
      <c r="J258" s="5">
        <v>0</v>
      </c>
      <c r="K258" s="70">
        <v>0</v>
      </c>
      <c r="L258" s="10">
        <v>0</v>
      </c>
      <c r="M258" s="85">
        <v>0</v>
      </c>
      <c r="N258" s="72">
        <v>0</v>
      </c>
      <c r="O258" s="180">
        <f t="shared" si="3"/>
        <v>0</v>
      </c>
      <c r="P258" s="72">
        <v>72</v>
      </c>
      <c r="Q258" s="73">
        <v>1.9607843137254902E-2</v>
      </c>
      <c r="R258" s="10">
        <v>0</v>
      </c>
      <c r="S258" s="70">
        <v>0</v>
      </c>
      <c r="T258" s="10">
        <v>0</v>
      </c>
      <c r="U258" s="74">
        <v>0</v>
      </c>
      <c r="V258" s="75">
        <v>1.9607843137254902E-2</v>
      </c>
      <c r="W258" s="168" t="s">
        <v>2104</v>
      </c>
    </row>
    <row r="259" spans="1:23">
      <c r="A259" s="77" t="s">
        <v>1607</v>
      </c>
      <c r="B259" s="10" t="s">
        <v>1538</v>
      </c>
      <c r="C259" s="10" t="s">
        <v>31</v>
      </c>
      <c r="D259" s="10" t="s">
        <v>1536</v>
      </c>
      <c r="E259" s="10" t="s">
        <v>22</v>
      </c>
      <c r="F259" s="10">
        <v>8385</v>
      </c>
      <c r="G259" s="77" t="s">
        <v>1540</v>
      </c>
      <c r="H259" s="5">
        <v>4510</v>
      </c>
      <c r="I259" s="69">
        <v>0.53786523553965415</v>
      </c>
      <c r="J259" s="5">
        <v>0</v>
      </c>
      <c r="K259" s="70">
        <v>0</v>
      </c>
      <c r="L259" s="5">
        <v>1938</v>
      </c>
      <c r="M259" s="85">
        <v>0.23112701252236137</v>
      </c>
      <c r="N259" s="72">
        <v>806</v>
      </c>
      <c r="O259" s="180">
        <f t="shared" ref="O259:O322" si="4">N259/F259*100</f>
        <v>9.6124031007751931</v>
      </c>
      <c r="P259" s="72">
        <v>862</v>
      </c>
      <c r="Q259" s="73">
        <v>0.10280262373285629</v>
      </c>
      <c r="R259" s="5">
        <v>269</v>
      </c>
      <c r="S259" s="70">
        <v>3.2081097197376264E-2</v>
      </c>
      <c r="T259" s="10">
        <v>0</v>
      </c>
      <c r="U259" s="74">
        <v>0</v>
      </c>
      <c r="V259" s="75">
        <v>0.23100775193798448</v>
      </c>
      <c r="W259" s="168" t="s">
        <v>1195</v>
      </c>
    </row>
    <row r="260" spans="1:23">
      <c r="A260" s="77" t="s">
        <v>1608</v>
      </c>
      <c r="B260" s="10" t="s">
        <v>1530</v>
      </c>
      <c r="C260" s="10" t="s">
        <v>24</v>
      </c>
      <c r="D260" s="10" t="s">
        <v>1536</v>
      </c>
      <c r="E260" s="10" t="s">
        <v>22</v>
      </c>
      <c r="F260" s="10">
        <v>3443</v>
      </c>
      <c r="G260" s="10" t="s">
        <v>1532</v>
      </c>
      <c r="H260" s="5">
        <v>3039</v>
      </c>
      <c r="I260" s="69">
        <v>0.88266047051989549</v>
      </c>
      <c r="J260" s="5">
        <v>121</v>
      </c>
      <c r="K260" s="70">
        <v>3.5143769968051117E-2</v>
      </c>
      <c r="L260" s="10">
        <v>40</v>
      </c>
      <c r="M260" s="85">
        <v>1.1617775196049956E-2</v>
      </c>
      <c r="N260" s="72">
        <v>112</v>
      </c>
      <c r="O260" s="180">
        <f t="shared" si="4"/>
        <v>3.252977054893988</v>
      </c>
      <c r="P260" s="72">
        <v>131</v>
      </c>
      <c r="Q260" s="73">
        <v>3.8048213767063604E-2</v>
      </c>
      <c r="R260" s="10">
        <v>0</v>
      </c>
      <c r="S260" s="70">
        <v>0</v>
      </c>
      <c r="T260" s="10">
        <v>0</v>
      </c>
      <c r="U260" s="74">
        <v>0</v>
      </c>
      <c r="V260" s="75">
        <v>7.0577984316003484E-2</v>
      </c>
      <c r="W260" s="168" t="s">
        <v>2104</v>
      </c>
    </row>
    <row r="261" spans="1:23">
      <c r="A261" s="77" t="s">
        <v>1608</v>
      </c>
      <c r="B261" s="10" t="s">
        <v>1530</v>
      </c>
      <c r="C261" s="10" t="s">
        <v>24</v>
      </c>
      <c r="D261" s="10" t="s">
        <v>1534</v>
      </c>
      <c r="E261" s="10" t="s">
        <v>22</v>
      </c>
      <c r="F261" s="10">
        <v>3886</v>
      </c>
      <c r="G261" s="10" t="s">
        <v>1544</v>
      </c>
      <c r="H261" s="5">
        <v>3260</v>
      </c>
      <c r="I261" s="69">
        <v>0.83890890375707672</v>
      </c>
      <c r="J261" s="5">
        <v>45</v>
      </c>
      <c r="K261" s="70">
        <v>1.1580030880082347E-2</v>
      </c>
      <c r="L261" s="5">
        <v>97</v>
      </c>
      <c r="M261" s="85">
        <v>2.4961399897066392E-2</v>
      </c>
      <c r="N261" s="72">
        <v>123</v>
      </c>
      <c r="O261" s="180">
        <f t="shared" si="4"/>
        <v>3.1652084405558418</v>
      </c>
      <c r="P261" s="72">
        <v>257</v>
      </c>
      <c r="Q261" s="73">
        <v>6.6134843026248072E-2</v>
      </c>
      <c r="R261" s="10">
        <v>22</v>
      </c>
      <c r="S261" s="70">
        <v>5.6613484302624811E-3</v>
      </c>
      <c r="T261" s="10">
        <v>82</v>
      </c>
      <c r="U261" s="74">
        <v>2.1101389603705611E-2</v>
      </c>
      <c r="V261" s="75">
        <v>0.12454966546577458</v>
      </c>
      <c r="W261" s="168" t="s">
        <v>2104</v>
      </c>
    </row>
    <row r="262" spans="1:23">
      <c r="A262" s="77" t="s">
        <v>1608</v>
      </c>
      <c r="B262" s="10" t="s">
        <v>1530</v>
      </c>
      <c r="C262" s="10" t="s">
        <v>24</v>
      </c>
      <c r="D262" s="10" t="s">
        <v>1531</v>
      </c>
      <c r="E262" s="10" t="s">
        <v>22</v>
      </c>
      <c r="F262" s="10">
        <v>6899</v>
      </c>
      <c r="G262" s="10" t="s">
        <v>1532</v>
      </c>
      <c r="H262" s="5">
        <v>2888</v>
      </c>
      <c r="I262" s="69">
        <v>0.41861139295550082</v>
      </c>
      <c r="J262" s="5">
        <v>1110</v>
      </c>
      <c r="K262" s="70">
        <v>0.16089288302652557</v>
      </c>
      <c r="L262" s="5">
        <v>2448</v>
      </c>
      <c r="M262" s="85">
        <v>0.35483403391795915</v>
      </c>
      <c r="N262" s="72">
        <v>58</v>
      </c>
      <c r="O262" s="180">
        <f t="shared" si="4"/>
        <v>0.8407015509494129</v>
      </c>
      <c r="P262" s="72">
        <v>395</v>
      </c>
      <c r="Q262" s="73">
        <v>5.7254674590520367E-2</v>
      </c>
      <c r="R262" s="10">
        <v>0</v>
      </c>
      <c r="S262" s="70">
        <v>0</v>
      </c>
      <c r="T262" s="10">
        <v>0</v>
      </c>
      <c r="U262" s="74">
        <v>0</v>
      </c>
      <c r="V262" s="75">
        <v>6.5661690100014491E-2</v>
      </c>
      <c r="W262" s="168" t="s">
        <v>2104</v>
      </c>
    </row>
    <row r="263" spans="1:23">
      <c r="A263" s="77" t="s">
        <v>1608</v>
      </c>
      <c r="B263" s="10" t="s">
        <v>1575</v>
      </c>
      <c r="C263" s="76" t="s">
        <v>29</v>
      </c>
      <c r="D263" s="10" t="s">
        <v>1550</v>
      </c>
      <c r="E263" s="10" t="s">
        <v>22</v>
      </c>
      <c r="F263" s="10">
        <v>6426</v>
      </c>
      <c r="G263" s="10" t="s">
        <v>1545</v>
      </c>
      <c r="H263" s="5">
        <v>6300</v>
      </c>
      <c r="I263" s="69">
        <v>0.98039215686274506</v>
      </c>
      <c r="J263" s="5">
        <v>0</v>
      </c>
      <c r="K263" s="70">
        <v>0</v>
      </c>
      <c r="L263" s="5">
        <v>0</v>
      </c>
      <c r="M263" s="85">
        <v>0</v>
      </c>
      <c r="N263" s="72">
        <v>0</v>
      </c>
      <c r="O263" s="180">
        <f t="shared" si="4"/>
        <v>0</v>
      </c>
      <c r="P263" s="72">
        <v>126</v>
      </c>
      <c r="Q263" s="73">
        <v>1.9607843137254902E-2</v>
      </c>
      <c r="R263" s="10">
        <v>0</v>
      </c>
      <c r="S263" s="70">
        <v>0</v>
      </c>
      <c r="T263" s="10">
        <v>0</v>
      </c>
      <c r="U263" s="74">
        <v>0</v>
      </c>
      <c r="V263" s="75">
        <v>1.9607843137254902E-2</v>
      </c>
      <c r="W263" s="168" t="s">
        <v>2104</v>
      </c>
    </row>
    <row r="264" spans="1:23">
      <c r="A264" s="77" t="s">
        <v>1608</v>
      </c>
      <c r="B264" s="10" t="s">
        <v>1575</v>
      </c>
      <c r="C264" s="76" t="s">
        <v>27</v>
      </c>
      <c r="D264" s="10" t="s">
        <v>1550</v>
      </c>
      <c r="E264" s="10" t="s">
        <v>22</v>
      </c>
      <c r="F264" s="10">
        <v>7344</v>
      </c>
      <c r="G264" s="10" t="s">
        <v>1535</v>
      </c>
      <c r="H264" s="5">
        <v>7200</v>
      </c>
      <c r="I264" s="69">
        <v>0.98039215686274506</v>
      </c>
      <c r="J264" s="5">
        <v>0</v>
      </c>
      <c r="K264" s="70">
        <v>0</v>
      </c>
      <c r="L264" s="5">
        <v>0</v>
      </c>
      <c r="M264" s="85">
        <v>0</v>
      </c>
      <c r="N264" s="72">
        <v>0</v>
      </c>
      <c r="O264" s="180">
        <f t="shared" si="4"/>
        <v>0</v>
      </c>
      <c r="P264" s="72">
        <v>144</v>
      </c>
      <c r="Q264" s="73">
        <v>1.9607843137254902E-2</v>
      </c>
      <c r="R264" s="10">
        <v>0</v>
      </c>
      <c r="S264" s="70">
        <v>0</v>
      </c>
      <c r="T264" s="10">
        <v>0</v>
      </c>
      <c r="U264" s="74">
        <v>0</v>
      </c>
      <c r="V264" s="75">
        <v>1.9607843137254902E-2</v>
      </c>
      <c r="W264" s="168" t="s">
        <v>2104</v>
      </c>
    </row>
    <row r="265" spans="1:23">
      <c r="A265" s="77" t="s">
        <v>1608</v>
      </c>
      <c r="B265" s="10" t="s">
        <v>1538</v>
      </c>
      <c r="C265" s="10" t="s">
        <v>31</v>
      </c>
      <c r="D265" s="10" t="s">
        <v>1536</v>
      </c>
      <c r="E265" s="10" t="s">
        <v>22</v>
      </c>
      <c r="F265" s="10">
        <v>6745</v>
      </c>
      <c r="G265" s="77" t="s">
        <v>1540</v>
      </c>
      <c r="H265" s="5">
        <v>3214</v>
      </c>
      <c r="I265" s="69">
        <v>0.47650111193476652</v>
      </c>
      <c r="J265" s="5">
        <v>0</v>
      </c>
      <c r="K265" s="70">
        <v>0</v>
      </c>
      <c r="L265" s="5">
        <v>1922</v>
      </c>
      <c r="M265" s="85">
        <v>0.28495181616011861</v>
      </c>
      <c r="N265" s="72">
        <v>889</v>
      </c>
      <c r="O265" s="180">
        <f t="shared" si="4"/>
        <v>13.180133432171978</v>
      </c>
      <c r="P265" s="72">
        <v>598</v>
      </c>
      <c r="Q265" s="73">
        <v>8.8658265381764273E-2</v>
      </c>
      <c r="R265" s="10">
        <v>0</v>
      </c>
      <c r="S265" s="70">
        <v>0</v>
      </c>
      <c r="T265" s="5">
        <v>122</v>
      </c>
      <c r="U265" s="74">
        <v>1.8087472201630837E-2</v>
      </c>
      <c r="V265" s="75">
        <v>0.2385470719051149</v>
      </c>
      <c r="W265" s="168" t="s">
        <v>1195</v>
      </c>
    </row>
    <row r="266" spans="1:23">
      <c r="A266" s="77" t="s">
        <v>1608</v>
      </c>
      <c r="B266" s="10" t="s">
        <v>1538</v>
      </c>
      <c r="C266" s="68" t="s">
        <v>1533</v>
      </c>
      <c r="D266" s="10" t="s">
        <v>1536</v>
      </c>
      <c r="E266" s="10" t="s">
        <v>1552</v>
      </c>
      <c r="F266" s="10">
        <v>3040</v>
      </c>
      <c r="G266" s="10" t="s">
        <v>1533</v>
      </c>
      <c r="H266" s="5">
        <v>2521</v>
      </c>
      <c r="I266" s="69">
        <v>0.82927631578947369</v>
      </c>
      <c r="J266" s="5">
        <v>0</v>
      </c>
      <c r="K266" s="70">
        <v>0</v>
      </c>
      <c r="L266" s="5">
        <v>0</v>
      </c>
      <c r="M266" s="85">
        <v>0</v>
      </c>
      <c r="N266" s="72">
        <v>320</v>
      </c>
      <c r="O266" s="180">
        <f t="shared" si="4"/>
        <v>10.526315789473683</v>
      </c>
      <c r="P266" s="72">
        <v>199</v>
      </c>
      <c r="Q266" s="73">
        <v>6.5460526315789469E-2</v>
      </c>
      <c r="R266" s="10">
        <v>0</v>
      </c>
      <c r="S266" s="70">
        <v>0</v>
      </c>
      <c r="T266" s="10">
        <v>0</v>
      </c>
      <c r="U266" s="74">
        <v>0</v>
      </c>
      <c r="V266" s="75">
        <v>0.17072368421052631</v>
      </c>
      <c r="W266" s="168" t="s">
        <v>1195</v>
      </c>
    </row>
    <row r="267" spans="1:23">
      <c r="A267" s="77" t="s">
        <v>913</v>
      </c>
      <c r="B267" s="10" t="s">
        <v>1530</v>
      </c>
      <c r="C267" s="10" t="s">
        <v>24</v>
      </c>
      <c r="D267" s="10" t="s">
        <v>1534</v>
      </c>
      <c r="E267" s="10" t="s">
        <v>22</v>
      </c>
      <c r="F267" s="10">
        <v>3978</v>
      </c>
      <c r="G267" s="10" t="s">
        <v>1544</v>
      </c>
      <c r="H267" s="5">
        <v>3400</v>
      </c>
      <c r="I267" s="69">
        <v>0.85470085470085466</v>
      </c>
      <c r="J267" s="5">
        <v>5</v>
      </c>
      <c r="K267" s="70">
        <v>1.2569130216189041E-3</v>
      </c>
      <c r="L267" s="5">
        <v>126</v>
      </c>
      <c r="M267" s="85">
        <v>3.1674208144796379E-2</v>
      </c>
      <c r="N267" s="72">
        <v>92</v>
      </c>
      <c r="O267" s="180">
        <f t="shared" si="4"/>
        <v>2.3127199597787835</v>
      </c>
      <c r="P267" s="72">
        <v>325</v>
      </c>
      <c r="Q267" s="73">
        <v>8.1699346405228759E-2</v>
      </c>
      <c r="R267" s="10">
        <v>0</v>
      </c>
      <c r="S267" s="70">
        <v>0</v>
      </c>
      <c r="T267" s="10">
        <v>30</v>
      </c>
      <c r="U267" s="74">
        <v>7.5414781297134239E-3</v>
      </c>
      <c r="V267" s="75">
        <v>0.11236802413273002</v>
      </c>
      <c r="W267" s="168" t="s">
        <v>2104</v>
      </c>
    </row>
    <row r="268" spans="1:23">
      <c r="A268" s="77" t="s">
        <v>913</v>
      </c>
      <c r="B268" s="10" t="s">
        <v>1530</v>
      </c>
      <c r="C268" s="10" t="s">
        <v>24</v>
      </c>
      <c r="D268" s="10" t="s">
        <v>1531</v>
      </c>
      <c r="E268" s="10" t="s">
        <v>22</v>
      </c>
      <c r="F268" s="10">
        <v>7191</v>
      </c>
      <c r="G268" s="10" t="s">
        <v>1532</v>
      </c>
      <c r="H268" s="5">
        <v>3117</v>
      </c>
      <c r="I268" s="69">
        <v>0.43345848977889029</v>
      </c>
      <c r="J268" s="5">
        <v>686</v>
      </c>
      <c r="K268" s="70">
        <v>9.5397024057850097E-2</v>
      </c>
      <c r="L268" s="5">
        <v>2980</v>
      </c>
      <c r="M268" s="85">
        <v>0.41440689751077736</v>
      </c>
      <c r="N268" s="72">
        <v>58</v>
      </c>
      <c r="O268" s="180">
        <f t="shared" si="4"/>
        <v>0.80656376025587528</v>
      </c>
      <c r="P268" s="72">
        <v>350</v>
      </c>
      <c r="Q268" s="73">
        <v>4.8671951049923515E-2</v>
      </c>
      <c r="R268" s="10">
        <v>0</v>
      </c>
      <c r="S268" s="70">
        <v>0</v>
      </c>
      <c r="T268" s="10">
        <v>0</v>
      </c>
      <c r="U268" s="74">
        <v>0</v>
      </c>
      <c r="V268" s="75">
        <v>5.6737588652482268E-2</v>
      </c>
      <c r="W268" s="168" t="s">
        <v>2104</v>
      </c>
    </row>
    <row r="269" spans="1:23">
      <c r="A269" s="77" t="s">
        <v>913</v>
      </c>
      <c r="B269" s="10" t="s">
        <v>1530</v>
      </c>
      <c r="C269" s="10" t="s">
        <v>31</v>
      </c>
      <c r="D269" s="10" t="s">
        <v>1536</v>
      </c>
      <c r="E269" s="10" t="s">
        <v>22</v>
      </c>
      <c r="F269" s="10">
        <v>4131</v>
      </c>
      <c r="G269" s="10" t="s">
        <v>1537</v>
      </c>
      <c r="H269" s="5">
        <v>1663</v>
      </c>
      <c r="I269" s="69">
        <v>0.40256596465746791</v>
      </c>
      <c r="J269" s="5">
        <v>1148</v>
      </c>
      <c r="K269" s="70">
        <v>0.27789881384652626</v>
      </c>
      <c r="L269" s="5">
        <v>360</v>
      </c>
      <c r="M269" s="85">
        <v>8.714596949891068E-2</v>
      </c>
      <c r="N269" s="72">
        <v>398</v>
      </c>
      <c r="O269" s="180">
        <f t="shared" si="4"/>
        <v>9.6344710723795686</v>
      </c>
      <c r="P269" s="72">
        <v>229</v>
      </c>
      <c r="Q269" s="73">
        <v>5.5434519486807068E-2</v>
      </c>
      <c r="R269" s="5">
        <v>333</v>
      </c>
      <c r="S269" s="70">
        <v>8.0610021786492375E-2</v>
      </c>
      <c r="T269" s="10">
        <v>0</v>
      </c>
      <c r="U269" s="74">
        <v>0</v>
      </c>
      <c r="V269" s="75">
        <v>0.23238925199709512</v>
      </c>
      <c r="W269" s="168" t="s">
        <v>2107</v>
      </c>
    </row>
    <row r="270" spans="1:23">
      <c r="A270" s="77" t="s">
        <v>913</v>
      </c>
      <c r="B270" s="10" t="s">
        <v>1575</v>
      </c>
      <c r="C270" s="76" t="s">
        <v>27</v>
      </c>
      <c r="D270" s="10" t="s">
        <v>1550</v>
      </c>
      <c r="E270" s="10" t="s">
        <v>22</v>
      </c>
      <c r="F270" s="10">
        <v>13770</v>
      </c>
      <c r="G270" s="10" t="s">
        <v>1535</v>
      </c>
      <c r="H270" s="5">
        <v>13500</v>
      </c>
      <c r="I270" s="69">
        <v>0.98039215686274506</v>
      </c>
      <c r="J270" s="5">
        <v>0</v>
      </c>
      <c r="K270" s="70">
        <v>0</v>
      </c>
      <c r="L270" s="5">
        <v>0</v>
      </c>
      <c r="M270" s="85">
        <v>0</v>
      </c>
      <c r="N270" s="72">
        <v>0</v>
      </c>
      <c r="O270" s="180">
        <f t="shared" si="4"/>
        <v>0</v>
      </c>
      <c r="P270" s="72">
        <v>270</v>
      </c>
      <c r="Q270" s="73">
        <v>1.9607843137254902E-2</v>
      </c>
      <c r="R270" s="10">
        <v>0</v>
      </c>
      <c r="S270" s="70">
        <v>0</v>
      </c>
      <c r="T270" s="10">
        <v>0</v>
      </c>
      <c r="U270" s="74">
        <v>0</v>
      </c>
      <c r="V270" s="75">
        <v>1.9607843137254902E-2</v>
      </c>
      <c r="W270" s="168" t="s">
        <v>2104</v>
      </c>
    </row>
    <row r="271" spans="1:23">
      <c r="A271" s="77" t="s">
        <v>913</v>
      </c>
      <c r="B271" s="10" t="s">
        <v>1575</v>
      </c>
      <c r="C271" s="76" t="s">
        <v>29</v>
      </c>
      <c r="D271" s="10" t="s">
        <v>1550</v>
      </c>
      <c r="E271" s="10" t="s">
        <v>22</v>
      </c>
      <c r="F271" s="10">
        <v>2754</v>
      </c>
      <c r="G271" s="10" t="s">
        <v>1551</v>
      </c>
      <c r="H271" s="5">
        <v>2700</v>
      </c>
      <c r="I271" s="69">
        <v>0.98039215686274506</v>
      </c>
      <c r="J271" s="5">
        <v>0</v>
      </c>
      <c r="K271" s="70">
        <v>0</v>
      </c>
      <c r="L271" s="5">
        <v>0</v>
      </c>
      <c r="M271" s="85">
        <v>0</v>
      </c>
      <c r="N271" s="72">
        <v>0</v>
      </c>
      <c r="O271" s="180">
        <f t="shared" si="4"/>
        <v>0</v>
      </c>
      <c r="P271" s="72">
        <v>54</v>
      </c>
      <c r="Q271" s="73">
        <v>1.9607843137254902E-2</v>
      </c>
      <c r="R271" s="10">
        <v>0</v>
      </c>
      <c r="S271" s="70">
        <v>0</v>
      </c>
      <c r="T271" s="10">
        <v>0</v>
      </c>
      <c r="U271" s="74">
        <v>0</v>
      </c>
      <c r="V271" s="75">
        <v>1.9607843137254902E-2</v>
      </c>
      <c r="W271" s="168" t="s">
        <v>2104</v>
      </c>
    </row>
    <row r="272" spans="1:23">
      <c r="A272" s="77" t="s">
        <v>913</v>
      </c>
      <c r="B272" s="10" t="s">
        <v>1538</v>
      </c>
      <c r="C272" s="10" t="s">
        <v>31</v>
      </c>
      <c r="D272" s="10" t="s">
        <v>1536</v>
      </c>
      <c r="E272" s="10" t="s">
        <v>22</v>
      </c>
      <c r="F272" s="10">
        <v>7010</v>
      </c>
      <c r="G272" s="77" t="s">
        <v>1540</v>
      </c>
      <c r="H272" s="5">
        <v>4408</v>
      </c>
      <c r="I272" s="69">
        <v>0.62881597717546367</v>
      </c>
      <c r="J272" s="5">
        <v>0</v>
      </c>
      <c r="K272" s="70">
        <v>0</v>
      </c>
      <c r="L272" s="5">
        <v>1079</v>
      </c>
      <c r="M272" s="85">
        <v>0.15392296718972895</v>
      </c>
      <c r="N272" s="72">
        <v>450</v>
      </c>
      <c r="O272" s="180">
        <f t="shared" si="4"/>
        <v>6.4194008559201139</v>
      </c>
      <c r="P272" s="72">
        <v>628</v>
      </c>
      <c r="Q272" s="73">
        <v>8.958630527817403E-2</v>
      </c>
      <c r="R272" s="5">
        <v>332</v>
      </c>
      <c r="S272" s="70">
        <v>4.7360912981455061E-2</v>
      </c>
      <c r="T272" s="5">
        <v>113</v>
      </c>
      <c r="U272" s="74">
        <v>1.6119828815977174E-2</v>
      </c>
      <c r="V272" s="75">
        <v>0.21726105563480741</v>
      </c>
      <c r="W272" s="168" t="s">
        <v>1195</v>
      </c>
    </row>
    <row r="273" spans="1:23">
      <c r="A273" s="77" t="s">
        <v>917</v>
      </c>
      <c r="B273" s="10" t="s">
        <v>1575</v>
      </c>
      <c r="C273" s="76" t="s">
        <v>27</v>
      </c>
      <c r="D273" s="10" t="s">
        <v>1550</v>
      </c>
      <c r="E273" s="10" t="s">
        <v>22</v>
      </c>
      <c r="F273" s="10">
        <v>1836</v>
      </c>
      <c r="G273" s="10" t="s">
        <v>1535</v>
      </c>
      <c r="H273" s="5">
        <v>1800</v>
      </c>
      <c r="I273" s="69">
        <v>0.98039215686274506</v>
      </c>
      <c r="J273" s="10">
        <v>0</v>
      </c>
      <c r="K273" s="70">
        <v>0</v>
      </c>
      <c r="L273" s="5">
        <v>0</v>
      </c>
      <c r="M273" s="85">
        <v>0</v>
      </c>
      <c r="N273" s="72">
        <v>0</v>
      </c>
      <c r="O273" s="180">
        <f t="shared" si="4"/>
        <v>0</v>
      </c>
      <c r="P273" s="72">
        <v>36</v>
      </c>
      <c r="Q273" s="73">
        <v>1.9607843137254902E-2</v>
      </c>
      <c r="R273" s="10">
        <v>0</v>
      </c>
      <c r="S273" s="70">
        <v>0</v>
      </c>
      <c r="T273" s="10">
        <v>0</v>
      </c>
      <c r="U273" s="74">
        <v>0</v>
      </c>
      <c r="V273" s="75">
        <v>1.9607843137254902E-2</v>
      </c>
      <c r="W273" s="168" t="s">
        <v>2104</v>
      </c>
    </row>
    <row r="274" spans="1:23">
      <c r="A274" s="77" t="s">
        <v>917</v>
      </c>
      <c r="B274" s="10" t="s">
        <v>1575</v>
      </c>
      <c r="C274" s="76" t="s">
        <v>29</v>
      </c>
      <c r="D274" s="10" t="s">
        <v>1550</v>
      </c>
      <c r="E274" s="10" t="s">
        <v>22</v>
      </c>
      <c r="F274" s="10">
        <v>2571</v>
      </c>
      <c r="G274" s="10" t="s">
        <v>1551</v>
      </c>
      <c r="H274" s="5">
        <v>2520</v>
      </c>
      <c r="I274" s="69">
        <v>0.98016336056009334</v>
      </c>
      <c r="J274" s="10">
        <v>0</v>
      </c>
      <c r="K274" s="70">
        <v>0</v>
      </c>
      <c r="L274" s="5">
        <v>0</v>
      </c>
      <c r="M274" s="85">
        <v>0</v>
      </c>
      <c r="N274" s="72">
        <v>0</v>
      </c>
      <c r="O274" s="180">
        <f t="shared" si="4"/>
        <v>0</v>
      </c>
      <c r="P274" s="72">
        <v>51</v>
      </c>
      <c r="Q274" s="73">
        <v>1.9836639439906652E-2</v>
      </c>
      <c r="R274" s="10">
        <v>0</v>
      </c>
      <c r="S274" s="70">
        <v>0</v>
      </c>
      <c r="T274" s="10">
        <v>0</v>
      </c>
      <c r="U274" s="74">
        <v>0</v>
      </c>
      <c r="V274" s="75">
        <v>1.9836639439906652E-2</v>
      </c>
      <c r="W274" s="168" t="s">
        <v>2104</v>
      </c>
    </row>
    <row r="275" spans="1:23">
      <c r="A275" s="77" t="s">
        <v>917</v>
      </c>
      <c r="B275" s="10" t="s">
        <v>1530</v>
      </c>
      <c r="C275" s="10" t="s">
        <v>24</v>
      </c>
      <c r="D275" s="10" t="s">
        <v>1536</v>
      </c>
      <c r="E275" s="10" t="s">
        <v>22</v>
      </c>
      <c r="F275" s="10">
        <v>2340</v>
      </c>
      <c r="G275" s="10" t="s">
        <v>1532</v>
      </c>
      <c r="H275" s="5">
        <v>2037</v>
      </c>
      <c r="I275" s="69">
        <v>0.87051282051282053</v>
      </c>
      <c r="J275" s="10">
        <v>45</v>
      </c>
      <c r="K275" s="70">
        <v>1.9230769230769232E-2</v>
      </c>
      <c r="L275" s="5">
        <v>38</v>
      </c>
      <c r="M275" s="85">
        <v>1.6239316239316241E-2</v>
      </c>
      <c r="N275" s="72">
        <v>87</v>
      </c>
      <c r="O275" s="180">
        <f t="shared" si="4"/>
        <v>3.7179487179487181</v>
      </c>
      <c r="P275" s="72">
        <v>133</v>
      </c>
      <c r="Q275" s="73">
        <v>5.6837606837606837E-2</v>
      </c>
      <c r="R275" s="10">
        <v>0</v>
      </c>
      <c r="S275" s="70">
        <v>0</v>
      </c>
      <c r="T275" s="10">
        <v>0</v>
      </c>
      <c r="U275" s="74">
        <v>0</v>
      </c>
      <c r="V275" s="75">
        <v>9.4017094017094016E-2</v>
      </c>
      <c r="W275" s="168" t="s">
        <v>2104</v>
      </c>
    </row>
    <row r="276" spans="1:23">
      <c r="A276" s="77" t="s">
        <v>917</v>
      </c>
      <c r="B276" s="10" t="s">
        <v>1530</v>
      </c>
      <c r="C276" s="10" t="s">
        <v>24</v>
      </c>
      <c r="D276" s="10" t="s">
        <v>1534</v>
      </c>
      <c r="E276" s="10" t="s">
        <v>22</v>
      </c>
      <c r="F276" s="10">
        <v>2448</v>
      </c>
      <c r="G276" s="10" t="s">
        <v>1544</v>
      </c>
      <c r="H276" s="5">
        <v>2156</v>
      </c>
      <c r="I276" s="69">
        <v>0.88071895424836599</v>
      </c>
      <c r="J276" s="10">
        <v>36</v>
      </c>
      <c r="K276" s="70">
        <v>1.4705882352941176E-2</v>
      </c>
      <c r="L276" s="5">
        <v>94</v>
      </c>
      <c r="M276" s="85">
        <v>3.8398692810457519E-2</v>
      </c>
      <c r="N276" s="72">
        <v>58</v>
      </c>
      <c r="O276" s="180">
        <f t="shared" si="4"/>
        <v>2.369281045751634</v>
      </c>
      <c r="P276" s="72">
        <v>78</v>
      </c>
      <c r="Q276" s="73">
        <v>3.1862745098039214E-2</v>
      </c>
      <c r="R276" s="10">
        <v>0</v>
      </c>
      <c r="S276" s="70">
        <v>0</v>
      </c>
      <c r="T276" s="10">
        <v>26</v>
      </c>
      <c r="U276" s="74">
        <v>1.0620915032679739E-2</v>
      </c>
      <c r="V276" s="75">
        <v>6.6176470588235295E-2</v>
      </c>
      <c r="W276" s="168" t="s">
        <v>2104</v>
      </c>
    </row>
    <row r="277" spans="1:23">
      <c r="A277" s="77" t="s">
        <v>917</v>
      </c>
      <c r="B277" s="10" t="s">
        <v>1538</v>
      </c>
      <c r="C277" s="10" t="s">
        <v>31</v>
      </c>
      <c r="D277" s="10" t="s">
        <v>1536</v>
      </c>
      <c r="E277" s="10" t="s">
        <v>22</v>
      </c>
      <c r="F277" s="10">
        <v>7635</v>
      </c>
      <c r="G277" s="77" t="s">
        <v>1540</v>
      </c>
      <c r="H277" s="5">
        <v>3075</v>
      </c>
      <c r="I277" s="69">
        <v>0.40275049115913558</v>
      </c>
      <c r="J277" s="10">
        <v>0</v>
      </c>
      <c r="K277" s="70">
        <v>0</v>
      </c>
      <c r="L277" s="5">
        <v>1003</v>
      </c>
      <c r="M277" s="85">
        <v>0.13136869679109364</v>
      </c>
      <c r="N277" s="72">
        <v>900</v>
      </c>
      <c r="O277" s="180">
        <f t="shared" si="4"/>
        <v>11.787819253438114</v>
      </c>
      <c r="P277" s="72">
        <v>854</v>
      </c>
      <c r="Q277" s="73">
        <v>0.11185330713817944</v>
      </c>
      <c r="R277" s="5">
        <v>1745</v>
      </c>
      <c r="S277" s="70">
        <v>0.22855271774721678</v>
      </c>
      <c r="T277" s="10">
        <v>58</v>
      </c>
      <c r="U277" s="74">
        <v>7.5965946299934514E-3</v>
      </c>
      <c r="V277" s="75">
        <v>0.46588081204977078</v>
      </c>
      <c r="W277" s="168" t="s">
        <v>1195</v>
      </c>
    </row>
    <row r="278" spans="1:23">
      <c r="A278" s="77" t="s">
        <v>1609</v>
      </c>
      <c r="B278" s="10" t="s">
        <v>1530</v>
      </c>
      <c r="C278" s="10" t="s">
        <v>24</v>
      </c>
      <c r="D278" s="10" t="s">
        <v>1534</v>
      </c>
      <c r="E278" s="10" t="s">
        <v>22</v>
      </c>
      <c r="F278" s="10">
        <v>612</v>
      </c>
      <c r="G278" s="10" t="s">
        <v>1544</v>
      </c>
      <c r="H278" s="5">
        <v>540</v>
      </c>
      <c r="I278" s="69">
        <v>0.88235294117647056</v>
      </c>
      <c r="J278" s="10">
        <v>0</v>
      </c>
      <c r="K278" s="70">
        <v>0</v>
      </c>
      <c r="L278" s="10">
        <v>20</v>
      </c>
      <c r="M278" s="85">
        <v>3.2679738562091505E-2</v>
      </c>
      <c r="N278" s="72">
        <v>25</v>
      </c>
      <c r="O278" s="180">
        <f t="shared" si="4"/>
        <v>4.0849673202614376</v>
      </c>
      <c r="P278" s="72">
        <v>27</v>
      </c>
      <c r="Q278" s="73">
        <v>4.4117647058823532E-2</v>
      </c>
      <c r="R278" s="10">
        <v>0</v>
      </c>
      <c r="S278" s="70">
        <v>0</v>
      </c>
      <c r="T278" s="10">
        <v>0</v>
      </c>
      <c r="U278" s="74">
        <v>0</v>
      </c>
      <c r="V278" s="75">
        <v>8.4967320261437912E-2</v>
      </c>
      <c r="W278" s="168" t="s">
        <v>2104</v>
      </c>
    </row>
    <row r="279" spans="1:23">
      <c r="A279" s="77" t="s">
        <v>1609</v>
      </c>
      <c r="B279" s="10" t="s">
        <v>1530</v>
      </c>
      <c r="C279" s="76" t="s">
        <v>27</v>
      </c>
      <c r="D279" s="10" t="s">
        <v>1534</v>
      </c>
      <c r="E279" s="10" t="s">
        <v>22</v>
      </c>
      <c r="F279" s="10">
        <v>7497</v>
      </c>
      <c r="G279" s="10" t="s">
        <v>1535</v>
      </c>
      <c r="H279" s="5">
        <v>5152</v>
      </c>
      <c r="I279" s="69">
        <v>0.68720821661998133</v>
      </c>
      <c r="J279" s="5">
        <v>168</v>
      </c>
      <c r="K279" s="70">
        <v>2.2408963585434174E-2</v>
      </c>
      <c r="L279" s="5">
        <v>1699</v>
      </c>
      <c r="M279" s="85">
        <v>0.22662398292650393</v>
      </c>
      <c r="N279" s="72">
        <v>217</v>
      </c>
      <c r="O279" s="180">
        <f t="shared" si="4"/>
        <v>2.8944911297852474</v>
      </c>
      <c r="P279" s="72">
        <v>81</v>
      </c>
      <c r="Q279" s="73">
        <v>1.0804321728691477E-2</v>
      </c>
      <c r="R279" s="10">
        <v>122</v>
      </c>
      <c r="S279" s="70">
        <v>1.6273175937041483E-2</v>
      </c>
      <c r="T279" s="10">
        <v>58</v>
      </c>
      <c r="U279" s="74">
        <v>7.7364279044951313E-3</v>
      </c>
      <c r="V279" s="75">
        <v>6.3758836868080579E-2</v>
      </c>
      <c r="W279" s="168" t="s">
        <v>2107</v>
      </c>
    </row>
    <row r="280" spans="1:23">
      <c r="A280" s="77" t="s">
        <v>1609</v>
      </c>
      <c r="B280" s="10" t="s">
        <v>1530</v>
      </c>
      <c r="C280" s="10" t="s">
        <v>31</v>
      </c>
      <c r="D280" s="10" t="s">
        <v>1536</v>
      </c>
      <c r="E280" s="10" t="s">
        <v>22</v>
      </c>
      <c r="F280" s="10">
        <v>5150</v>
      </c>
      <c r="G280" s="10" t="s">
        <v>1537</v>
      </c>
      <c r="H280" s="5">
        <v>2012</v>
      </c>
      <c r="I280" s="69">
        <v>0.39067961165048543</v>
      </c>
      <c r="J280" s="5">
        <v>1502</v>
      </c>
      <c r="K280" s="70">
        <v>0.2916504854368932</v>
      </c>
      <c r="L280" s="5">
        <v>411</v>
      </c>
      <c r="M280" s="85">
        <v>7.9805825242718453E-2</v>
      </c>
      <c r="N280" s="72">
        <v>342</v>
      </c>
      <c r="O280" s="180">
        <f t="shared" si="4"/>
        <v>6.6407766990291259</v>
      </c>
      <c r="P280" s="72">
        <v>394</v>
      </c>
      <c r="Q280" s="73">
        <v>7.6504854368932035E-2</v>
      </c>
      <c r="R280" s="5">
        <v>489</v>
      </c>
      <c r="S280" s="70">
        <v>9.4951456310679611E-2</v>
      </c>
      <c r="T280" s="10">
        <v>0</v>
      </c>
      <c r="U280" s="74">
        <v>0</v>
      </c>
      <c r="V280" s="75">
        <v>0.23786407766990289</v>
      </c>
      <c r="W280" s="168" t="s">
        <v>2107</v>
      </c>
    </row>
    <row r="281" spans="1:23">
      <c r="A281" s="77" t="s">
        <v>1609</v>
      </c>
      <c r="B281" s="10" t="s">
        <v>1538</v>
      </c>
      <c r="C281" s="10" t="s">
        <v>31</v>
      </c>
      <c r="D281" s="10" t="s">
        <v>1536</v>
      </c>
      <c r="E281" s="10" t="s">
        <v>22</v>
      </c>
      <c r="F281" s="10">
        <v>8755</v>
      </c>
      <c r="G281" s="77" t="s">
        <v>1540</v>
      </c>
      <c r="H281" s="5">
        <v>4245</v>
      </c>
      <c r="I281" s="69">
        <v>0.48486579097658483</v>
      </c>
      <c r="J281" s="5">
        <v>0</v>
      </c>
      <c r="K281" s="70">
        <v>0</v>
      </c>
      <c r="L281" s="5">
        <v>1682</v>
      </c>
      <c r="M281" s="85">
        <v>0.19211878926327813</v>
      </c>
      <c r="N281" s="72">
        <v>987</v>
      </c>
      <c r="O281" s="180">
        <f t="shared" si="4"/>
        <v>11.273557966876071</v>
      </c>
      <c r="P281" s="72">
        <v>979</v>
      </c>
      <c r="Q281" s="73">
        <v>0.11182181610508281</v>
      </c>
      <c r="R281" s="5">
        <v>622</v>
      </c>
      <c r="S281" s="70">
        <v>7.1045117075956593E-2</v>
      </c>
      <c r="T281" s="5">
        <v>240</v>
      </c>
      <c r="U281" s="74">
        <v>2.7412906910336949E-2</v>
      </c>
      <c r="V281" s="75">
        <v>0.32301541976013703</v>
      </c>
      <c r="W281" s="168" t="s">
        <v>1195</v>
      </c>
    </row>
    <row r="282" spans="1:23">
      <c r="A282" s="77" t="s">
        <v>1610</v>
      </c>
      <c r="B282" s="10" t="s">
        <v>1530</v>
      </c>
      <c r="C282" s="76" t="s">
        <v>27</v>
      </c>
      <c r="D282" s="10" t="s">
        <v>1531</v>
      </c>
      <c r="E282" s="10" t="s">
        <v>22</v>
      </c>
      <c r="F282" s="10">
        <v>12735</v>
      </c>
      <c r="G282" s="10" t="s">
        <v>1535</v>
      </c>
      <c r="H282" s="5">
        <v>6365</v>
      </c>
      <c r="I282" s="69">
        <v>0.49980369061641144</v>
      </c>
      <c r="J282" s="5">
        <v>1015</v>
      </c>
      <c r="K282" s="70">
        <v>7.9701609736945428E-2</v>
      </c>
      <c r="L282" s="5">
        <v>4660</v>
      </c>
      <c r="M282" s="85">
        <v>0.36592069100903024</v>
      </c>
      <c r="N282" s="72">
        <v>260</v>
      </c>
      <c r="O282" s="180">
        <f t="shared" si="4"/>
        <v>2.0416175893207695</v>
      </c>
      <c r="P282" s="72">
        <v>245</v>
      </c>
      <c r="Q282" s="73">
        <v>1.9238319591676482E-2</v>
      </c>
      <c r="R282" s="10">
        <v>0</v>
      </c>
      <c r="S282" s="70">
        <v>0</v>
      </c>
      <c r="T282" s="10">
        <v>190</v>
      </c>
      <c r="U282" s="74">
        <v>1.49195131527287E-2</v>
      </c>
      <c r="V282" s="75">
        <v>5.4574008637612879E-2</v>
      </c>
      <c r="W282" s="168" t="s">
        <v>2107</v>
      </c>
    </row>
    <row r="283" spans="1:23">
      <c r="A283" s="77" t="s">
        <v>1610</v>
      </c>
      <c r="B283" s="10" t="s">
        <v>1530</v>
      </c>
      <c r="C283" s="10" t="s">
        <v>31</v>
      </c>
      <c r="D283" s="10" t="s">
        <v>1536</v>
      </c>
      <c r="E283" s="10" t="s">
        <v>22</v>
      </c>
      <c r="F283" s="10">
        <v>4437</v>
      </c>
      <c r="G283" s="10" t="s">
        <v>1537</v>
      </c>
      <c r="H283" s="5">
        <v>2267</v>
      </c>
      <c r="I283" s="69">
        <v>0.51093080910525135</v>
      </c>
      <c r="J283" s="5">
        <v>614</v>
      </c>
      <c r="K283" s="70">
        <v>0.13838178949740815</v>
      </c>
      <c r="L283" s="5">
        <v>587</v>
      </c>
      <c r="M283" s="85">
        <v>0.1322965967996394</v>
      </c>
      <c r="N283" s="72">
        <v>288</v>
      </c>
      <c r="O283" s="180">
        <f t="shared" si="4"/>
        <v>6.4908722109533468</v>
      </c>
      <c r="P283" s="78">
        <v>56</v>
      </c>
      <c r="Q283" s="73">
        <v>1.2621140410187063E-2</v>
      </c>
      <c r="R283" s="5">
        <v>289</v>
      </c>
      <c r="S283" s="70">
        <v>6.5134099616858232E-2</v>
      </c>
      <c r="T283" s="5">
        <v>336</v>
      </c>
      <c r="U283" s="74">
        <v>7.5726842461122379E-2</v>
      </c>
      <c r="V283" s="75">
        <v>0.21839080459770116</v>
      </c>
      <c r="W283" s="168" t="s">
        <v>2107</v>
      </c>
    </row>
    <row r="284" spans="1:23">
      <c r="A284" s="77" t="s">
        <v>1610</v>
      </c>
      <c r="B284" s="10" t="s">
        <v>1538</v>
      </c>
      <c r="C284" s="76" t="s">
        <v>29</v>
      </c>
      <c r="D284" s="10" t="s">
        <v>1536</v>
      </c>
      <c r="E284" s="10" t="s">
        <v>22</v>
      </c>
      <c r="F284" s="10">
        <v>3410</v>
      </c>
      <c r="G284" s="10" t="s">
        <v>1551</v>
      </c>
      <c r="H284" s="5">
        <v>2890</v>
      </c>
      <c r="I284" s="69">
        <v>0.84750733137829914</v>
      </c>
      <c r="J284" s="5">
        <v>360</v>
      </c>
      <c r="K284" s="70">
        <v>0.10557184750733138</v>
      </c>
      <c r="L284" s="5">
        <v>0</v>
      </c>
      <c r="M284" s="85">
        <v>0</v>
      </c>
      <c r="N284" s="72">
        <v>160</v>
      </c>
      <c r="O284" s="180">
        <f t="shared" si="4"/>
        <v>4.6920821114369504</v>
      </c>
      <c r="P284" s="78">
        <v>0</v>
      </c>
      <c r="Q284" s="73">
        <v>0</v>
      </c>
      <c r="R284" s="5">
        <v>0</v>
      </c>
      <c r="S284" s="70">
        <v>0</v>
      </c>
      <c r="T284" s="5">
        <v>0</v>
      </c>
      <c r="U284" s="74">
        <v>0</v>
      </c>
      <c r="V284" s="75">
        <v>4.6920821114369501E-2</v>
      </c>
      <c r="W284" s="168" t="s">
        <v>2107</v>
      </c>
    </row>
    <row r="285" spans="1:23">
      <c r="A285" s="77" t="s">
        <v>1610</v>
      </c>
      <c r="B285" s="10" t="s">
        <v>1538</v>
      </c>
      <c r="C285" s="177" t="s">
        <v>29</v>
      </c>
      <c r="D285" s="10" t="s">
        <v>1536</v>
      </c>
      <c r="E285" s="10" t="s">
        <v>22</v>
      </c>
      <c r="F285" s="10">
        <v>10170</v>
      </c>
      <c r="G285" s="10" t="s">
        <v>1551</v>
      </c>
      <c r="H285" s="5">
        <v>2390</v>
      </c>
      <c r="I285" s="69">
        <v>0.23500491642084562</v>
      </c>
      <c r="J285" s="5">
        <v>4944</v>
      </c>
      <c r="K285" s="70">
        <v>0.48613569321533923</v>
      </c>
      <c r="L285" s="5">
        <v>574</v>
      </c>
      <c r="M285" s="85">
        <v>5.6440511307767942E-2</v>
      </c>
      <c r="N285" s="72">
        <v>800</v>
      </c>
      <c r="O285" s="180">
        <f t="shared" si="4"/>
        <v>7.8662733529990163</v>
      </c>
      <c r="P285" s="72">
        <v>0</v>
      </c>
      <c r="Q285" s="73">
        <v>0</v>
      </c>
      <c r="R285" s="5">
        <v>1043</v>
      </c>
      <c r="S285" s="70">
        <v>0.10255653883972468</v>
      </c>
      <c r="T285" s="5">
        <v>419</v>
      </c>
      <c r="U285" s="74">
        <v>4.1199606686332352E-2</v>
      </c>
      <c r="V285" s="75">
        <v>0.22241887905604721</v>
      </c>
      <c r="W285" s="168" t="s">
        <v>1195</v>
      </c>
    </row>
    <row r="286" spans="1:23">
      <c r="A286" s="77" t="s">
        <v>924</v>
      </c>
      <c r="B286" s="10" t="s">
        <v>1530</v>
      </c>
      <c r="C286" s="10" t="s">
        <v>24</v>
      </c>
      <c r="D286" s="10" t="s">
        <v>1534</v>
      </c>
      <c r="E286" s="10" t="s">
        <v>22</v>
      </c>
      <c r="F286" s="10">
        <v>620</v>
      </c>
      <c r="G286" s="10" t="s">
        <v>1532</v>
      </c>
      <c r="H286" s="5">
        <v>540</v>
      </c>
      <c r="I286" s="69">
        <v>0.87096774193548387</v>
      </c>
      <c r="J286" s="5">
        <v>50</v>
      </c>
      <c r="K286" s="70">
        <v>8.0645161290322578E-2</v>
      </c>
      <c r="L286" s="5">
        <v>0</v>
      </c>
      <c r="M286" s="85">
        <v>0</v>
      </c>
      <c r="N286" s="72">
        <v>18</v>
      </c>
      <c r="O286" s="180">
        <f t="shared" si="4"/>
        <v>2.903225806451613</v>
      </c>
      <c r="P286" s="72">
        <v>12</v>
      </c>
      <c r="Q286" s="73">
        <v>1.935483870967742E-2</v>
      </c>
      <c r="R286" s="5">
        <v>0</v>
      </c>
      <c r="S286" s="70">
        <v>0</v>
      </c>
      <c r="T286" s="5">
        <v>0</v>
      </c>
      <c r="U286" s="74">
        <v>0</v>
      </c>
      <c r="V286" s="75">
        <v>4.8387096774193547E-2</v>
      </c>
      <c r="W286" s="168" t="s">
        <v>2104</v>
      </c>
    </row>
    <row r="287" spans="1:23">
      <c r="A287" s="77" t="s">
        <v>924</v>
      </c>
      <c r="B287" s="10" t="s">
        <v>1530</v>
      </c>
      <c r="C287" s="76" t="s">
        <v>27</v>
      </c>
      <c r="D287" s="10" t="s">
        <v>1534</v>
      </c>
      <c r="E287" s="10" t="s">
        <v>22</v>
      </c>
      <c r="F287" s="10">
        <v>2709</v>
      </c>
      <c r="G287" s="10" t="s">
        <v>1554</v>
      </c>
      <c r="H287" s="5">
        <v>1872</v>
      </c>
      <c r="I287" s="69">
        <v>0.69102990033222589</v>
      </c>
      <c r="J287" s="5">
        <v>323</v>
      </c>
      <c r="K287" s="70">
        <v>0.11923218899963087</v>
      </c>
      <c r="L287" s="5">
        <v>83</v>
      </c>
      <c r="M287" s="85">
        <v>3.0638612033960871E-2</v>
      </c>
      <c r="N287" s="72">
        <v>97</v>
      </c>
      <c r="O287" s="180">
        <f t="shared" si="4"/>
        <v>3.5806570690291619</v>
      </c>
      <c r="P287" s="72">
        <v>64</v>
      </c>
      <c r="Q287" s="73">
        <v>2.3624953857511996E-2</v>
      </c>
      <c r="R287" s="5">
        <v>0</v>
      </c>
      <c r="S287" s="70">
        <v>0</v>
      </c>
      <c r="T287" s="5">
        <v>270</v>
      </c>
      <c r="U287" s="74">
        <v>9.9667774086378738E-2</v>
      </c>
      <c r="V287" s="75">
        <v>0.15909929863418235</v>
      </c>
      <c r="W287" s="168" t="s">
        <v>2107</v>
      </c>
    </row>
    <row r="288" spans="1:23">
      <c r="A288" s="77" t="s">
        <v>924</v>
      </c>
      <c r="B288" s="10" t="s">
        <v>1530</v>
      </c>
      <c r="C288" s="76" t="s">
        <v>27</v>
      </c>
      <c r="D288" s="10" t="s">
        <v>1534</v>
      </c>
      <c r="E288" s="10" t="s">
        <v>22</v>
      </c>
      <c r="F288" s="10">
        <v>2217</v>
      </c>
      <c r="G288" s="10" t="s">
        <v>1554</v>
      </c>
      <c r="H288" s="5">
        <v>1300</v>
      </c>
      <c r="I288" s="69">
        <v>0.58637798827244025</v>
      </c>
      <c r="J288" s="5">
        <v>540</v>
      </c>
      <c r="K288" s="70">
        <v>0.24357239512855211</v>
      </c>
      <c r="L288" s="5">
        <v>115</v>
      </c>
      <c r="M288" s="85">
        <v>5.1871898962562023E-2</v>
      </c>
      <c r="N288" s="72">
        <v>52</v>
      </c>
      <c r="O288" s="180">
        <f t="shared" si="4"/>
        <v>2.345511953089761</v>
      </c>
      <c r="P288" s="72">
        <v>115</v>
      </c>
      <c r="Q288" s="73">
        <v>5.1871898962562023E-2</v>
      </c>
      <c r="R288" s="5">
        <v>0</v>
      </c>
      <c r="S288" s="70">
        <v>0</v>
      </c>
      <c r="T288" s="5">
        <v>95</v>
      </c>
      <c r="U288" s="74">
        <v>4.2850699142986018E-2</v>
      </c>
      <c r="V288" s="75">
        <v>0.11817771763644565</v>
      </c>
      <c r="W288" s="168" t="s">
        <v>2107</v>
      </c>
    </row>
    <row r="289" spans="1:23">
      <c r="A289" s="77" t="s">
        <v>924</v>
      </c>
      <c r="B289" s="10" t="s">
        <v>1530</v>
      </c>
      <c r="C289" s="76" t="s">
        <v>27</v>
      </c>
      <c r="D289" s="10" t="s">
        <v>1531</v>
      </c>
      <c r="E289" s="10" t="s">
        <v>22</v>
      </c>
      <c r="F289" s="10">
        <v>8262</v>
      </c>
      <c r="G289" s="10" t="s">
        <v>1535</v>
      </c>
      <c r="H289" s="5">
        <v>3902</v>
      </c>
      <c r="I289" s="69">
        <v>0.47228274025659644</v>
      </c>
      <c r="J289" s="5">
        <v>466</v>
      </c>
      <c r="K289" s="70">
        <v>5.6402808036794962E-2</v>
      </c>
      <c r="L289" s="5">
        <v>3048</v>
      </c>
      <c r="M289" s="85">
        <v>0.36891793754538854</v>
      </c>
      <c r="N289" s="72">
        <v>98</v>
      </c>
      <c r="O289" s="180">
        <f t="shared" si="4"/>
        <v>1.1861534737351731</v>
      </c>
      <c r="P289" s="72">
        <v>583</v>
      </c>
      <c r="Q289" s="73">
        <v>7.0564028080367949E-2</v>
      </c>
      <c r="R289" s="5">
        <v>0</v>
      </c>
      <c r="S289" s="70">
        <v>0</v>
      </c>
      <c r="T289" s="5">
        <v>165</v>
      </c>
      <c r="U289" s="74">
        <v>1.9970951343500364E-2</v>
      </c>
      <c r="V289" s="75">
        <v>0.10239651416122005</v>
      </c>
      <c r="W289" s="168" t="s">
        <v>2107</v>
      </c>
    </row>
    <row r="290" spans="1:23">
      <c r="A290" s="77" t="s">
        <v>924</v>
      </c>
      <c r="B290" s="10" t="s">
        <v>1530</v>
      </c>
      <c r="C290" s="10" t="s">
        <v>31</v>
      </c>
      <c r="D290" s="10" t="s">
        <v>1536</v>
      </c>
      <c r="E290" s="10" t="s">
        <v>22</v>
      </c>
      <c r="F290" s="10">
        <v>4337</v>
      </c>
      <c r="G290" s="10" t="s">
        <v>1537</v>
      </c>
      <c r="H290" s="5">
        <v>1841</v>
      </c>
      <c r="I290" s="69">
        <v>0.42448697256167855</v>
      </c>
      <c r="J290" s="5">
        <v>857</v>
      </c>
      <c r="K290" s="70">
        <v>0.19760202905234034</v>
      </c>
      <c r="L290" s="5">
        <v>555</v>
      </c>
      <c r="M290" s="85">
        <v>0.12796864191837676</v>
      </c>
      <c r="N290" s="72">
        <v>320</v>
      </c>
      <c r="O290" s="180">
        <f t="shared" si="4"/>
        <v>7.3783721466451455</v>
      </c>
      <c r="P290" s="72">
        <v>210</v>
      </c>
      <c r="Q290" s="73">
        <v>4.8420567212358774E-2</v>
      </c>
      <c r="R290" s="5">
        <v>554</v>
      </c>
      <c r="S290" s="70">
        <v>0.1277380677887941</v>
      </c>
      <c r="T290" s="5">
        <v>0</v>
      </c>
      <c r="U290" s="74">
        <v>0</v>
      </c>
      <c r="V290" s="75">
        <v>0.24994235646760432</v>
      </c>
      <c r="W290" s="168" t="s">
        <v>2107</v>
      </c>
    </row>
    <row r="291" spans="1:23">
      <c r="A291" s="77" t="s">
        <v>924</v>
      </c>
      <c r="B291" s="10" t="s">
        <v>1556</v>
      </c>
      <c r="C291" s="76" t="s">
        <v>29</v>
      </c>
      <c r="D291" s="10" t="s">
        <v>1550</v>
      </c>
      <c r="E291" s="10" t="s">
        <v>22</v>
      </c>
      <c r="F291" s="10">
        <v>6783</v>
      </c>
      <c r="G291" s="10" t="s">
        <v>1551</v>
      </c>
      <c r="H291" s="5">
        <v>6630</v>
      </c>
      <c r="I291" s="69">
        <v>0.97744360902255634</v>
      </c>
      <c r="J291" s="5">
        <v>0</v>
      </c>
      <c r="K291" s="70">
        <v>0</v>
      </c>
      <c r="L291" s="5">
        <v>0</v>
      </c>
      <c r="M291" s="85">
        <v>0</v>
      </c>
      <c r="N291" s="72">
        <v>0</v>
      </c>
      <c r="O291" s="180">
        <f t="shared" si="4"/>
        <v>0</v>
      </c>
      <c r="P291" s="72">
        <v>153</v>
      </c>
      <c r="Q291" s="73">
        <v>2.2556390977443608E-2</v>
      </c>
      <c r="R291" s="5">
        <v>0</v>
      </c>
      <c r="S291" s="70">
        <v>0</v>
      </c>
      <c r="T291" s="5">
        <v>0</v>
      </c>
      <c r="U291" s="74">
        <v>0</v>
      </c>
      <c r="V291" s="75">
        <v>2.2556390977443608E-2</v>
      </c>
      <c r="W291" s="168" t="s">
        <v>2104</v>
      </c>
    </row>
    <row r="292" spans="1:23">
      <c r="A292" s="77" t="s">
        <v>924</v>
      </c>
      <c r="B292" s="10" t="s">
        <v>1556</v>
      </c>
      <c r="C292" s="76" t="s">
        <v>29</v>
      </c>
      <c r="D292" s="10" t="s">
        <v>1611</v>
      </c>
      <c r="E292" s="10" t="s">
        <v>22</v>
      </c>
      <c r="F292" s="10">
        <v>2380</v>
      </c>
      <c r="G292" s="10" t="s">
        <v>1551</v>
      </c>
      <c r="H292" s="5">
        <v>1684</v>
      </c>
      <c r="I292" s="69">
        <v>0.70756302521008407</v>
      </c>
      <c r="J292" s="5">
        <v>108</v>
      </c>
      <c r="K292" s="70">
        <v>4.53781512605042E-2</v>
      </c>
      <c r="L292" s="5">
        <v>274</v>
      </c>
      <c r="M292" s="85">
        <v>0.11512605042016806</v>
      </c>
      <c r="N292" s="72">
        <v>108</v>
      </c>
      <c r="O292" s="180">
        <f t="shared" si="4"/>
        <v>4.53781512605042</v>
      </c>
      <c r="P292" s="72">
        <v>105</v>
      </c>
      <c r="Q292" s="73">
        <v>4.4117647058823532E-2</v>
      </c>
      <c r="R292" s="5">
        <v>0</v>
      </c>
      <c r="S292" s="70">
        <v>0</v>
      </c>
      <c r="T292" s="5">
        <v>101</v>
      </c>
      <c r="U292" s="74">
        <v>4.2436974789915968E-2</v>
      </c>
      <c r="V292" s="75">
        <v>0.1319327731092437</v>
      </c>
      <c r="W292" s="168" t="s">
        <v>2104</v>
      </c>
    </row>
    <row r="293" spans="1:23">
      <c r="A293" s="77" t="s">
        <v>924</v>
      </c>
      <c r="B293" s="10" t="s">
        <v>1538</v>
      </c>
      <c r="C293" s="76" t="s">
        <v>29</v>
      </c>
      <c r="D293" s="10" t="s">
        <v>1536</v>
      </c>
      <c r="E293" s="10" t="s">
        <v>22</v>
      </c>
      <c r="F293" s="10">
        <v>2950</v>
      </c>
      <c r="G293" s="10" t="s">
        <v>1551</v>
      </c>
      <c r="H293" s="5">
        <v>2107</v>
      </c>
      <c r="I293" s="69">
        <v>0.71423728813559317</v>
      </c>
      <c r="J293" s="5">
        <v>450</v>
      </c>
      <c r="K293" s="70">
        <v>0.15254237288135594</v>
      </c>
      <c r="L293" s="5">
        <v>94</v>
      </c>
      <c r="M293" s="85">
        <v>3.1864406779661014E-2</v>
      </c>
      <c r="N293" s="72">
        <v>260</v>
      </c>
      <c r="O293" s="180">
        <f t="shared" si="4"/>
        <v>8.8135593220338979</v>
      </c>
      <c r="P293" s="72">
        <v>0</v>
      </c>
      <c r="Q293" s="73">
        <v>0</v>
      </c>
      <c r="R293" s="5">
        <v>0</v>
      </c>
      <c r="S293" s="70">
        <v>0</v>
      </c>
      <c r="T293" s="5">
        <v>39</v>
      </c>
      <c r="U293" s="74">
        <v>1.3220338983050847E-2</v>
      </c>
      <c r="V293" s="75">
        <v>0.10135593220338983</v>
      </c>
      <c r="W293" s="168" t="s">
        <v>2107</v>
      </c>
    </row>
    <row r="294" spans="1:23">
      <c r="A294" s="77" t="s">
        <v>924</v>
      </c>
      <c r="B294" s="10" t="s">
        <v>1538</v>
      </c>
      <c r="C294" s="176" t="s">
        <v>24</v>
      </c>
      <c r="D294" s="10" t="s">
        <v>1536</v>
      </c>
      <c r="E294" s="10" t="s">
        <v>22</v>
      </c>
      <c r="F294" s="10">
        <v>3263</v>
      </c>
      <c r="G294" s="10" t="s">
        <v>1544</v>
      </c>
      <c r="H294" s="5">
        <v>2316</v>
      </c>
      <c r="I294" s="69">
        <v>0.70977627949739508</v>
      </c>
      <c r="J294" s="5">
        <v>315</v>
      </c>
      <c r="K294" s="70">
        <v>9.6536929206251912E-2</v>
      </c>
      <c r="L294" s="5">
        <v>262</v>
      </c>
      <c r="M294" s="85">
        <v>8.0294207784247631E-2</v>
      </c>
      <c r="N294" s="72">
        <v>204</v>
      </c>
      <c r="O294" s="180">
        <f t="shared" si="4"/>
        <v>6.2519154152620287</v>
      </c>
      <c r="P294" s="72">
        <v>101</v>
      </c>
      <c r="Q294" s="73">
        <v>3.0953110634385536E-2</v>
      </c>
      <c r="R294" s="5">
        <v>0</v>
      </c>
      <c r="S294" s="70">
        <v>0</v>
      </c>
      <c r="T294" s="5">
        <v>65</v>
      </c>
      <c r="U294" s="74">
        <v>1.9920318725099601E-2</v>
      </c>
      <c r="V294" s="75">
        <v>0.11339258351210542</v>
      </c>
      <c r="W294" s="168" t="s">
        <v>2107</v>
      </c>
    </row>
    <row r="295" spans="1:23">
      <c r="A295" s="67" t="s">
        <v>928</v>
      </c>
      <c r="B295" s="79" t="s">
        <v>1575</v>
      </c>
      <c r="C295" s="76" t="s">
        <v>29</v>
      </c>
      <c r="D295" s="79" t="s">
        <v>1550</v>
      </c>
      <c r="E295" s="79" t="s">
        <v>22</v>
      </c>
      <c r="F295" s="5">
        <v>4590</v>
      </c>
      <c r="G295" s="10" t="s">
        <v>1545</v>
      </c>
      <c r="H295" s="5">
        <f>180*25</f>
        <v>4500</v>
      </c>
      <c r="I295" s="69">
        <f t="shared" ref="I295:I326" si="5">H295/F295</f>
        <v>0.98039215686274506</v>
      </c>
      <c r="J295" s="5">
        <v>0</v>
      </c>
      <c r="K295" s="69">
        <f t="shared" ref="K295:K326" si="6">J295/F295</f>
        <v>0</v>
      </c>
      <c r="L295" s="5">
        <v>0</v>
      </c>
      <c r="M295" s="71">
        <f t="shared" ref="M295:M326" si="7">L295/F295</f>
        <v>0</v>
      </c>
      <c r="N295" s="78">
        <v>0</v>
      </c>
      <c r="O295" s="180">
        <f t="shared" si="4"/>
        <v>0</v>
      </c>
      <c r="P295" s="78">
        <v>90</v>
      </c>
      <c r="Q295" s="86">
        <f t="shared" ref="Q295:Q326" si="8">P295/F295</f>
        <v>1.9607843137254902E-2</v>
      </c>
      <c r="R295" s="5">
        <v>0</v>
      </c>
      <c r="S295" s="69">
        <f t="shared" ref="S295:S326" si="9">R295/F295</f>
        <v>0</v>
      </c>
      <c r="T295" s="5">
        <v>0</v>
      </c>
      <c r="U295" s="87">
        <f t="shared" ref="U295:U326" si="10">T295/F295</f>
        <v>0</v>
      </c>
      <c r="V295" s="75">
        <f t="shared" ref="V295:V367" si="11">O295+Q295+S295+U295</f>
        <v>1.9607843137254902E-2</v>
      </c>
      <c r="W295" s="168" t="s">
        <v>2107</v>
      </c>
    </row>
    <row r="296" spans="1:23">
      <c r="A296" s="67" t="s">
        <v>928</v>
      </c>
      <c r="B296" s="79" t="s">
        <v>1538</v>
      </c>
      <c r="C296" s="176" t="s">
        <v>24</v>
      </c>
      <c r="D296" s="5" t="s">
        <v>1536</v>
      </c>
      <c r="E296" s="5" t="s">
        <v>22</v>
      </c>
      <c r="F296" s="5">
        <v>810</v>
      </c>
      <c r="G296" s="10" t="s">
        <v>1544</v>
      </c>
      <c r="H296" s="5">
        <f>180*3+24+123</f>
        <v>687</v>
      </c>
      <c r="I296" s="69">
        <f t="shared" si="5"/>
        <v>0.8481481481481481</v>
      </c>
      <c r="J296" s="5">
        <v>20</v>
      </c>
      <c r="K296" s="69">
        <f t="shared" si="6"/>
        <v>2.4691358024691357E-2</v>
      </c>
      <c r="L296" s="5">
        <v>58</v>
      </c>
      <c r="M296" s="71">
        <f t="shared" si="7"/>
        <v>7.160493827160494E-2</v>
      </c>
      <c r="N296" s="78">
        <v>31</v>
      </c>
      <c r="O296" s="180">
        <f t="shared" si="4"/>
        <v>3.8271604938271606</v>
      </c>
      <c r="P296" s="78">
        <v>14</v>
      </c>
      <c r="Q296" s="86">
        <f t="shared" si="8"/>
        <v>1.7283950617283949E-2</v>
      </c>
      <c r="R296" s="5">
        <v>0</v>
      </c>
      <c r="S296" s="69">
        <f t="shared" si="9"/>
        <v>0</v>
      </c>
      <c r="T296" s="5">
        <v>0</v>
      </c>
      <c r="U296" s="87">
        <f t="shared" si="10"/>
        <v>0</v>
      </c>
      <c r="V296" s="75">
        <f t="shared" si="11"/>
        <v>3.8444444444444446</v>
      </c>
      <c r="W296" s="168" t="s">
        <v>2107</v>
      </c>
    </row>
    <row r="297" spans="1:23">
      <c r="A297" s="67" t="s">
        <v>928</v>
      </c>
      <c r="B297" s="5" t="s">
        <v>1556</v>
      </c>
      <c r="C297" s="76" t="s">
        <v>29</v>
      </c>
      <c r="D297" s="5" t="s">
        <v>1550</v>
      </c>
      <c r="E297" s="5" t="s">
        <v>22</v>
      </c>
      <c r="F297" s="5">
        <v>2253</v>
      </c>
      <c r="G297" s="10" t="s">
        <v>1551</v>
      </c>
      <c r="H297" s="5">
        <f>170*13</f>
        <v>2210</v>
      </c>
      <c r="I297" s="69">
        <f t="shared" si="5"/>
        <v>0.98091433644030179</v>
      </c>
      <c r="J297" s="5">
        <v>0</v>
      </c>
      <c r="K297" s="69">
        <f t="shared" si="6"/>
        <v>0</v>
      </c>
      <c r="L297" s="5">
        <v>0</v>
      </c>
      <c r="M297" s="71">
        <f t="shared" si="7"/>
        <v>0</v>
      </c>
      <c r="N297" s="78">
        <v>0</v>
      </c>
      <c r="O297" s="180">
        <f t="shared" si="4"/>
        <v>0</v>
      </c>
      <c r="P297" s="78">
        <v>43</v>
      </c>
      <c r="Q297" s="86">
        <f t="shared" si="8"/>
        <v>1.9085663559698179E-2</v>
      </c>
      <c r="R297" s="5">
        <v>0</v>
      </c>
      <c r="S297" s="69">
        <f t="shared" si="9"/>
        <v>0</v>
      </c>
      <c r="T297" s="5">
        <v>0</v>
      </c>
      <c r="U297" s="87">
        <f t="shared" si="10"/>
        <v>0</v>
      </c>
      <c r="V297" s="75">
        <f t="shared" si="11"/>
        <v>1.9085663559698179E-2</v>
      </c>
      <c r="W297" s="168" t="s">
        <v>2104</v>
      </c>
    </row>
    <row r="298" spans="1:23">
      <c r="A298" s="67" t="s">
        <v>1612</v>
      </c>
      <c r="B298" s="5" t="s">
        <v>1530</v>
      </c>
      <c r="C298" s="5" t="s">
        <v>24</v>
      </c>
      <c r="D298" s="5" t="s">
        <v>1550</v>
      </c>
      <c r="E298" s="5" t="s">
        <v>22</v>
      </c>
      <c r="F298" s="5">
        <v>5508</v>
      </c>
      <c r="G298" s="10" t="s">
        <v>1532</v>
      </c>
      <c r="H298" s="5">
        <f>180*30</f>
        <v>5400</v>
      </c>
      <c r="I298" s="69">
        <f t="shared" si="5"/>
        <v>0.98039215686274506</v>
      </c>
      <c r="J298" s="5">
        <v>0</v>
      </c>
      <c r="K298" s="69">
        <f t="shared" si="6"/>
        <v>0</v>
      </c>
      <c r="L298" s="5">
        <v>0</v>
      </c>
      <c r="M298" s="71">
        <f t="shared" si="7"/>
        <v>0</v>
      </c>
      <c r="N298" s="78">
        <v>0</v>
      </c>
      <c r="O298" s="180">
        <f t="shared" si="4"/>
        <v>0</v>
      </c>
      <c r="P298" s="78">
        <v>108</v>
      </c>
      <c r="Q298" s="86">
        <f t="shared" si="8"/>
        <v>1.9607843137254902E-2</v>
      </c>
      <c r="R298" s="5">
        <v>0</v>
      </c>
      <c r="S298" s="69">
        <f t="shared" si="9"/>
        <v>0</v>
      </c>
      <c r="T298" s="5">
        <v>0</v>
      </c>
      <c r="U298" s="87">
        <f t="shared" si="10"/>
        <v>0</v>
      </c>
      <c r="V298" s="75">
        <f t="shared" si="11"/>
        <v>1.9607843137254902E-2</v>
      </c>
      <c r="W298" s="168" t="s">
        <v>2104</v>
      </c>
    </row>
    <row r="299" spans="1:23">
      <c r="A299" s="67" t="s">
        <v>1612</v>
      </c>
      <c r="B299" s="5" t="s">
        <v>1530</v>
      </c>
      <c r="C299" s="76" t="s">
        <v>29</v>
      </c>
      <c r="D299" s="5" t="s">
        <v>1550</v>
      </c>
      <c r="E299" s="5" t="s">
        <v>22</v>
      </c>
      <c r="F299" s="5">
        <v>2734</v>
      </c>
      <c r="G299" s="10" t="s">
        <v>1545</v>
      </c>
      <c r="H299" s="5">
        <f>180*14+160</f>
        <v>2680</v>
      </c>
      <c r="I299" s="69">
        <f t="shared" si="5"/>
        <v>0.98024871982443307</v>
      </c>
      <c r="J299" s="5">
        <v>0</v>
      </c>
      <c r="K299" s="69">
        <f t="shared" si="6"/>
        <v>0</v>
      </c>
      <c r="L299" s="5">
        <v>0</v>
      </c>
      <c r="M299" s="71">
        <f t="shared" si="7"/>
        <v>0</v>
      </c>
      <c r="N299" s="78">
        <v>0</v>
      </c>
      <c r="O299" s="180">
        <f t="shared" si="4"/>
        <v>0</v>
      </c>
      <c r="P299" s="78">
        <v>54</v>
      </c>
      <c r="Q299" s="86">
        <f t="shared" si="8"/>
        <v>1.9751280175566936E-2</v>
      </c>
      <c r="R299" s="5">
        <v>0</v>
      </c>
      <c r="S299" s="69">
        <f t="shared" si="9"/>
        <v>0</v>
      </c>
      <c r="T299" s="5">
        <v>0</v>
      </c>
      <c r="U299" s="87">
        <f t="shared" si="10"/>
        <v>0</v>
      </c>
      <c r="V299" s="75">
        <f t="shared" si="11"/>
        <v>1.9751280175566936E-2</v>
      </c>
      <c r="W299" s="168" t="s">
        <v>2104</v>
      </c>
    </row>
    <row r="300" spans="1:23">
      <c r="A300" s="67" t="s">
        <v>1612</v>
      </c>
      <c r="B300" s="5" t="s">
        <v>1530</v>
      </c>
      <c r="C300" s="5" t="s">
        <v>24</v>
      </c>
      <c r="D300" s="5" t="s">
        <v>1550</v>
      </c>
      <c r="E300" s="5" t="s">
        <v>22</v>
      </c>
      <c r="F300" s="5">
        <v>12852</v>
      </c>
      <c r="G300" s="10" t="s">
        <v>1544</v>
      </c>
      <c r="H300" s="5">
        <f>180*70</f>
        <v>12600</v>
      </c>
      <c r="I300" s="69">
        <f t="shared" si="5"/>
        <v>0.98039215686274506</v>
      </c>
      <c r="J300" s="5">
        <v>0</v>
      </c>
      <c r="K300" s="69">
        <f t="shared" si="6"/>
        <v>0</v>
      </c>
      <c r="L300" s="5">
        <v>0</v>
      </c>
      <c r="M300" s="71">
        <f t="shared" si="7"/>
        <v>0</v>
      </c>
      <c r="N300" s="78">
        <v>0</v>
      </c>
      <c r="O300" s="180">
        <f t="shared" si="4"/>
        <v>0</v>
      </c>
      <c r="P300" s="78">
        <v>252</v>
      </c>
      <c r="Q300" s="86">
        <f t="shared" si="8"/>
        <v>1.9607843137254902E-2</v>
      </c>
      <c r="R300" s="5">
        <v>0</v>
      </c>
      <c r="S300" s="69">
        <f t="shared" si="9"/>
        <v>0</v>
      </c>
      <c r="T300" s="5">
        <v>0</v>
      </c>
      <c r="U300" s="87">
        <f t="shared" si="10"/>
        <v>0</v>
      </c>
      <c r="V300" s="75">
        <f t="shared" si="11"/>
        <v>1.9607843137254902E-2</v>
      </c>
      <c r="W300" s="168" t="s">
        <v>2104</v>
      </c>
    </row>
    <row r="301" spans="1:23">
      <c r="A301" s="67" t="s">
        <v>1612</v>
      </c>
      <c r="B301" s="5" t="s">
        <v>1530</v>
      </c>
      <c r="C301" s="5" t="s">
        <v>31</v>
      </c>
      <c r="D301" s="5" t="s">
        <v>1536</v>
      </c>
      <c r="E301" s="5" t="s">
        <v>22</v>
      </c>
      <c r="F301" s="5">
        <v>7191</v>
      </c>
      <c r="G301" s="10" t="s">
        <v>1537</v>
      </c>
      <c r="H301" s="5">
        <f>180*16+33</f>
        <v>2913</v>
      </c>
      <c r="I301" s="69">
        <f t="shared" si="5"/>
        <v>0.40508969545264917</v>
      </c>
      <c r="J301" s="5">
        <f>180*4+32+163+180*5+10</f>
        <v>1825</v>
      </c>
      <c r="K301" s="69">
        <f t="shared" si="6"/>
        <v>0.25378945904602979</v>
      </c>
      <c r="L301" s="5">
        <f>180*3+67+53</f>
        <v>660</v>
      </c>
      <c r="M301" s="71">
        <f t="shared" si="7"/>
        <v>9.1781393408427198E-2</v>
      </c>
      <c r="N301" s="78">
        <v>494</v>
      </c>
      <c r="O301" s="180">
        <f t="shared" si="4"/>
        <v>6.86969823390349</v>
      </c>
      <c r="P301" s="78">
        <v>127</v>
      </c>
      <c r="Q301" s="86">
        <f t="shared" si="8"/>
        <v>1.7660965095257962E-2</v>
      </c>
      <c r="R301" s="5">
        <f>180+71+180*4+88+113</f>
        <v>1172</v>
      </c>
      <c r="S301" s="69">
        <f t="shared" si="9"/>
        <v>0.16298150465860103</v>
      </c>
      <c r="T301" s="5">
        <v>0</v>
      </c>
      <c r="U301" s="87">
        <f t="shared" si="10"/>
        <v>0</v>
      </c>
      <c r="V301" s="75">
        <f t="shared" si="11"/>
        <v>7.0503407036573496</v>
      </c>
      <c r="W301" s="168" t="s">
        <v>2107</v>
      </c>
    </row>
    <row r="302" spans="1:23">
      <c r="A302" s="67" t="s">
        <v>1612</v>
      </c>
      <c r="B302" s="5" t="s">
        <v>1530</v>
      </c>
      <c r="C302" s="76" t="s">
        <v>27</v>
      </c>
      <c r="D302" s="5" t="s">
        <v>1534</v>
      </c>
      <c r="E302" s="5" t="s">
        <v>22</v>
      </c>
      <c r="F302" s="5">
        <v>4131</v>
      </c>
      <c r="G302" s="10" t="s">
        <v>1554</v>
      </c>
      <c r="H302" s="5">
        <f>180*14+148+45</f>
        <v>2713</v>
      </c>
      <c r="I302" s="69">
        <f t="shared" si="5"/>
        <v>0.65674170902929074</v>
      </c>
      <c r="J302" s="5">
        <f>180*2+124+116</f>
        <v>600</v>
      </c>
      <c r="K302" s="69">
        <f t="shared" si="6"/>
        <v>0.14524328249818447</v>
      </c>
      <c r="L302" s="5">
        <f>141+6</f>
        <v>147</v>
      </c>
      <c r="M302" s="80">
        <f t="shared" si="7"/>
        <v>3.5584604212055192E-2</v>
      </c>
      <c r="N302" s="78">
        <v>140</v>
      </c>
      <c r="O302" s="180">
        <f t="shared" si="4"/>
        <v>3.3890099249576373</v>
      </c>
      <c r="P302" s="78">
        <v>131</v>
      </c>
      <c r="Q302" s="86">
        <f t="shared" si="8"/>
        <v>3.1711450012103605E-2</v>
      </c>
      <c r="R302" s="5">
        <v>0</v>
      </c>
      <c r="S302" s="69">
        <f t="shared" si="9"/>
        <v>0</v>
      </c>
      <c r="T302" s="5">
        <f>180+148+72</f>
        <v>400</v>
      </c>
      <c r="U302" s="87">
        <f t="shared" si="10"/>
        <v>9.682885499878964E-2</v>
      </c>
      <c r="V302" s="75">
        <f t="shared" si="11"/>
        <v>3.5175502299685304</v>
      </c>
      <c r="W302" s="168" t="s">
        <v>2107</v>
      </c>
    </row>
    <row r="303" spans="1:23">
      <c r="A303" s="67" t="s">
        <v>1612</v>
      </c>
      <c r="B303" s="5" t="s">
        <v>1530</v>
      </c>
      <c r="C303" s="76" t="s">
        <v>27</v>
      </c>
      <c r="D303" s="5" t="s">
        <v>1534</v>
      </c>
      <c r="E303" s="5" t="s">
        <v>22</v>
      </c>
      <c r="F303" s="5">
        <v>4873</v>
      </c>
      <c r="G303" s="10" t="s">
        <v>1554</v>
      </c>
      <c r="H303" s="5">
        <f>180*19+68+32</f>
        <v>3520</v>
      </c>
      <c r="I303" s="69">
        <f t="shared" si="5"/>
        <v>0.72234762979683975</v>
      </c>
      <c r="J303" s="5">
        <f>180*4+37+56+19</f>
        <v>832</v>
      </c>
      <c r="K303" s="69">
        <f t="shared" si="6"/>
        <v>0.17073671249743486</v>
      </c>
      <c r="L303" s="5">
        <f>39</f>
        <v>39</v>
      </c>
      <c r="M303" s="80">
        <f t="shared" si="7"/>
        <v>8.0032833983172576E-3</v>
      </c>
      <c r="N303" s="78">
        <v>156</v>
      </c>
      <c r="O303" s="180">
        <f t="shared" si="4"/>
        <v>3.2013133593269032</v>
      </c>
      <c r="P303" s="78">
        <v>204</v>
      </c>
      <c r="Q303" s="86">
        <f t="shared" si="8"/>
        <v>4.1863328545044119E-2</v>
      </c>
      <c r="R303" s="5">
        <v>0</v>
      </c>
      <c r="S303" s="69">
        <f t="shared" si="9"/>
        <v>0</v>
      </c>
      <c r="T303" s="5">
        <f>90+32</f>
        <v>122</v>
      </c>
      <c r="U303" s="87">
        <f t="shared" si="10"/>
        <v>2.5035912169095013E-2</v>
      </c>
      <c r="V303" s="75">
        <f t="shared" si="11"/>
        <v>3.2682126000410423</v>
      </c>
      <c r="W303" s="168" t="s">
        <v>2107</v>
      </c>
    </row>
    <row r="304" spans="1:23">
      <c r="A304" s="67" t="s">
        <v>1612</v>
      </c>
      <c r="B304" s="5" t="s">
        <v>1556</v>
      </c>
      <c r="C304" s="76" t="s">
        <v>29</v>
      </c>
      <c r="D304" s="5" t="s">
        <v>1536</v>
      </c>
      <c r="E304" s="5" t="s">
        <v>22</v>
      </c>
      <c r="F304" s="5">
        <v>2100</v>
      </c>
      <c r="G304" s="10" t="s">
        <v>1551</v>
      </c>
      <c r="H304" s="5">
        <f>170*8+16</f>
        <v>1376</v>
      </c>
      <c r="I304" s="69">
        <f t="shared" si="5"/>
        <v>0.65523809523809529</v>
      </c>
      <c r="J304" s="5">
        <v>60</v>
      </c>
      <c r="K304" s="69">
        <f t="shared" si="6"/>
        <v>2.8571428571428571E-2</v>
      </c>
      <c r="L304" s="5">
        <f>180*2+86</f>
        <v>446</v>
      </c>
      <c r="M304" s="80">
        <f t="shared" si="7"/>
        <v>0.21238095238095239</v>
      </c>
      <c r="N304" s="78">
        <v>38</v>
      </c>
      <c r="O304" s="180">
        <f t="shared" si="4"/>
        <v>1.8095238095238095</v>
      </c>
      <c r="P304" s="78">
        <v>64</v>
      </c>
      <c r="Q304" s="86">
        <f t="shared" si="8"/>
        <v>3.0476190476190476E-2</v>
      </c>
      <c r="R304" s="5">
        <v>0</v>
      </c>
      <c r="S304" s="69">
        <f t="shared" si="9"/>
        <v>0</v>
      </c>
      <c r="T304" s="5">
        <v>116</v>
      </c>
      <c r="U304" s="87">
        <f t="shared" si="10"/>
        <v>5.5238095238095239E-2</v>
      </c>
      <c r="V304" s="75">
        <f t="shared" si="11"/>
        <v>1.8952380952380954</v>
      </c>
      <c r="W304" s="168" t="s">
        <v>2104</v>
      </c>
    </row>
    <row r="305" spans="1:23">
      <c r="A305" s="67" t="s">
        <v>1612</v>
      </c>
      <c r="B305" s="5" t="s">
        <v>1538</v>
      </c>
      <c r="C305" s="76" t="s">
        <v>29</v>
      </c>
      <c r="D305" s="5" t="s">
        <v>1536</v>
      </c>
      <c r="E305" s="5" t="s">
        <v>22</v>
      </c>
      <c r="F305" s="5">
        <v>5405</v>
      </c>
      <c r="G305" s="10" t="s">
        <v>1551</v>
      </c>
      <c r="H305" s="5">
        <f>180*18+53+159</f>
        <v>3452</v>
      </c>
      <c r="I305" s="69">
        <f t="shared" si="5"/>
        <v>0.63866790009250696</v>
      </c>
      <c r="J305" s="5">
        <f>180*4+79</f>
        <v>799</v>
      </c>
      <c r="K305" s="69">
        <f t="shared" si="6"/>
        <v>0.14782608695652175</v>
      </c>
      <c r="L305" s="5">
        <f>170*2+138</f>
        <v>478</v>
      </c>
      <c r="M305" s="80">
        <f t="shared" si="7"/>
        <v>8.8436632747456057E-2</v>
      </c>
      <c r="N305" s="78">
        <v>553</v>
      </c>
      <c r="O305" s="180">
        <f t="shared" si="4"/>
        <v>10.231267345050879</v>
      </c>
      <c r="P305" s="78">
        <v>0</v>
      </c>
      <c r="Q305" s="86">
        <f t="shared" si="8"/>
        <v>0</v>
      </c>
      <c r="R305" s="5">
        <v>0</v>
      </c>
      <c r="S305" s="69">
        <f t="shared" si="9"/>
        <v>0</v>
      </c>
      <c r="T305" s="5">
        <v>123</v>
      </c>
      <c r="U305" s="87">
        <f t="shared" si="10"/>
        <v>2.2756706753006475E-2</v>
      </c>
      <c r="V305" s="75">
        <f t="shared" si="11"/>
        <v>10.254024051803885</v>
      </c>
      <c r="W305" s="168" t="s">
        <v>2107</v>
      </c>
    </row>
    <row r="306" spans="1:23">
      <c r="A306" s="67" t="s">
        <v>1612</v>
      </c>
      <c r="B306" s="5" t="s">
        <v>1538</v>
      </c>
      <c r="C306" s="176" t="s">
        <v>24</v>
      </c>
      <c r="D306" s="5" t="s">
        <v>1536</v>
      </c>
      <c r="E306" s="5" t="s">
        <v>22</v>
      </c>
      <c r="F306" s="5">
        <v>4220</v>
      </c>
      <c r="G306" s="10" t="s">
        <v>1544</v>
      </c>
      <c r="H306" s="5">
        <f>180*11+57+173</f>
        <v>2210</v>
      </c>
      <c r="I306" s="69">
        <f t="shared" si="5"/>
        <v>0.523696682464455</v>
      </c>
      <c r="J306" s="5">
        <f>180*7+66+100+65</f>
        <v>1491</v>
      </c>
      <c r="K306" s="69">
        <f t="shared" si="6"/>
        <v>0.35331753554502371</v>
      </c>
      <c r="L306" s="5">
        <f>40+50</f>
        <v>90</v>
      </c>
      <c r="M306" s="80">
        <f t="shared" si="7"/>
        <v>2.132701421800948E-2</v>
      </c>
      <c r="N306" s="78">
        <v>249</v>
      </c>
      <c r="O306" s="180">
        <f t="shared" si="4"/>
        <v>5.9004739336492893</v>
      </c>
      <c r="P306" s="78">
        <v>0</v>
      </c>
      <c r="Q306" s="86">
        <f t="shared" si="8"/>
        <v>0</v>
      </c>
      <c r="R306" s="5">
        <v>0</v>
      </c>
      <c r="S306" s="69">
        <f t="shared" si="9"/>
        <v>0</v>
      </c>
      <c r="T306" s="5">
        <f>180</f>
        <v>180</v>
      </c>
      <c r="U306" s="87">
        <f t="shared" si="10"/>
        <v>4.2654028436018961E-2</v>
      </c>
      <c r="V306" s="75">
        <f t="shared" si="11"/>
        <v>5.9431279620853079</v>
      </c>
      <c r="W306" s="168" t="s">
        <v>2107</v>
      </c>
    </row>
    <row r="307" spans="1:23">
      <c r="A307" s="67" t="s">
        <v>946</v>
      </c>
      <c r="B307" s="5" t="s">
        <v>1575</v>
      </c>
      <c r="C307" s="76" t="s">
        <v>29</v>
      </c>
      <c r="D307" s="5" t="s">
        <v>1550</v>
      </c>
      <c r="E307" s="5" t="s">
        <v>22</v>
      </c>
      <c r="F307" s="5">
        <v>1836</v>
      </c>
      <c r="G307" s="10" t="s">
        <v>1545</v>
      </c>
      <c r="H307" s="5">
        <f>180*10</f>
        <v>1800</v>
      </c>
      <c r="I307" s="69">
        <f t="shared" si="5"/>
        <v>0.98039215686274506</v>
      </c>
      <c r="J307" s="5">
        <v>0</v>
      </c>
      <c r="K307" s="69">
        <f t="shared" si="6"/>
        <v>0</v>
      </c>
      <c r="L307" s="5">
        <v>0</v>
      </c>
      <c r="M307" s="80">
        <f t="shared" si="7"/>
        <v>0</v>
      </c>
      <c r="N307" s="78">
        <v>0</v>
      </c>
      <c r="O307" s="180">
        <f t="shared" si="4"/>
        <v>0</v>
      </c>
      <c r="P307" s="78">
        <v>36</v>
      </c>
      <c r="Q307" s="86">
        <f t="shared" si="8"/>
        <v>1.9607843137254902E-2</v>
      </c>
      <c r="R307" s="5">
        <v>0</v>
      </c>
      <c r="S307" s="69">
        <f t="shared" si="9"/>
        <v>0</v>
      </c>
      <c r="T307" s="5">
        <v>0</v>
      </c>
      <c r="U307" s="87">
        <f t="shared" si="10"/>
        <v>0</v>
      </c>
      <c r="V307" s="75">
        <f t="shared" si="11"/>
        <v>1.9607843137254902E-2</v>
      </c>
      <c r="W307" s="168" t="s">
        <v>2104</v>
      </c>
    </row>
    <row r="308" spans="1:23">
      <c r="A308" s="67" t="s">
        <v>946</v>
      </c>
      <c r="B308" s="5" t="s">
        <v>1575</v>
      </c>
      <c r="C308" s="76" t="s">
        <v>27</v>
      </c>
      <c r="D308" s="5" t="s">
        <v>1550</v>
      </c>
      <c r="E308" s="5" t="s">
        <v>22</v>
      </c>
      <c r="F308" s="5">
        <v>8262</v>
      </c>
      <c r="G308" s="10" t="s">
        <v>1535</v>
      </c>
      <c r="H308" s="5">
        <f>180*45</f>
        <v>8100</v>
      </c>
      <c r="I308" s="69">
        <f t="shared" si="5"/>
        <v>0.98039215686274506</v>
      </c>
      <c r="J308" s="5">
        <v>0</v>
      </c>
      <c r="K308" s="69">
        <f t="shared" si="6"/>
        <v>0</v>
      </c>
      <c r="L308" s="5">
        <v>0</v>
      </c>
      <c r="M308" s="80">
        <f t="shared" si="7"/>
        <v>0</v>
      </c>
      <c r="N308" s="78">
        <v>0</v>
      </c>
      <c r="O308" s="180">
        <f t="shared" si="4"/>
        <v>0</v>
      </c>
      <c r="P308" s="78">
        <v>162</v>
      </c>
      <c r="Q308" s="86">
        <f t="shared" si="8"/>
        <v>1.9607843137254902E-2</v>
      </c>
      <c r="R308" s="5">
        <v>0</v>
      </c>
      <c r="S308" s="69">
        <f t="shared" si="9"/>
        <v>0</v>
      </c>
      <c r="T308" s="5">
        <v>0</v>
      </c>
      <c r="U308" s="87">
        <f t="shared" si="10"/>
        <v>0</v>
      </c>
      <c r="V308" s="75">
        <f t="shared" si="11"/>
        <v>1.9607843137254902E-2</v>
      </c>
      <c r="W308" s="168" t="s">
        <v>2104</v>
      </c>
    </row>
    <row r="309" spans="1:23">
      <c r="A309" s="67" t="s">
        <v>946</v>
      </c>
      <c r="B309" s="5" t="s">
        <v>1530</v>
      </c>
      <c r="C309" s="176" t="s">
        <v>27</v>
      </c>
      <c r="D309" s="5" t="s">
        <v>1534</v>
      </c>
      <c r="E309" s="5" t="s">
        <v>22</v>
      </c>
      <c r="F309" s="5">
        <v>3159</v>
      </c>
      <c r="G309" s="10" t="s">
        <v>1554</v>
      </c>
      <c r="H309" s="5">
        <f>180*10+150</f>
        <v>1950</v>
      </c>
      <c r="I309" s="69">
        <f t="shared" si="5"/>
        <v>0.61728395061728392</v>
      </c>
      <c r="J309" s="5">
        <f>180+104</f>
        <v>284</v>
      </c>
      <c r="K309" s="69">
        <f t="shared" si="6"/>
        <v>8.9901867679645461E-2</v>
      </c>
      <c r="L309" s="5">
        <f>180+138</f>
        <v>318</v>
      </c>
      <c r="M309" s="80">
        <f t="shared" si="7"/>
        <v>0.10066476733143399</v>
      </c>
      <c r="N309" s="78">
        <v>253</v>
      </c>
      <c r="O309" s="180">
        <f t="shared" si="4"/>
        <v>8.0088635644191211</v>
      </c>
      <c r="P309" s="78">
        <v>121</v>
      </c>
      <c r="Q309" s="86">
        <f t="shared" si="8"/>
        <v>3.8303260525482746E-2</v>
      </c>
      <c r="R309" s="5">
        <v>0</v>
      </c>
      <c r="S309" s="69">
        <f t="shared" si="9"/>
        <v>0</v>
      </c>
      <c r="T309" s="5">
        <f>180+53</f>
        <v>233</v>
      </c>
      <c r="U309" s="87">
        <f t="shared" si="10"/>
        <v>7.3757518201962649E-2</v>
      </c>
      <c r="V309" s="75">
        <f t="shared" si="11"/>
        <v>8.1209243431465659</v>
      </c>
      <c r="W309" s="168" t="s">
        <v>2107</v>
      </c>
    </row>
    <row r="310" spans="1:23">
      <c r="A310" s="67" t="s">
        <v>946</v>
      </c>
      <c r="B310" s="5" t="s">
        <v>1530</v>
      </c>
      <c r="C310" s="5" t="s">
        <v>31</v>
      </c>
      <c r="D310" s="5" t="s">
        <v>1536</v>
      </c>
      <c r="E310" s="5" t="s">
        <v>22</v>
      </c>
      <c r="F310" s="5">
        <v>3825</v>
      </c>
      <c r="G310" s="10" t="s">
        <v>1537</v>
      </c>
      <c r="H310" s="5">
        <f>180*10+147+16</f>
        <v>1963</v>
      </c>
      <c r="I310" s="69">
        <f t="shared" si="5"/>
        <v>0.51320261437908499</v>
      </c>
      <c r="J310" s="5">
        <f>180*8+7</f>
        <v>1447</v>
      </c>
      <c r="K310" s="69">
        <f t="shared" si="6"/>
        <v>0.37830065359477122</v>
      </c>
      <c r="L310" s="5">
        <v>119</v>
      </c>
      <c r="M310" s="80">
        <f t="shared" si="7"/>
        <v>3.111111111111111E-2</v>
      </c>
      <c r="N310" s="78">
        <v>61</v>
      </c>
      <c r="O310" s="180">
        <f t="shared" si="4"/>
        <v>1.5947712418300655</v>
      </c>
      <c r="P310" s="78">
        <v>39</v>
      </c>
      <c r="Q310" s="86">
        <f t="shared" si="8"/>
        <v>1.019607843137255E-2</v>
      </c>
      <c r="R310" s="5">
        <f>67+129</f>
        <v>196</v>
      </c>
      <c r="S310" s="69">
        <f t="shared" si="9"/>
        <v>5.1241830065359477E-2</v>
      </c>
      <c r="T310" s="5">
        <v>0</v>
      </c>
      <c r="U310" s="87">
        <f t="shared" si="10"/>
        <v>0</v>
      </c>
      <c r="V310" s="75">
        <f t="shared" si="11"/>
        <v>1.6562091503267975</v>
      </c>
      <c r="W310" s="168" t="s">
        <v>2107</v>
      </c>
    </row>
    <row r="311" spans="1:23">
      <c r="A311" s="67" t="s">
        <v>946</v>
      </c>
      <c r="B311" s="5" t="s">
        <v>1538</v>
      </c>
      <c r="C311" s="176" t="s">
        <v>24</v>
      </c>
      <c r="D311" s="5" t="s">
        <v>1536</v>
      </c>
      <c r="E311" s="5" t="s">
        <v>22</v>
      </c>
      <c r="F311" s="5">
        <v>4235</v>
      </c>
      <c r="G311" s="10" t="s">
        <v>1544</v>
      </c>
      <c r="H311" s="5">
        <f>180*12+7+135</f>
        <v>2302</v>
      </c>
      <c r="I311" s="69">
        <f t="shared" si="5"/>
        <v>0.54356552538370717</v>
      </c>
      <c r="J311" s="5">
        <f>180*6+80+99+107+10+115+36+62</f>
        <v>1589</v>
      </c>
      <c r="K311" s="69">
        <f t="shared" si="6"/>
        <v>0.37520661157024793</v>
      </c>
      <c r="L311" s="5">
        <v>51</v>
      </c>
      <c r="M311" s="80">
        <f t="shared" si="7"/>
        <v>1.2042502951593861E-2</v>
      </c>
      <c r="N311" s="78">
        <v>178</v>
      </c>
      <c r="O311" s="180">
        <f t="shared" si="4"/>
        <v>4.2030696576151119</v>
      </c>
      <c r="P311" s="78">
        <v>0</v>
      </c>
      <c r="Q311" s="86">
        <f t="shared" si="8"/>
        <v>0</v>
      </c>
      <c r="R311" s="5">
        <v>0</v>
      </c>
      <c r="S311" s="69">
        <f t="shared" si="9"/>
        <v>0</v>
      </c>
      <c r="T311" s="5">
        <v>115</v>
      </c>
      <c r="U311" s="87">
        <f t="shared" si="10"/>
        <v>2.7154663518299881E-2</v>
      </c>
      <c r="V311" s="75">
        <f t="shared" si="11"/>
        <v>4.2302243211334121</v>
      </c>
      <c r="W311" s="168" t="s">
        <v>2107</v>
      </c>
    </row>
    <row r="312" spans="1:23">
      <c r="A312" s="67" t="s">
        <v>946</v>
      </c>
      <c r="B312" s="5" t="s">
        <v>1538</v>
      </c>
      <c r="C312" s="76" t="s">
        <v>29</v>
      </c>
      <c r="D312" s="5" t="s">
        <v>1536</v>
      </c>
      <c r="E312" s="5" t="s">
        <v>22</v>
      </c>
      <c r="F312" s="5">
        <v>2650</v>
      </c>
      <c r="G312" s="10" t="s">
        <v>1551</v>
      </c>
      <c r="H312" s="5">
        <f>180*8+21+155</f>
        <v>1616</v>
      </c>
      <c r="I312" s="69">
        <f t="shared" si="5"/>
        <v>0.609811320754717</v>
      </c>
      <c r="J312" s="5">
        <f>101+170+50</f>
        <v>321</v>
      </c>
      <c r="K312" s="69">
        <f t="shared" si="6"/>
        <v>0.12113207547169812</v>
      </c>
      <c r="L312" s="5">
        <f>180*2+42+128</f>
        <v>530</v>
      </c>
      <c r="M312" s="80">
        <f t="shared" si="7"/>
        <v>0.2</v>
      </c>
      <c r="N312" s="78">
        <v>132</v>
      </c>
      <c r="O312" s="180">
        <f t="shared" si="4"/>
        <v>4.9811320754716979</v>
      </c>
      <c r="P312" s="78">
        <v>0</v>
      </c>
      <c r="Q312" s="86">
        <f t="shared" si="8"/>
        <v>0</v>
      </c>
      <c r="R312" s="5">
        <v>0</v>
      </c>
      <c r="S312" s="69">
        <f t="shared" si="9"/>
        <v>0</v>
      </c>
      <c r="T312" s="5">
        <v>51</v>
      </c>
      <c r="U312" s="87">
        <f t="shared" si="10"/>
        <v>1.9245283018867923E-2</v>
      </c>
      <c r="V312" s="75">
        <f t="shared" si="11"/>
        <v>5.0003773584905655</v>
      </c>
      <c r="W312" s="168" t="s">
        <v>2107</v>
      </c>
    </row>
    <row r="313" spans="1:23">
      <c r="A313" s="67" t="s">
        <v>950</v>
      </c>
      <c r="B313" s="5" t="s">
        <v>1530</v>
      </c>
      <c r="C313" s="76" t="s">
        <v>27</v>
      </c>
      <c r="D313" s="5" t="s">
        <v>1534</v>
      </c>
      <c r="E313" s="5" t="s">
        <v>22</v>
      </c>
      <c r="F313" s="5">
        <v>5589</v>
      </c>
      <c r="G313" s="10" t="s">
        <v>1554</v>
      </c>
      <c r="H313" s="5">
        <f>180*16+30+57</f>
        <v>2967</v>
      </c>
      <c r="I313" s="69">
        <f t="shared" si="5"/>
        <v>0.53086419753086422</v>
      </c>
      <c r="J313" s="5">
        <f>180*6+76+55</f>
        <v>1211</v>
      </c>
      <c r="K313" s="69">
        <f t="shared" si="6"/>
        <v>0.21667561281087852</v>
      </c>
      <c r="L313" s="5">
        <f>180*3+125</f>
        <v>665</v>
      </c>
      <c r="M313" s="80">
        <f t="shared" si="7"/>
        <v>0.11898371801753445</v>
      </c>
      <c r="N313" s="78">
        <v>220</v>
      </c>
      <c r="O313" s="180">
        <f t="shared" si="4"/>
        <v>3.9363034532116656</v>
      </c>
      <c r="P313" s="78">
        <v>105</v>
      </c>
      <c r="Q313" s="86">
        <f t="shared" si="8"/>
        <v>1.878690284487386E-2</v>
      </c>
      <c r="R313" s="5">
        <v>0</v>
      </c>
      <c r="S313" s="69">
        <f t="shared" si="9"/>
        <v>0</v>
      </c>
      <c r="T313" s="5">
        <f>180+127+114</f>
        <v>421</v>
      </c>
      <c r="U313" s="87">
        <f t="shared" si="10"/>
        <v>7.5326534263732328E-2</v>
      </c>
      <c r="V313" s="75">
        <f t="shared" si="11"/>
        <v>4.0304168903202715</v>
      </c>
      <c r="W313" s="168" t="s">
        <v>2107</v>
      </c>
    </row>
    <row r="314" spans="1:23">
      <c r="A314" s="67" t="s">
        <v>950</v>
      </c>
      <c r="B314" s="5" t="s">
        <v>1530</v>
      </c>
      <c r="C314" s="5" t="s">
        <v>31</v>
      </c>
      <c r="D314" s="5" t="s">
        <v>1536</v>
      </c>
      <c r="E314" s="5" t="s">
        <v>22</v>
      </c>
      <c r="F314" s="5">
        <v>3366</v>
      </c>
      <c r="G314" s="10" t="s">
        <v>1537</v>
      </c>
      <c r="H314" s="5">
        <f>180*7+164+145</f>
        <v>1569</v>
      </c>
      <c r="I314" s="69">
        <f t="shared" si="5"/>
        <v>0.46613190730837789</v>
      </c>
      <c r="J314" s="5">
        <f>180*2+180*2+125+53</f>
        <v>898</v>
      </c>
      <c r="K314" s="69">
        <f t="shared" si="6"/>
        <v>0.26678550207961971</v>
      </c>
      <c r="L314" s="5">
        <f>180+71+122</f>
        <v>373</v>
      </c>
      <c r="M314" s="80">
        <f t="shared" si="7"/>
        <v>0.11081402257872847</v>
      </c>
      <c r="N314" s="78">
        <v>163</v>
      </c>
      <c r="O314" s="180">
        <f t="shared" si="4"/>
        <v>4.8425430778371954</v>
      </c>
      <c r="P314" s="78">
        <v>125</v>
      </c>
      <c r="Q314" s="86">
        <f t="shared" si="8"/>
        <v>3.7136066547831255E-2</v>
      </c>
      <c r="R314" s="5">
        <f>180+51+7</f>
        <v>238</v>
      </c>
      <c r="S314" s="69">
        <f t="shared" si="9"/>
        <v>7.0707070707070704E-2</v>
      </c>
      <c r="T314" s="5">
        <v>0</v>
      </c>
      <c r="U314" s="87">
        <f t="shared" si="10"/>
        <v>0</v>
      </c>
      <c r="V314" s="75">
        <f t="shared" si="11"/>
        <v>4.9503862150920979</v>
      </c>
      <c r="W314" s="168" t="s">
        <v>2107</v>
      </c>
    </row>
    <row r="315" spans="1:23">
      <c r="A315" s="67" t="s">
        <v>950</v>
      </c>
      <c r="B315" s="5" t="s">
        <v>1575</v>
      </c>
      <c r="C315" s="5" t="s">
        <v>24</v>
      </c>
      <c r="D315" s="5" t="s">
        <v>1550</v>
      </c>
      <c r="E315" s="5" t="s">
        <v>22</v>
      </c>
      <c r="F315" s="5">
        <v>1836</v>
      </c>
      <c r="G315" s="10" t="s">
        <v>1544</v>
      </c>
      <c r="H315" s="5">
        <f>180*10</f>
        <v>1800</v>
      </c>
      <c r="I315" s="69">
        <f t="shared" si="5"/>
        <v>0.98039215686274506</v>
      </c>
      <c r="J315" s="5">
        <v>0</v>
      </c>
      <c r="K315" s="69">
        <f t="shared" si="6"/>
        <v>0</v>
      </c>
      <c r="L315" s="5">
        <v>0</v>
      </c>
      <c r="M315" s="80">
        <f t="shared" si="7"/>
        <v>0</v>
      </c>
      <c r="N315" s="78">
        <v>0</v>
      </c>
      <c r="O315" s="180">
        <f t="shared" si="4"/>
        <v>0</v>
      </c>
      <c r="P315" s="78">
        <v>36</v>
      </c>
      <c r="Q315" s="86">
        <f t="shared" si="8"/>
        <v>1.9607843137254902E-2</v>
      </c>
      <c r="R315" s="5">
        <v>0</v>
      </c>
      <c r="S315" s="69">
        <f t="shared" si="9"/>
        <v>0</v>
      </c>
      <c r="T315" s="5">
        <v>0</v>
      </c>
      <c r="U315" s="87">
        <f t="shared" si="10"/>
        <v>0</v>
      </c>
      <c r="V315" s="75">
        <f t="shared" si="11"/>
        <v>1.9607843137254902E-2</v>
      </c>
      <c r="W315" s="168" t="s">
        <v>2104</v>
      </c>
    </row>
    <row r="316" spans="1:23">
      <c r="A316" s="67" t="s">
        <v>950</v>
      </c>
      <c r="B316" s="5" t="s">
        <v>1538</v>
      </c>
      <c r="C316" s="76" t="s">
        <v>27</v>
      </c>
      <c r="D316" s="5" t="s">
        <v>1536</v>
      </c>
      <c r="E316" s="5" t="s">
        <v>22</v>
      </c>
      <c r="F316" s="5">
        <v>1747</v>
      </c>
      <c r="G316" s="10" t="s">
        <v>1544</v>
      </c>
      <c r="H316" s="5">
        <f>180*3</f>
        <v>540</v>
      </c>
      <c r="I316" s="69">
        <f t="shared" si="5"/>
        <v>0.30910131654264456</v>
      </c>
      <c r="J316" s="5">
        <f>180*3+118+180+144</f>
        <v>982</v>
      </c>
      <c r="K316" s="69">
        <f t="shared" si="6"/>
        <v>0.56210646823125354</v>
      </c>
      <c r="L316" s="5">
        <v>20</v>
      </c>
      <c r="M316" s="80">
        <f t="shared" si="7"/>
        <v>1.1448196908986834E-2</v>
      </c>
      <c r="N316" s="78">
        <v>80</v>
      </c>
      <c r="O316" s="180">
        <f t="shared" si="4"/>
        <v>4.5792787635947336</v>
      </c>
      <c r="P316" s="78">
        <v>75</v>
      </c>
      <c r="Q316" s="86">
        <f t="shared" si="8"/>
        <v>4.2930738408700632E-2</v>
      </c>
      <c r="R316" s="5">
        <v>0</v>
      </c>
      <c r="S316" s="69">
        <f t="shared" si="9"/>
        <v>0</v>
      </c>
      <c r="T316" s="5">
        <v>50</v>
      </c>
      <c r="U316" s="87">
        <f t="shared" si="10"/>
        <v>2.8620492272467088E-2</v>
      </c>
      <c r="V316" s="75">
        <f t="shared" si="11"/>
        <v>4.6508299942759015</v>
      </c>
      <c r="W316" s="168" t="s">
        <v>2107</v>
      </c>
    </row>
    <row r="317" spans="1:23">
      <c r="A317" s="67" t="s">
        <v>950</v>
      </c>
      <c r="B317" s="5" t="s">
        <v>1538</v>
      </c>
      <c r="C317" s="5" t="s">
        <v>1562</v>
      </c>
      <c r="D317" s="5" t="s">
        <v>1536</v>
      </c>
      <c r="E317" s="5" t="s">
        <v>1539</v>
      </c>
      <c r="F317" s="5">
        <v>1980</v>
      </c>
      <c r="G317" s="10" t="s">
        <v>1544</v>
      </c>
      <c r="H317" s="5">
        <f>180*1+45+49</f>
        <v>274</v>
      </c>
      <c r="I317" s="69">
        <f t="shared" si="5"/>
        <v>0.13838383838383839</v>
      </c>
      <c r="J317" s="5">
        <f>180*2+25+126</f>
        <v>511</v>
      </c>
      <c r="K317" s="69">
        <f t="shared" si="6"/>
        <v>0.25808080808080808</v>
      </c>
      <c r="L317" s="5">
        <f>7+180*5+96</f>
        <v>1003</v>
      </c>
      <c r="M317" s="80">
        <f t="shared" si="7"/>
        <v>0.50656565656565655</v>
      </c>
      <c r="N317" s="78">
        <v>70</v>
      </c>
      <c r="O317" s="180">
        <f t="shared" si="4"/>
        <v>3.535353535353535</v>
      </c>
      <c r="P317" s="78">
        <v>107</v>
      </c>
      <c r="Q317" s="86">
        <f t="shared" si="8"/>
        <v>5.4040404040404041E-2</v>
      </c>
      <c r="R317" s="5">
        <v>0</v>
      </c>
      <c r="S317" s="69">
        <f t="shared" si="9"/>
        <v>0</v>
      </c>
      <c r="T317" s="5">
        <v>15</v>
      </c>
      <c r="U317" s="87">
        <f t="shared" si="10"/>
        <v>7.575757575757576E-3</v>
      </c>
      <c r="V317" s="75">
        <f t="shared" si="11"/>
        <v>3.5969696969696967</v>
      </c>
      <c r="W317" s="168" t="s">
        <v>2107</v>
      </c>
    </row>
    <row r="318" spans="1:23">
      <c r="A318" s="67" t="s">
        <v>950</v>
      </c>
      <c r="B318" s="5" t="s">
        <v>1538</v>
      </c>
      <c r="C318" s="76" t="s">
        <v>29</v>
      </c>
      <c r="D318" s="5" t="s">
        <v>1536</v>
      </c>
      <c r="E318" s="5" t="s">
        <v>22</v>
      </c>
      <c r="F318" s="5">
        <v>3431</v>
      </c>
      <c r="G318" s="10" t="s">
        <v>1551</v>
      </c>
      <c r="H318" s="5">
        <f>180*12+25+93</f>
        <v>2278</v>
      </c>
      <c r="I318" s="69">
        <f t="shared" si="5"/>
        <v>0.66394637132031475</v>
      </c>
      <c r="J318" s="5">
        <f>180*3+84+80+10</f>
        <v>714</v>
      </c>
      <c r="K318" s="69">
        <f t="shared" si="6"/>
        <v>0.20810259399591954</v>
      </c>
      <c r="L318" s="5">
        <f>52+106</f>
        <v>158</v>
      </c>
      <c r="M318" s="80">
        <f t="shared" si="7"/>
        <v>4.6050714077528421E-2</v>
      </c>
      <c r="N318" s="78">
        <v>129</v>
      </c>
      <c r="O318" s="180">
        <f t="shared" si="4"/>
        <v>3.7598367822792191</v>
      </c>
      <c r="P318" s="78">
        <v>0</v>
      </c>
      <c r="Q318" s="86">
        <f t="shared" si="8"/>
        <v>0</v>
      </c>
      <c r="R318" s="5">
        <v>0</v>
      </c>
      <c r="S318" s="69">
        <f t="shared" si="9"/>
        <v>0</v>
      </c>
      <c r="T318" s="5">
        <f>145+7</f>
        <v>152</v>
      </c>
      <c r="U318" s="87">
        <f t="shared" si="10"/>
        <v>4.4301952783445057E-2</v>
      </c>
      <c r="V318" s="75">
        <f t="shared" si="11"/>
        <v>3.8041387350626641</v>
      </c>
      <c r="W318" s="168" t="s">
        <v>2107</v>
      </c>
    </row>
    <row r="319" spans="1:23">
      <c r="A319" s="67" t="s">
        <v>1613</v>
      </c>
      <c r="B319" s="5" t="s">
        <v>1530</v>
      </c>
      <c r="C319" s="5" t="s">
        <v>31</v>
      </c>
      <c r="D319" s="5" t="s">
        <v>1536</v>
      </c>
      <c r="E319" s="5" t="s">
        <v>22</v>
      </c>
      <c r="F319" s="5">
        <v>6112</v>
      </c>
      <c r="G319" s="10" t="s">
        <v>1537</v>
      </c>
      <c r="H319" s="5">
        <f>180*11+190</f>
        <v>2170</v>
      </c>
      <c r="I319" s="69">
        <f t="shared" si="5"/>
        <v>0.35503926701570682</v>
      </c>
      <c r="J319" s="5">
        <f>180*9+127+180+55+126+162</f>
        <v>2270</v>
      </c>
      <c r="K319" s="69">
        <f t="shared" si="6"/>
        <v>0.37140052356020942</v>
      </c>
      <c r="L319" s="5">
        <f>180+58+144+63</f>
        <v>445</v>
      </c>
      <c r="M319" s="80">
        <f t="shared" si="7"/>
        <v>7.2807591623036655E-2</v>
      </c>
      <c r="N319" s="78">
        <v>187</v>
      </c>
      <c r="O319" s="180">
        <f t="shared" si="4"/>
        <v>3.0595549738219896</v>
      </c>
      <c r="P319" s="78">
        <v>109</v>
      </c>
      <c r="Q319" s="86">
        <f t="shared" si="8"/>
        <v>1.7833769633507853E-2</v>
      </c>
      <c r="R319" s="5">
        <f>180*4+173+38</f>
        <v>931</v>
      </c>
      <c r="S319" s="69">
        <f t="shared" si="9"/>
        <v>0.15232329842931938</v>
      </c>
      <c r="T319" s="5">
        <v>0</v>
      </c>
      <c r="U319" s="87">
        <f t="shared" si="10"/>
        <v>0</v>
      </c>
      <c r="V319" s="75">
        <f t="shared" si="11"/>
        <v>3.2297120418848171</v>
      </c>
      <c r="W319" s="168" t="s">
        <v>2107</v>
      </c>
    </row>
    <row r="320" spans="1:23">
      <c r="A320" s="67" t="s">
        <v>1613</v>
      </c>
      <c r="B320" s="5" t="s">
        <v>1530</v>
      </c>
      <c r="C320" s="5" t="s">
        <v>24</v>
      </c>
      <c r="D320" s="5" t="s">
        <v>1534</v>
      </c>
      <c r="E320" s="5" t="s">
        <v>22</v>
      </c>
      <c r="F320" s="5">
        <v>4228</v>
      </c>
      <c r="G320" s="10" t="s">
        <v>1544</v>
      </c>
      <c r="H320" s="5">
        <f>180*18+52</f>
        <v>3292</v>
      </c>
      <c r="I320" s="69">
        <f t="shared" si="5"/>
        <v>0.77861873226111633</v>
      </c>
      <c r="J320" s="5">
        <f>180+123+94+91</f>
        <v>488</v>
      </c>
      <c r="K320" s="69">
        <f t="shared" si="6"/>
        <v>0.11542100283822138</v>
      </c>
      <c r="L320" s="5">
        <v>68</v>
      </c>
      <c r="M320" s="80">
        <f t="shared" si="7"/>
        <v>1.6083254493850521E-2</v>
      </c>
      <c r="N320" s="78">
        <v>153</v>
      </c>
      <c r="O320" s="180">
        <f t="shared" si="4"/>
        <v>3.6187322611163668</v>
      </c>
      <c r="P320" s="78">
        <v>141</v>
      </c>
      <c r="Q320" s="86">
        <f t="shared" si="8"/>
        <v>3.3349101229895935E-2</v>
      </c>
      <c r="R320" s="5">
        <v>0</v>
      </c>
      <c r="S320" s="69">
        <f t="shared" si="9"/>
        <v>0</v>
      </c>
      <c r="T320" s="5">
        <v>66</v>
      </c>
      <c r="U320" s="87">
        <f t="shared" si="10"/>
        <v>1.5610217596972564E-2</v>
      </c>
      <c r="V320" s="75">
        <f t="shared" si="11"/>
        <v>3.6676915799432352</v>
      </c>
      <c r="W320" s="168" t="s">
        <v>2104</v>
      </c>
    </row>
    <row r="321" spans="1:23">
      <c r="A321" s="67" t="s">
        <v>1613</v>
      </c>
      <c r="B321" s="5" t="s">
        <v>1538</v>
      </c>
      <c r="C321" s="5" t="s">
        <v>31</v>
      </c>
      <c r="D321" s="5" t="s">
        <v>1536</v>
      </c>
      <c r="E321" s="5" t="s">
        <v>22</v>
      </c>
      <c r="F321" s="5">
        <v>8430</v>
      </c>
      <c r="G321" s="77" t="s">
        <v>1540</v>
      </c>
      <c r="H321" s="5">
        <f>180*32+100+135</f>
        <v>5995</v>
      </c>
      <c r="I321" s="69">
        <f t="shared" si="5"/>
        <v>0.71115065243179121</v>
      </c>
      <c r="J321" s="5">
        <v>0</v>
      </c>
      <c r="K321" s="69">
        <f t="shared" si="6"/>
        <v>0</v>
      </c>
      <c r="L321" s="5">
        <f>180*3+20</f>
        <v>560</v>
      </c>
      <c r="M321" s="80">
        <f t="shared" si="7"/>
        <v>6.6429418742585997E-2</v>
      </c>
      <c r="N321" s="78">
        <v>1846</v>
      </c>
      <c r="O321" s="180">
        <f t="shared" si="4"/>
        <v>21.897983392645315</v>
      </c>
      <c r="P321" s="78">
        <v>0</v>
      </c>
      <c r="Q321" s="86">
        <f t="shared" si="8"/>
        <v>0</v>
      </c>
      <c r="R321" s="5">
        <v>0</v>
      </c>
      <c r="S321" s="69">
        <f t="shared" si="9"/>
        <v>0</v>
      </c>
      <c r="T321" s="5">
        <v>29</v>
      </c>
      <c r="U321" s="87">
        <f t="shared" si="10"/>
        <v>3.4400948991696323E-3</v>
      </c>
      <c r="V321" s="75">
        <f t="shared" si="11"/>
        <v>21.901423487544484</v>
      </c>
      <c r="W321" s="168" t="s">
        <v>1195</v>
      </c>
    </row>
    <row r="322" spans="1:23">
      <c r="A322" s="67" t="s">
        <v>1614</v>
      </c>
      <c r="B322" s="5" t="s">
        <v>1530</v>
      </c>
      <c r="C322" s="5" t="s">
        <v>24</v>
      </c>
      <c r="D322" s="5" t="s">
        <v>1534</v>
      </c>
      <c r="E322" s="5" t="s">
        <v>22</v>
      </c>
      <c r="F322" s="5">
        <v>4392</v>
      </c>
      <c r="G322" s="10" t="s">
        <v>1544</v>
      </c>
      <c r="H322" s="5">
        <f>180*19+128+152</f>
        <v>3700</v>
      </c>
      <c r="I322" s="69">
        <f t="shared" si="5"/>
        <v>0.84244080145719491</v>
      </c>
      <c r="J322" s="5">
        <f>166+89</f>
        <v>255</v>
      </c>
      <c r="K322" s="69">
        <f t="shared" si="6"/>
        <v>5.8060109289617488E-2</v>
      </c>
      <c r="L322" s="5">
        <f>180</f>
        <v>180</v>
      </c>
      <c r="M322" s="80">
        <f t="shared" si="7"/>
        <v>4.0983606557377046E-2</v>
      </c>
      <c r="N322" s="78">
        <v>80</v>
      </c>
      <c r="O322" s="180">
        <f t="shared" si="4"/>
        <v>1.8214936247723135</v>
      </c>
      <c r="P322" s="78">
        <v>115</v>
      </c>
      <c r="Q322" s="86">
        <f t="shared" si="8"/>
        <v>2.6183970856102003E-2</v>
      </c>
      <c r="R322" s="5">
        <v>0</v>
      </c>
      <c r="S322" s="69">
        <f t="shared" si="9"/>
        <v>0</v>
      </c>
      <c r="T322" s="5">
        <v>62</v>
      </c>
      <c r="U322" s="87">
        <f t="shared" si="10"/>
        <v>1.4116575591985429E-2</v>
      </c>
      <c r="V322" s="75">
        <f t="shared" si="11"/>
        <v>1.8617941712204009</v>
      </c>
      <c r="W322" s="168" t="s">
        <v>2104</v>
      </c>
    </row>
    <row r="323" spans="1:23">
      <c r="A323" s="67" t="s">
        <v>1614</v>
      </c>
      <c r="B323" s="5" t="s">
        <v>1530</v>
      </c>
      <c r="C323" s="5" t="s">
        <v>31</v>
      </c>
      <c r="D323" s="5" t="s">
        <v>1536</v>
      </c>
      <c r="E323" s="5" t="s">
        <v>22</v>
      </c>
      <c r="F323" s="5">
        <v>3825</v>
      </c>
      <c r="G323" s="10" t="s">
        <v>1537</v>
      </c>
      <c r="H323" s="5">
        <f>180*4+135</f>
        <v>855</v>
      </c>
      <c r="I323" s="69">
        <f t="shared" si="5"/>
        <v>0.22352941176470589</v>
      </c>
      <c r="J323" s="5">
        <f>180*8+18+54+137+89</f>
        <v>1738</v>
      </c>
      <c r="K323" s="69">
        <f t="shared" si="6"/>
        <v>0.45437908496732027</v>
      </c>
      <c r="L323" s="5">
        <f>180+36+144</f>
        <v>360</v>
      </c>
      <c r="M323" s="80">
        <f t="shared" si="7"/>
        <v>9.4117647058823528E-2</v>
      </c>
      <c r="N323" s="78">
        <v>167</v>
      </c>
      <c r="O323" s="180">
        <f t="shared" ref="O323:O386" si="12">N323/F323*100</f>
        <v>4.3660130718954253</v>
      </c>
      <c r="P323" s="78">
        <v>98</v>
      </c>
      <c r="Q323" s="86">
        <f t="shared" si="8"/>
        <v>2.5620915032679738E-2</v>
      </c>
      <c r="R323" s="5">
        <f>180*2+142+105</f>
        <v>607</v>
      </c>
      <c r="S323" s="69">
        <f t="shared" si="9"/>
        <v>0.15869281045751635</v>
      </c>
      <c r="T323" s="5">
        <v>0</v>
      </c>
      <c r="U323" s="87">
        <f t="shared" si="10"/>
        <v>0</v>
      </c>
      <c r="V323" s="75">
        <f t="shared" si="11"/>
        <v>4.5503267973856216</v>
      </c>
      <c r="W323" s="168" t="s">
        <v>2107</v>
      </c>
    </row>
    <row r="324" spans="1:23">
      <c r="A324" s="67" t="s">
        <v>1614</v>
      </c>
      <c r="B324" s="5" t="s">
        <v>1538</v>
      </c>
      <c r="C324" s="5" t="s">
        <v>31</v>
      </c>
      <c r="D324" s="5" t="s">
        <v>1536</v>
      </c>
      <c r="E324" s="5" t="s">
        <v>22</v>
      </c>
      <c r="F324" s="5">
        <v>12393</v>
      </c>
      <c r="G324" s="77" t="s">
        <v>1540</v>
      </c>
      <c r="H324" s="5">
        <f>180*58+45+113</f>
        <v>10598</v>
      </c>
      <c r="I324" s="69">
        <f t="shared" si="5"/>
        <v>0.85516017106431053</v>
      </c>
      <c r="J324" s="5">
        <f>180</f>
        <v>180</v>
      </c>
      <c r="K324" s="69">
        <f t="shared" si="6"/>
        <v>1.4524328249818447E-2</v>
      </c>
      <c r="L324" s="5">
        <f>180*2+160+58</f>
        <v>578</v>
      </c>
      <c r="M324" s="80">
        <f t="shared" si="7"/>
        <v>4.663923182441701E-2</v>
      </c>
      <c r="N324" s="78">
        <v>973</v>
      </c>
      <c r="O324" s="180">
        <f t="shared" si="12"/>
        <v>7.8512063261518605</v>
      </c>
      <c r="P324" s="78">
        <v>0</v>
      </c>
      <c r="Q324" s="86">
        <f t="shared" si="8"/>
        <v>0</v>
      </c>
      <c r="R324" s="5">
        <v>0</v>
      </c>
      <c r="S324" s="69">
        <f t="shared" si="9"/>
        <v>0</v>
      </c>
      <c r="T324" s="5">
        <v>64</v>
      </c>
      <c r="U324" s="87">
        <f t="shared" si="10"/>
        <v>5.1642055999354475E-3</v>
      </c>
      <c r="V324" s="75">
        <f t="shared" si="11"/>
        <v>7.8563705317517956</v>
      </c>
      <c r="W324" s="168" t="s">
        <v>1195</v>
      </c>
    </row>
    <row r="325" spans="1:23">
      <c r="A325" s="67" t="s">
        <v>1615</v>
      </c>
      <c r="B325" s="5" t="s">
        <v>1530</v>
      </c>
      <c r="C325" s="5" t="s">
        <v>24</v>
      </c>
      <c r="D325" s="5" t="s">
        <v>1534</v>
      </c>
      <c r="E325" s="5" t="s">
        <v>22</v>
      </c>
      <c r="F325" s="5">
        <v>5771</v>
      </c>
      <c r="G325" s="10" t="s">
        <v>1544</v>
      </c>
      <c r="H325" s="5">
        <f>180*27+28+15</f>
        <v>4903</v>
      </c>
      <c r="I325" s="69">
        <f t="shared" si="5"/>
        <v>0.84959279154392653</v>
      </c>
      <c r="J325" s="5">
        <f>180+14+62</f>
        <v>256</v>
      </c>
      <c r="K325" s="69">
        <f t="shared" si="6"/>
        <v>4.4359729682897246E-2</v>
      </c>
      <c r="L325" s="5">
        <v>59</v>
      </c>
      <c r="M325" s="80">
        <f t="shared" si="7"/>
        <v>1.0223531450355225E-2</v>
      </c>
      <c r="N325" s="78">
        <v>300</v>
      </c>
      <c r="O325" s="180">
        <f t="shared" si="12"/>
        <v>5.1984058222145215</v>
      </c>
      <c r="P325" s="78">
        <v>135</v>
      </c>
      <c r="Q325" s="86">
        <f t="shared" si="8"/>
        <v>2.3392826199965345E-2</v>
      </c>
      <c r="R325" s="5">
        <v>0</v>
      </c>
      <c r="S325" s="69">
        <f t="shared" si="9"/>
        <v>0</v>
      </c>
      <c r="T325" s="5">
        <v>118</v>
      </c>
      <c r="U325" s="87">
        <f t="shared" si="10"/>
        <v>2.0447062900710449E-2</v>
      </c>
      <c r="V325" s="75">
        <f t="shared" si="11"/>
        <v>5.2422457113151975</v>
      </c>
      <c r="W325" s="168" t="s">
        <v>2104</v>
      </c>
    </row>
    <row r="326" spans="1:23">
      <c r="A326" s="67" t="s">
        <v>1615</v>
      </c>
      <c r="B326" s="5" t="s">
        <v>1556</v>
      </c>
      <c r="C326" s="76" t="s">
        <v>29</v>
      </c>
      <c r="D326" s="5" t="s">
        <v>1611</v>
      </c>
      <c r="E326" s="5" t="s">
        <v>22</v>
      </c>
      <c r="F326" s="5">
        <v>4960</v>
      </c>
      <c r="G326" s="10" t="s">
        <v>1551</v>
      </c>
      <c r="H326" s="5">
        <f>170*23</f>
        <v>3910</v>
      </c>
      <c r="I326" s="69">
        <f t="shared" si="5"/>
        <v>0.78830645161290325</v>
      </c>
      <c r="J326" s="5">
        <v>0</v>
      </c>
      <c r="K326" s="69">
        <f t="shared" si="6"/>
        <v>0</v>
      </c>
      <c r="L326" s="5">
        <f>180*5+117</f>
        <v>1017</v>
      </c>
      <c r="M326" s="80">
        <f t="shared" si="7"/>
        <v>0.20504032258064517</v>
      </c>
      <c r="N326" s="78">
        <v>20</v>
      </c>
      <c r="O326" s="180">
        <f t="shared" si="12"/>
        <v>0.40322580645161288</v>
      </c>
      <c r="P326" s="78">
        <v>13</v>
      </c>
      <c r="Q326" s="86">
        <f t="shared" si="8"/>
        <v>2.6209677419354841E-3</v>
      </c>
      <c r="R326" s="5">
        <v>0</v>
      </c>
      <c r="S326" s="69">
        <f t="shared" si="9"/>
        <v>0</v>
      </c>
      <c r="T326" s="5">
        <v>0</v>
      </c>
      <c r="U326" s="87">
        <f t="shared" si="10"/>
        <v>0</v>
      </c>
      <c r="V326" s="75">
        <f t="shared" si="11"/>
        <v>0.40584677419354837</v>
      </c>
      <c r="W326" s="168" t="s">
        <v>2104</v>
      </c>
    </row>
    <row r="327" spans="1:23">
      <c r="A327" s="67" t="s">
        <v>1615</v>
      </c>
      <c r="B327" s="5" t="s">
        <v>1530</v>
      </c>
      <c r="C327" s="5" t="s">
        <v>31</v>
      </c>
      <c r="D327" s="5" t="s">
        <v>1536</v>
      </c>
      <c r="E327" s="5" t="s">
        <v>22</v>
      </c>
      <c r="F327" s="5">
        <v>4437</v>
      </c>
      <c r="G327" s="10" t="s">
        <v>1537</v>
      </c>
      <c r="H327" s="5">
        <f>180*10+100+44</f>
        <v>1944</v>
      </c>
      <c r="I327" s="69">
        <f t="shared" ref="I327:I358" si="13">H327/F327</f>
        <v>0.43813387423935091</v>
      </c>
      <c r="J327" s="5">
        <f>180*9+43+27+91+81</f>
        <v>1862</v>
      </c>
      <c r="K327" s="69">
        <f t="shared" ref="K327:K358" si="14">J327/F327</f>
        <v>0.41965291863871984</v>
      </c>
      <c r="L327" s="5">
        <f>36+150</f>
        <v>186</v>
      </c>
      <c r="M327" s="80">
        <f t="shared" ref="M327:M358" si="15">L327/F327</f>
        <v>4.1920216362407031E-2</v>
      </c>
      <c r="N327" s="78">
        <v>68</v>
      </c>
      <c r="O327" s="180">
        <f t="shared" si="12"/>
        <v>1.5325670498084289</v>
      </c>
      <c r="P327" s="78">
        <v>78</v>
      </c>
      <c r="Q327" s="86">
        <f t="shared" ref="Q327:Q358" si="16">P327/F327</f>
        <v>1.7579445571331981E-2</v>
      </c>
      <c r="R327" s="5">
        <f>180+75+44</f>
        <v>299</v>
      </c>
      <c r="S327" s="69">
        <f t="shared" ref="S327:S358" si="17">R327/F327</f>
        <v>6.7387874690105931E-2</v>
      </c>
      <c r="T327" s="5">
        <v>0</v>
      </c>
      <c r="U327" s="87">
        <f t="shared" ref="U327:U358" si="18">T327/F327</f>
        <v>0</v>
      </c>
      <c r="V327" s="75">
        <f t="shared" si="11"/>
        <v>1.617534370069867</v>
      </c>
      <c r="W327" s="168" t="s">
        <v>2107</v>
      </c>
    </row>
    <row r="328" spans="1:23">
      <c r="A328" s="67" t="s">
        <v>1615</v>
      </c>
      <c r="B328" s="5" t="s">
        <v>1530</v>
      </c>
      <c r="C328" s="5" t="s">
        <v>31</v>
      </c>
      <c r="D328" s="5" t="s">
        <v>1536</v>
      </c>
      <c r="E328" s="5" t="s">
        <v>22</v>
      </c>
      <c r="F328" s="5">
        <v>1185</v>
      </c>
      <c r="G328" s="5" t="s">
        <v>1616</v>
      </c>
      <c r="H328" s="5">
        <f>180*4+105</f>
        <v>825</v>
      </c>
      <c r="I328" s="69">
        <f t="shared" si="13"/>
        <v>0.69620253164556967</v>
      </c>
      <c r="J328" s="5">
        <v>0</v>
      </c>
      <c r="K328" s="69">
        <f t="shared" si="14"/>
        <v>0</v>
      </c>
      <c r="L328" s="5">
        <v>0</v>
      </c>
      <c r="M328" s="80">
        <f t="shared" si="15"/>
        <v>0</v>
      </c>
      <c r="N328" s="78">
        <v>292</v>
      </c>
      <c r="O328" s="180">
        <f t="shared" si="12"/>
        <v>24.641350210970465</v>
      </c>
      <c r="P328" s="78">
        <v>68</v>
      </c>
      <c r="Q328" s="86">
        <f t="shared" si="16"/>
        <v>5.7383966244725741E-2</v>
      </c>
      <c r="R328" s="5">
        <v>0</v>
      </c>
      <c r="S328" s="69">
        <f t="shared" si="17"/>
        <v>0</v>
      </c>
      <c r="T328" s="5">
        <v>0</v>
      </c>
      <c r="U328" s="87">
        <f t="shared" si="18"/>
        <v>0</v>
      </c>
      <c r="V328" s="75">
        <f t="shared" si="11"/>
        <v>24.69873417721519</v>
      </c>
      <c r="W328" s="168" t="s">
        <v>2106</v>
      </c>
    </row>
    <row r="329" spans="1:23">
      <c r="A329" s="67" t="s">
        <v>1615</v>
      </c>
      <c r="B329" s="5" t="s">
        <v>1538</v>
      </c>
      <c r="C329" s="5" t="s">
        <v>31</v>
      </c>
      <c r="D329" s="5" t="s">
        <v>1536</v>
      </c>
      <c r="E329" s="5" t="s">
        <v>22</v>
      </c>
      <c r="F329" s="5">
        <v>5780</v>
      </c>
      <c r="G329" s="77" t="s">
        <v>1540</v>
      </c>
      <c r="H329" s="5">
        <f>180*24+67+129</f>
        <v>4516</v>
      </c>
      <c r="I329" s="69">
        <f t="shared" si="13"/>
        <v>0.78131487889273354</v>
      </c>
      <c r="J329" s="5">
        <f>10</f>
        <v>10</v>
      </c>
      <c r="K329" s="69">
        <f t="shared" si="14"/>
        <v>1.7301038062283738E-3</v>
      </c>
      <c r="L329" s="5">
        <f>122+14+36</f>
        <v>172</v>
      </c>
      <c r="M329" s="80">
        <f t="shared" si="15"/>
        <v>2.9757785467128029E-2</v>
      </c>
      <c r="N329" s="78">
        <v>1046</v>
      </c>
      <c r="O329" s="180">
        <f t="shared" si="12"/>
        <v>18.096885813148788</v>
      </c>
      <c r="P329" s="78">
        <v>0</v>
      </c>
      <c r="Q329" s="86">
        <f t="shared" si="16"/>
        <v>0</v>
      </c>
      <c r="R329" s="5">
        <v>0</v>
      </c>
      <c r="S329" s="69">
        <f t="shared" si="17"/>
        <v>0</v>
      </c>
      <c r="T329" s="5">
        <v>36</v>
      </c>
      <c r="U329" s="87">
        <f t="shared" si="18"/>
        <v>6.2283737024221453E-3</v>
      </c>
      <c r="V329" s="75">
        <f t="shared" si="11"/>
        <v>18.103114186851212</v>
      </c>
      <c r="W329" s="168" t="s">
        <v>1195</v>
      </c>
    </row>
    <row r="330" spans="1:23">
      <c r="A330" s="67" t="s">
        <v>1615</v>
      </c>
      <c r="B330" s="5" t="s">
        <v>1538</v>
      </c>
      <c r="C330" s="76" t="s">
        <v>29</v>
      </c>
      <c r="D330" s="5" t="s">
        <v>1536</v>
      </c>
      <c r="E330" s="5" t="s">
        <v>22</v>
      </c>
      <c r="F330" s="5">
        <v>1780</v>
      </c>
      <c r="G330" s="10" t="s">
        <v>1545</v>
      </c>
      <c r="H330" s="5">
        <f>170*7+19</f>
        <v>1209</v>
      </c>
      <c r="I330" s="69">
        <f t="shared" si="13"/>
        <v>0.67921348314606744</v>
      </c>
      <c r="J330" s="5">
        <f>180+142+108</f>
        <v>430</v>
      </c>
      <c r="K330" s="69">
        <f t="shared" si="14"/>
        <v>0.24157303370786518</v>
      </c>
      <c r="L330" s="5">
        <v>0</v>
      </c>
      <c r="M330" s="80">
        <f t="shared" si="15"/>
        <v>0</v>
      </c>
      <c r="N330" s="78">
        <f>211-80</f>
        <v>131</v>
      </c>
      <c r="O330" s="180">
        <f t="shared" si="12"/>
        <v>7.3595505617977519</v>
      </c>
      <c r="P330" s="78">
        <v>0</v>
      </c>
      <c r="Q330" s="86">
        <f t="shared" si="16"/>
        <v>0</v>
      </c>
      <c r="R330" s="5">
        <v>0</v>
      </c>
      <c r="S330" s="69">
        <f t="shared" si="17"/>
        <v>0</v>
      </c>
      <c r="T330" s="5">
        <v>10</v>
      </c>
      <c r="U330" s="87">
        <f t="shared" si="18"/>
        <v>5.6179775280898875E-3</v>
      </c>
      <c r="V330" s="75">
        <f t="shared" si="11"/>
        <v>7.3651685393258415</v>
      </c>
      <c r="W330" s="168" t="s">
        <v>2107</v>
      </c>
    </row>
    <row r="331" spans="1:23">
      <c r="A331" s="67" t="s">
        <v>1615</v>
      </c>
      <c r="B331" s="5" t="s">
        <v>1538</v>
      </c>
      <c r="C331" s="176" t="s">
        <v>29</v>
      </c>
      <c r="D331" s="5" t="s">
        <v>1536</v>
      </c>
      <c r="E331" s="5" t="s">
        <v>1539</v>
      </c>
      <c r="F331" s="5">
        <v>1005</v>
      </c>
      <c r="G331" s="10" t="s">
        <v>1545</v>
      </c>
      <c r="H331" s="5">
        <f>170*4</f>
        <v>680</v>
      </c>
      <c r="I331" s="69">
        <f t="shared" si="13"/>
        <v>0.6766169154228856</v>
      </c>
      <c r="J331" s="5">
        <v>0</v>
      </c>
      <c r="K331" s="69">
        <f t="shared" si="14"/>
        <v>0</v>
      </c>
      <c r="L331" s="5">
        <v>119</v>
      </c>
      <c r="M331" s="80">
        <f t="shared" si="15"/>
        <v>0.11840796019900497</v>
      </c>
      <c r="N331" s="78">
        <v>197</v>
      </c>
      <c r="O331" s="180">
        <f t="shared" si="12"/>
        <v>19.601990049751244</v>
      </c>
      <c r="P331" s="78">
        <v>0</v>
      </c>
      <c r="Q331" s="86">
        <f t="shared" si="16"/>
        <v>0</v>
      </c>
      <c r="R331" s="5">
        <v>0</v>
      </c>
      <c r="S331" s="69">
        <f t="shared" si="17"/>
        <v>0</v>
      </c>
      <c r="T331" s="5">
        <v>9</v>
      </c>
      <c r="U331" s="87">
        <f t="shared" si="18"/>
        <v>8.9552238805970154E-3</v>
      </c>
      <c r="V331" s="75">
        <f t="shared" si="11"/>
        <v>19.610945273631842</v>
      </c>
      <c r="W331" s="168" t="s">
        <v>2107</v>
      </c>
    </row>
    <row r="332" spans="1:23">
      <c r="A332" s="67" t="s">
        <v>1617</v>
      </c>
      <c r="B332" s="5" t="s">
        <v>1530</v>
      </c>
      <c r="C332" s="5" t="s">
        <v>31</v>
      </c>
      <c r="D332" s="5" t="s">
        <v>1536</v>
      </c>
      <c r="E332" s="5" t="s">
        <v>22</v>
      </c>
      <c r="F332" s="5">
        <v>5661</v>
      </c>
      <c r="G332" s="10" t="s">
        <v>1537</v>
      </c>
      <c r="H332" s="5">
        <f>180*12+136+170</f>
        <v>2466</v>
      </c>
      <c r="I332" s="69">
        <f t="shared" si="13"/>
        <v>0.43561208267090618</v>
      </c>
      <c r="J332" s="5">
        <f>180*10+153+99+49+142</f>
        <v>2243</v>
      </c>
      <c r="K332" s="69">
        <f t="shared" si="14"/>
        <v>0.39621974916092562</v>
      </c>
      <c r="L332" s="5">
        <f>180+30+109</f>
        <v>319</v>
      </c>
      <c r="M332" s="80">
        <f t="shared" si="15"/>
        <v>5.6350468115173996E-2</v>
      </c>
      <c r="N332" s="78">
        <v>109</v>
      </c>
      <c r="O332" s="180">
        <f t="shared" si="12"/>
        <v>1.9254548666313371</v>
      </c>
      <c r="P332" s="78">
        <v>118</v>
      </c>
      <c r="Q332" s="86">
        <f t="shared" si="16"/>
        <v>2.0844373785550256E-2</v>
      </c>
      <c r="R332" s="5">
        <f>180+136+90</f>
        <v>406</v>
      </c>
      <c r="S332" s="69">
        <f t="shared" si="17"/>
        <v>7.1718777601130546E-2</v>
      </c>
      <c r="T332" s="5">
        <v>0</v>
      </c>
      <c r="U332" s="87">
        <f t="shared" si="18"/>
        <v>0</v>
      </c>
      <c r="V332" s="75">
        <f t="shared" si="11"/>
        <v>2.0180180180180178</v>
      </c>
      <c r="W332" s="168" t="s">
        <v>2107</v>
      </c>
    </row>
    <row r="333" spans="1:23">
      <c r="A333" s="67" t="s">
        <v>1617</v>
      </c>
      <c r="B333" s="5" t="s">
        <v>1530</v>
      </c>
      <c r="C333" s="5" t="s">
        <v>31</v>
      </c>
      <c r="D333" s="5" t="s">
        <v>1536</v>
      </c>
      <c r="E333" s="5" t="s">
        <v>22</v>
      </c>
      <c r="F333" s="5">
        <v>1830</v>
      </c>
      <c r="G333" s="5" t="s">
        <v>1616</v>
      </c>
      <c r="H333" s="5">
        <f>180*7+75</f>
        <v>1335</v>
      </c>
      <c r="I333" s="69">
        <f t="shared" si="13"/>
        <v>0.72950819672131151</v>
      </c>
      <c r="J333" s="5">
        <v>0</v>
      </c>
      <c r="K333" s="69">
        <f t="shared" si="14"/>
        <v>0</v>
      </c>
      <c r="L333" s="5">
        <v>0</v>
      </c>
      <c r="M333" s="80">
        <f t="shared" si="15"/>
        <v>0</v>
      </c>
      <c r="N333" s="78">
        <v>495</v>
      </c>
      <c r="O333" s="180">
        <f t="shared" si="12"/>
        <v>27.049180327868854</v>
      </c>
      <c r="P333" s="78">
        <v>0</v>
      </c>
      <c r="Q333" s="86">
        <f t="shared" si="16"/>
        <v>0</v>
      </c>
      <c r="R333" s="5">
        <v>0</v>
      </c>
      <c r="S333" s="69">
        <f t="shared" si="17"/>
        <v>0</v>
      </c>
      <c r="T333" s="5">
        <v>0</v>
      </c>
      <c r="U333" s="87">
        <f t="shared" si="18"/>
        <v>0</v>
      </c>
      <c r="V333" s="75">
        <f t="shared" si="11"/>
        <v>27.049180327868854</v>
      </c>
      <c r="W333" s="168" t="s">
        <v>2106</v>
      </c>
    </row>
    <row r="334" spans="1:23">
      <c r="A334" s="67" t="s">
        <v>1617</v>
      </c>
      <c r="B334" s="5" t="s">
        <v>1530</v>
      </c>
      <c r="C334" s="76" t="s">
        <v>29</v>
      </c>
      <c r="D334" s="5" t="s">
        <v>1534</v>
      </c>
      <c r="E334" s="5" t="s">
        <v>22</v>
      </c>
      <c r="F334" s="5">
        <v>3240</v>
      </c>
      <c r="G334" s="10" t="s">
        <v>1545</v>
      </c>
      <c r="H334" s="5">
        <f>180*9+144</f>
        <v>1764</v>
      </c>
      <c r="I334" s="69">
        <f t="shared" si="13"/>
        <v>0.5444444444444444</v>
      </c>
      <c r="J334" s="5">
        <f>180*2+140</f>
        <v>500</v>
      </c>
      <c r="K334" s="69">
        <f t="shared" si="14"/>
        <v>0.15432098765432098</v>
      </c>
      <c r="L334" s="5">
        <f>180*2+32</f>
        <v>392</v>
      </c>
      <c r="M334" s="80">
        <f t="shared" si="15"/>
        <v>0.12098765432098765</v>
      </c>
      <c r="N334" s="78">
        <v>110</v>
      </c>
      <c r="O334" s="180">
        <f t="shared" si="12"/>
        <v>3.3950617283950617</v>
      </c>
      <c r="P334" s="78">
        <v>115</v>
      </c>
      <c r="Q334" s="86">
        <f t="shared" si="16"/>
        <v>3.5493827160493825E-2</v>
      </c>
      <c r="R334" s="5">
        <v>102</v>
      </c>
      <c r="S334" s="69">
        <f t="shared" si="17"/>
        <v>3.1481481481481478E-2</v>
      </c>
      <c r="T334" s="5">
        <f>180+77</f>
        <v>257</v>
      </c>
      <c r="U334" s="87">
        <f t="shared" si="18"/>
        <v>7.9320987654320982E-2</v>
      </c>
      <c r="V334" s="75">
        <f t="shared" si="11"/>
        <v>3.5413580246913581</v>
      </c>
      <c r="W334" s="168" t="s">
        <v>2107</v>
      </c>
    </row>
    <row r="335" spans="1:23">
      <c r="A335" s="67" t="s">
        <v>1617</v>
      </c>
      <c r="B335" s="5" t="s">
        <v>1530</v>
      </c>
      <c r="C335" s="5" t="s">
        <v>24</v>
      </c>
      <c r="D335" s="5" t="s">
        <v>1534</v>
      </c>
      <c r="E335" s="5" t="s">
        <v>22</v>
      </c>
      <c r="F335" s="5">
        <v>765</v>
      </c>
      <c r="G335" s="10" t="s">
        <v>1544</v>
      </c>
      <c r="H335" s="5">
        <f>180*2+165+51</f>
        <v>576</v>
      </c>
      <c r="I335" s="69">
        <f t="shared" si="13"/>
        <v>0.75294117647058822</v>
      </c>
      <c r="J335" s="5">
        <v>112</v>
      </c>
      <c r="K335" s="69">
        <f t="shared" si="14"/>
        <v>0.14640522875816994</v>
      </c>
      <c r="L335" s="5">
        <v>8</v>
      </c>
      <c r="M335" s="80">
        <f t="shared" si="15"/>
        <v>1.045751633986928E-2</v>
      </c>
      <c r="N335" s="78">
        <v>35</v>
      </c>
      <c r="O335" s="180">
        <f t="shared" si="12"/>
        <v>4.5751633986928102</v>
      </c>
      <c r="P335" s="78">
        <v>29</v>
      </c>
      <c r="Q335" s="86">
        <f t="shared" si="16"/>
        <v>3.7908496732026141E-2</v>
      </c>
      <c r="R335" s="5">
        <v>0</v>
      </c>
      <c r="S335" s="69">
        <f t="shared" si="17"/>
        <v>0</v>
      </c>
      <c r="T335" s="5">
        <v>5</v>
      </c>
      <c r="U335" s="87">
        <f t="shared" si="18"/>
        <v>6.5359477124183009E-3</v>
      </c>
      <c r="V335" s="75">
        <f t="shared" si="11"/>
        <v>4.6196078431372545</v>
      </c>
      <c r="W335" s="168" t="s">
        <v>2104</v>
      </c>
    </row>
    <row r="336" spans="1:23">
      <c r="A336" s="67" t="s">
        <v>1617</v>
      </c>
      <c r="B336" s="5" t="s">
        <v>1530</v>
      </c>
      <c r="C336" s="76" t="s">
        <v>29</v>
      </c>
      <c r="D336" s="5" t="s">
        <v>1611</v>
      </c>
      <c r="E336" s="5" t="s">
        <v>22</v>
      </c>
      <c r="F336" s="5">
        <v>6044</v>
      </c>
      <c r="G336" s="10" t="s">
        <v>1545</v>
      </c>
      <c r="H336" s="5">
        <f>180*32</f>
        <v>5760</v>
      </c>
      <c r="I336" s="69">
        <f t="shared" si="13"/>
        <v>0.95301125082726668</v>
      </c>
      <c r="J336" s="5">
        <v>148</v>
      </c>
      <c r="K336" s="69">
        <f t="shared" si="14"/>
        <v>2.4487094639311716E-2</v>
      </c>
      <c r="L336" s="5">
        <v>0</v>
      </c>
      <c r="M336" s="80">
        <f t="shared" si="15"/>
        <v>0</v>
      </c>
      <c r="N336" s="78">
        <v>36</v>
      </c>
      <c r="O336" s="180">
        <f t="shared" si="12"/>
        <v>0.59563203176704171</v>
      </c>
      <c r="P336" s="78">
        <v>100</v>
      </c>
      <c r="Q336" s="86">
        <f t="shared" si="16"/>
        <v>1.6545334215751158E-2</v>
      </c>
      <c r="R336" s="5">
        <v>0</v>
      </c>
      <c r="S336" s="69">
        <f t="shared" si="17"/>
        <v>0</v>
      </c>
      <c r="T336" s="5">
        <v>0</v>
      </c>
      <c r="U336" s="87">
        <f t="shared" si="18"/>
        <v>0</v>
      </c>
      <c r="V336" s="75">
        <f t="shared" si="11"/>
        <v>0.61217736598279282</v>
      </c>
      <c r="W336" s="168" t="s">
        <v>2107</v>
      </c>
    </row>
    <row r="337" spans="1:23">
      <c r="A337" s="67" t="s">
        <v>1617</v>
      </c>
      <c r="B337" s="5" t="s">
        <v>1538</v>
      </c>
      <c r="C337" s="76" t="s">
        <v>29</v>
      </c>
      <c r="D337" s="5" t="s">
        <v>1536</v>
      </c>
      <c r="E337" s="5" t="s">
        <v>22</v>
      </c>
      <c r="F337" s="5">
        <v>3570</v>
      </c>
      <c r="G337" s="10" t="s">
        <v>1545</v>
      </c>
      <c r="H337" s="5">
        <f>170*15</f>
        <v>2550</v>
      </c>
      <c r="I337" s="69">
        <f t="shared" si="13"/>
        <v>0.7142857142857143</v>
      </c>
      <c r="J337" s="5">
        <f>180*4</f>
        <v>720</v>
      </c>
      <c r="K337" s="69">
        <f t="shared" si="14"/>
        <v>0.20168067226890757</v>
      </c>
      <c r="L337" s="5">
        <f>180*1</f>
        <v>180</v>
      </c>
      <c r="M337" s="80">
        <f t="shared" si="15"/>
        <v>5.0420168067226892E-2</v>
      </c>
      <c r="N337" s="78">
        <v>82</v>
      </c>
      <c r="O337" s="180">
        <f t="shared" si="12"/>
        <v>2.2969187675070031</v>
      </c>
      <c r="P337" s="78">
        <v>0</v>
      </c>
      <c r="Q337" s="86">
        <f t="shared" si="16"/>
        <v>0</v>
      </c>
      <c r="R337" s="5">
        <v>0</v>
      </c>
      <c r="S337" s="69">
        <f t="shared" si="17"/>
        <v>0</v>
      </c>
      <c r="T337" s="5">
        <v>38</v>
      </c>
      <c r="U337" s="87">
        <f t="shared" si="18"/>
        <v>1.0644257703081233E-2</v>
      </c>
      <c r="V337" s="75">
        <f t="shared" si="11"/>
        <v>2.3075630252100843</v>
      </c>
      <c r="W337" s="168" t="s">
        <v>2107</v>
      </c>
    </row>
    <row r="338" spans="1:23">
      <c r="A338" s="67" t="s">
        <v>1617</v>
      </c>
      <c r="B338" s="5" t="s">
        <v>1538</v>
      </c>
      <c r="C338" s="176" t="s">
        <v>29</v>
      </c>
      <c r="D338" s="5" t="s">
        <v>1536</v>
      </c>
      <c r="E338" s="5" t="s">
        <v>1539</v>
      </c>
      <c r="F338" s="5">
        <v>2995</v>
      </c>
      <c r="G338" s="10" t="s">
        <v>1545</v>
      </c>
      <c r="H338" s="5">
        <f>170*8+151+96</f>
        <v>1607</v>
      </c>
      <c r="I338" s="69">
        <f t="shared" si="13"/>
        <v>0.53656093489148582</v>
      </c>
      <c r="J338" s="5">
        <f>180*3+72+149</f>
        <v>761</v>
      </c>
      <c r="K338" s="69">
        <f t="shared" si="14"/>
        <v>0.25409015025041737</v>
      </c>
      <c r="L338" s="5">
        <f>180*2+61+106</f>
        <v>527</v>
      </c>
      <c r="M338" s="80">
        <f t="shared" si="15"/>
        <v>0.17595993322203674</v>
      </c>
      <c r="N338" s="78">
        <v>75</v>
      </c>
      <c r="O338" s="180">
        <f t="shared" si="12"/>
        <v>2.5041736227045077</v>
      </c>
      <c r="P338" s="78">
        <v>0</v>
      </c>
      <c r="Q338" s="86">
        <f t="shared" si="16"/>
        <v>0</v>
      </c>
      <c r="R338" s="5">
        <v>0</v>
      </c>
      <c r="S338" s="69">
        <f t="shared" si="17"/>
        <v>0</v>
      </c>
      <c r="T338" s="5">
        <v>25</v>
      </c>
      <c r="U338" s="87">
        <f t="shared" si="18"/>
        <v>8.3472454090150246E-3</v>
      </c>
      <c r="V338" s="75">
        <f t="shared" si="11"/>
        <v>2.5125208681135227</v>
      </c>
      <c r="W338" s="168" t="s">
        <v>2107</v>
      </c>
    </row>
    <row r="339" spans="1:23">
      <c r="A339" s="67" t="s">
        <v>1618</v>
      </c>
      <c r="B339" s="5" t="s">
        <v>1530</v>
      </c>
      <c r="C339" s="76" t="s">
        <v>29</v>
      </c>
      <c r="D339" s="5" t="s">
        <v>1534</v>
      </c>
      <c r="E339" s="5" t="s">
        <v>22</v>
      </c>
      <c r="F339" s="5">
        <v>540</v>
      </c>
      <c r="G339" s="10" t="s">
        <v>1545</v>
      </c>
      <c r="H339" s="5">
        <f>180*2+72</f>
        <v>432</v>
      </c>
      <c r="I339" s="69">
        <f t="shared" si="13"/>
        <v>0.8</v>
      </c>
      <c r="J339" s="5">
        <v>25</v>
      </c>
      <c r="K339" s="69">
        <f t="shared" si="14"/>
        <v>4.6296296296296294E-2</v>
      </c>
      <c r="L339" s="5">
        <v>40</v>
      </c>
      <c r="M339" s="80">
        <f t="shared" si="15"/>
        <v>7.407407407407407E-2</v>
      </c>
      <c r="N339" s="78">
        <v>35</v>
      </c>
      <c r="O339" s="180">
        <f t="shared" si="12"/>
        <v>6.481481481481481</v>
      </c>
      <c r="P339" s="78">
        <v>8</v>
      </c>
      <c r="Q339" s="86">
        <f t="shared" si="16"/>
        <v>1.4814814814814815E-2</v>
      </c>
      <c r="R339" s="5">
        <v>0</v>
      </c>
      <c r="S339" s="69">
        <f t="shared" si="17"/>
        <v>0</v>
      </c>
      <c r="T339" s="5">
        <v>0</v>
      </c>
      <c r="U339" s="87">
        <f t="shared" si="18"/>
        <v>0</v>
      </c>
      <c r="V339" s="75">
        <f t="shared" si="11"/>
        <v>6.496296296296296</v>
      </c>
      <c r="W339" s="168" t="s">
        <v>2107</v>
      </c>
    </row>
    <row r="340" spans="1:23">
      <c r="A340" s="67" t="s">
        <v>1618</v>
      </c>
      <c r="B340" s="5" t="s">
        <v>1530</v>
      </c>
      <c r="C340" s="76" t="s">
        <v>27</v>
      </c>
      <c r="D340" s="5" t="s">
        <v>1534</v>
      </c>
      <c r="E340" s="5" t="s">
        <v>22</v>
      </c>
      <c r="F340" s="5">
        <v>3035</v>
      </c>
      <c r="G340" s="10" t="s">
        <v>1535</v>
      </c>
      <c r="H340" s="5">
        <f>180*12+49</f>
        <v>2209</v>
      </c>
      <c r="I340" s="69">
        <f t="shared" si="13"/>
        <v>0.72784184514003292</v>
      </c>
      <c r="J340" s="5">
        <f>139+56</f>
        <v>195</v>
      </c>
      <c r="K340" s="69">
        <f t="shared" si="14"/>
        <v>6.4250411861614495E-2</v>
      </c>
      <c r="L340" s="5">
        <f>180*2+33</f>
        <v>393</v>
      </c>
      <c r="M340" s="80">
        <f t="shared" si="15"/>
        <v>0.12948929159802305</v>
      </c>
      <c r="N340" s="78">
        <v>40</v>
      </c>
      <c r="O340" s="180">
        <f t="shared" si="12"/>
        <v>1.3179571663920924</v>
      </c>
      <c r="P340" s="78">
        <v>150</v>
      </c>
      <c r="Q340" s="86">
        <f t="shared" si="16"/>
        <v>4.9423393739703461E-2</v>
      </c>
      <c r="R340" s="5">
        <v>0</v>
      </c>
      <c r="S340" s="69">
        <f t="shared" si="17"/>
        <v>0</v>
      </c>
      <c r="T340" s="5">
        <v>48</v>
      </c>
      <c r="U340" s="87">
        <f t="shared" si="18"/>
        <v>1.5815485996705108E-2</v>
      </c>
      <c r="V340" s="75">
        <f t="shared" si="11"/>
        <v>1.3831960461285009</v>
      </c>
      <c r="W340" s="168" t="s">
        <v>2107</v>
      </c>
    </row>
    <row r="341" spans="1:23">
      <c r="A341" s="67" t="s">
        <v>1618</v>
      </c>
      <c r="B341" s="5" t="s">
        <v>1530</v>
      </c>
      <c r="C341" s="76" t="s">
        <v>29</v>
      </c>
      <c r="D341" s="5" t="s">
        <v>1534</v>
      </c>
      <c r="E341" s="5" t="s">
        <v>22</v>
      </c>
      <c r="F341" s="5">
        <v>7020</v>
      </c>
      <c r="G341" s="10" t="s">
        <v>1545</v>
      </c>
      <c r="H341" s="5">
        <f>180*29+108+36</f>
        <v>5364</v>
      </c>
      <c r="I341" s="69">
        <f t="shared" si="13"/>
        <v>0.76410256410256405</v>
      </c>
      <c r="J341" s="5">
        <f>180*2+40+42</f>
        <v>442</v>
      </c>
      <c r="K341" s="69">
        <f t="shared" si="14"/>
        <v>6.2962962962962957E-2</v>
      </c>
      <c r="L341" s="5">
        <f>180*4+148+41</f>
        <v>909</v>
      </c>
      <c r="M341" s="80">
        <f t="shared" si="15"/>
        <v>0.1294871794871795</v>
      </c>
      <c r="N341" s="78">
        <v>28</v>
      </c>
      <c r="O341" s="180">
        <f t="shared" si="12"/>
        <v>0.39886039886039887</v>
      </c>
      <c r="P341" s="78">
        <v>69</v>
      </c>
      <c r="Q341" s="86">
        <f t="shared" si="16"/>
        <v>9.8290598290598288E-3</v>
      </c>
      <c r="R341" s="5">
        <v>0</v>
      </c>
      <c r="S341" s="69">
        <f t="shared" si="17"/>
        <v>0</v>
      </c>
      <c r="T341" s="5">
        <f>103+105</f>
        <v>208</v>
      </c>
      <c r="U341" s="87">
        <f t="shared" si="18"/>
        <v>2.9629629629629631E-2</v>
      </c>
      <c r="V341" s="75">
        <f t="shared" si="11"/>
        <v>0.43831908831908833</v>
      </c>
      <c r="W341" s="168" t="s">
        <v>2107</v>
      </c>
    </row>
    <row r="342" spans="1:23">
      <c r="A342" s="67" t="s">
        <v>1618</v>
      </c>
      <c r="B342" s="5" t="s">
        <v>1530</v>
      </c>
      <c r="C342" s="5" t="s">
        <v>31</v>
      </c>
      <c r="D342" s="5" t="s">
        <v>1536</v>
      </c>
      <c r="E342" s="5" t="s">
        <v>22</v>
      </c>
      <c r="F342" s="5">
        <v>1590</v>
      </c>
      <c r="G342" s="5" t="s">
        <v>1616</v>
      </c>
      <c r="H342" s="5">
        <f>180*6+84</f>
        <v>1164</v>
      </c>
      <c r="I342" s="69">
        <f t="shared" si="13"/>
        <v>0.73207547169811316</v>
      </c>
      <c r="J342" s="5">
        <v>0</v>
      </c>
      <c r="K342" s="69">
        <f t="shared" si="14"/>
        <v>0</v>
      </c>
      <c r="L342" s="5">
        <v>0</v>
      </c>
      <c r="M342" s="80">
        <f t="shared" si="15"/>
        <v>0</v>
      </c>
      <c r="N342" s="78">
        <v>362</v>
      </c>
      <c r="O342" s="180">
        <f t="shared" si="12"/>
        <v>22.767295597484278</v>
      </c>
      <c r="P342" s="78">
        <v>64</v>
      </c>
      <c r="Q342" s="86">
        <f t="shared" si="16"/>
        <v>4.0251572327044023E-2</v>
      </c>
      <c r="R342" s="5">
        <v>0</v>
      </c>
      <c r="S342" s="69">
        <f t="shared" si="17"/>
        <v>0</v>
      </c>
      <c r="T342" s="5">
        <v>0</v>
      </c>
      <c r="U342" s="87">
        <f t="shared" si="18"/>
        <v>0</v>
      </c>
      <c r="V342" s="75">
        <f t="shared" si="11"/>
        <v>22.807547169811322</v>
      </c>
      <c r="W342" s="168" t="s">
        <v>2106</v>
      </c>
    </row>
    <row r="343" spans="1:23">
      <c r="A343" s="67" t="s">
        <v>1618</v>
      </c>
      <c r="B343" s="5" t="s">
        <v>1530</v>
      </c>
      <c r="C343" s="5" t="s">
        <v>31</v>
      </c>
      <c r="D343" s="5" t="s">
        <v>1536</v>
      </c>
      <c r="E343" s="5" t="s">
        <v>22</v>
      </c>
      <c r="F343" s="5">
        <v>5255</v>
      </c>
      <c r="G343" s="10" t="s">
        <v>1537</v>
      </c>
      <c r="H343" s="5">
        <f>180*15+10+67</f>
        <v>2777</v>
      </c>
      <c r="I343" s="69">
        <f t="shared" si="13"/>
        <v>0.52844909609895341</v>
      </c>
      <c r="J343" s="5">
        <f>180*6+131+35+38+135</f>
        <v>1419</v>
      </c>
      <c r="K343" s="69">
        <f t="shared" si="14"/>
        <v>0.27002854424357753</v>
      </c>
      <c r="L343" s="5">
        <f>180+71+67</f>
        <v>318</v>
      </c>
      <c r="M343" s="80">
        <f t="shared" si="15"/>
        <v>6.0513796384395815E-2</v>
      </c>
      <c r="N343" s="78">
        <v>169</v>
      </c>
      <c r="O343" s="180">
        <f t="shared" si="12"/>
        <v>3.2159847764034253</v>
      </c>
      <c r="P343" s="78">
        <v>255</v>
      </c>
      <c r="Q343" s="86">
        <f t="shared" si="16"/>
        <v>4.8525214081826834E-2</v>
      </c>
      <c r="R343" s="5">
        <f>180+90+147</f>
        <v>417</v>
      </c>
      <c r="S343" s="69">
        <f t="shared" si="17"/>
        <v>7.9352997145575643E-2</v>
      </c>
      <c r="T343" s="5">
        <v>0</v>
      </c>
      <c r="U343" s="87">
        <f t="shared" si="18"/>
        <v>0</v>
      </c>
      <c r="V343" s="75">
        <f t="shared" si="11"/>
        <v>3.3438629876308275</v>
      </c>
      <c r="W343" s="168" t="s">
        <v>2107</v>
      </c>
    </row>
    <row r="344" spans="1:23">
      <c r="A344" s="67" t="s">
        <v>1618</v>
      </c>
      <c r="B344" s="5" t="s">
        <v>1538</v>
      </c>
      <c r="C344" s="76" t="s">
        <v>29</v>
      </c>
      <c r="D344" s="5" t="s">
        <v>1536</v>
      </c>
      <c r="E344" s="5" t="s">
        <v>22</v>
      </c>
      <c r="F344" s="5">
        <v>2335</v>
      </c>
      <c r="G344" s="10" t="s">
        <v>1545</v>
      </c>
      <c r="H344" s="5">
        <f>170*8</f>
        <v>1360</v>
      </c>
      <c r="I344" s="69">
        <f t="shared" si="13"/>
        <v>0.58244111349036398</v>
      </c>
      <c r="J344" s="5">
        <f>180*3</f>
        <v>540</v>
      </c>
      <c r="K344" s="69">
        <f t="shared" si="14"/>
        <v>0.23126338329764454</v>
      </c>
      <c r="L344" s="5">
        <f>180*2</f>
        <v>360</v>
      </c>
      <c r="M344" s="80">
        <f t="shared" si="15"/>
        <v>0.15417558886509636</v>
      </c>
      <c r="N344" s="78">
        <f>120-75</f>
        <v>45</v>
      </c>
      <c r="O344" s="180">
        <f t="shared" si="12"/>
        <v>1.9271948608137044</v>
      </c>
      <c r="P344" s="78">
        <v>0</v>
      </c>
      <c r="Q344" s="86">
        <f t="shared" si="16"/>
        <v>0</v>
      </c>
      <c r="R344" s="5">
        <v>0</v>
      </c>
      <c r="S344" s="69">
        <f t="shared" si="17"/>
        <v>0</v>
      </c>
      <c r="T344" s="5">
        <v>30</v>
      </c>
      <c r="U344" s="87">
        <f t="shared" si="18"/>
        <v>1.284796573875803E-2</v>
      </c>
      <c r="V344" s="75">
        <f t="shared" si="11"/>
        <v>1.9400428265524625</v>
      </c>
      <c r="W344" s="168" t="s">
        <v>2107</v>
      </c>
    </row>
    <row r="345" spans="1:23">
      <c r="A345" s="67" t="s">
        <v>1618</v>
      </c>
      <c r="B345" s="5" t="s">
        <v>1538</v>
      </c>
      <c r="C345" s="176" t="s">
        <v>29</v>
      </c>
      <c r="D345" s="5" t="s">
        <v>1536</v>
      </c>
      <c r="E345" s="5" t="s">
        <v>1539</v>
      </c>
      <c r="F345" s="5">
        <v>2590</v>
      </c>
      <c r="G345" s="10" t="s">
        <v>1545</v>
      </c>
      <c r="H345" s="5">
        <f>170*8+130+74</f>
        <v>1564</v>
      </c>
      <c r="I345" s="69">
        <f t="shared" si="13"/>
        <v>0.60386100386100383</v>
      </c>
      <c r="J345" s="5">
        <f>180*2+31+11</f>
        <v>402</v>
      </c>
      <c r="K345" s="69">
        <f t="shared" si="14"/>
        <v>0.15521235521235521</v>
      </c>
      <c r="L345" s="5">
        <f>180*1+74+152</f>
        <v>406</v>
      </c>
      <c r="M345" s="80">
        <f t="shared" si="15"/>
        <v>0.15675675675675677</v>
      </c>
      <c r="N345" s="78">
        <f>114+75</f>
        <v>189</v>
      </c>
      <c r="O345" s="180">
        <f t="shared" si="12"/>
        <v>7.2972972972972974</v>
      </c>
      <c r="P345" s="78">
        <v>0</v>
      </c>
      <c r="Q345" s="86">
        <f t="shared" si="16"/>
        <v>0</v>
      </c>
      <c r="R345" s="5">
        <v>0</v>
      </c>
      <c r="S345" s="69">
        <f t="shared" si="17"/>
        <v>0</v>
      </c>
      <c r="T345" s="5">
        <v>29</v>
      </c>
      <c r="U345" s="87">
        <f t="shared" si="18"/>
        <v>1.1196911196911196E-2</v>
      </c>
      <c r="V345" s="75">
        <f t="shared" si="11"/>
        <v>7.3084942084942082</v>
      </c>
      <c r="W345" s="168" t="s">
        <v>2107</v>
      </c>
    </row>
    <row r="346" spans="1:23">
      <c r="A346" s="67" t="s">
        <v>1618</v>
      </c>
      <c r="B346" s="5" t="s">
        <v>1530</v>
      </c>
      <c r="C346" s="76" t="s">
        <v>29</v>
      </c>
      <c r="D346" s="5" t="s">
        <v>1550</v>
      </c>
      <c r="E346" s="5" t="s">
        <v>22</v>
      </c>
      <c r="F346" s="5">
        <v>2202</v>
      </c>
      <c r="G346" s="10" t="s">
        <v>1545</v>
      </c>
      <c r="H346" s="5">
        <f>180*12</f>
        <v>2160</v>
      </c>
      <c r="I346" s="69">
        <f t="shared" si="13"/>
        <v>0.98092643051771122</v>
      </c>
      <c r="J346" s="5">
        <v>0</v>
      </c>
      <c r="K346" s="69">
        <f t="shared" si="14"/>
        <v>0</v>
      </c>
      <c r="L346" s="5">
        <v>0</v>
      </c>
      <c r="M346" s="80">
        <f t="shared" si="15"/>
        <v>0</v>
      </c>
      <c r="N346" s="78">
        <v>0</v>
      </c>
      <c r="O346" s="180">
        <f t="shared" si="12"/>
        <v>0</v>
      </c>
      <c r="P346" s="78">
        <v>42</v>
      </c>
      <c r="Q346" s="86">
        <f t="shared" si="16"/>
        <v>1.9073569482288829E-2</v>
      </c>
      <c r="R346" s="5">
        <v>0</v>
      </c>
      <c r="S346" s="69">
        <f t="shared" si="17"/>
        <v>0</v>
      </c>
      <c r="T346" s="5">
        <v>0</v>
      </c>
      <c r="U346" s="87">
        <f t="shared" si="18"/>
        <v>0</v>
      </c>
      <c r="V346" s="75">
        <f t="shared" si="11"/>
        <v>1.9073569482288829E-2</v>
      </c>
      <c r="W346" s="168" t="s">
        <v>2107</v>
      </c>
    </row>
    <row r="347" spans="1:23">
      <c r="A347" s="67" t="s">
        <v>1619</v>
      </c>
      <c r="B347" s="5" t="s">
        <v>1530</v>
      </c>
      <c r="C347" s="5" t="s">
        <v>24</v>
      </c>
      <c r="D347" s="5" t="s">
        <v>1534</v>
      </c>
      <c r="E347" s="5" t="s">
        <v>22</v>
      </c>
      <c r="F347" s="5">
        <v>720</v>
      </c>
      <c r="G347" s="10" t="s">
        <v>1532</v>
      </c>
      <c r="H347" s="5">
        <f>180*3</f>
        <v>540</v>
      </c>
      <c r="I347" s="69">
        <f t="shared" si="13"/>
        <v>0.75</v>
      </c>
      <c r="J347" s="5">
        <v>147</v>
      </c>
      <c r="K347" s="69">
        <f t="shared" si="14"/>
        <v>0.20416666666666666</v>
      </c>
      <c r="L347" s="5">
        <v>0</v>
      </c>
      <c r="M347" s="80">
        <f t="shared" si="15"/>
        <v>0</v>
      </c>
      <c r="N347" s="78">
        <v>15</v>
      </c>
      <c r="O347" s="180">
        <f t="shared" si="12"/>
        <v>2.083333333333333</v>
      </c>
      <c r="P347" s="78">
        <v>18</v>
      </c>
      <c r="Q347" s="86">
        <f t="shared" si="16"/>
        <v>2.5000000000000001E-2</v>
      </c>
      <c r="R347" s="5">
        <v>0</v>
      </c>
      <c r="S347" s="69">
        <f t="shared" si="17"/>
        <v>0</v>
      </c>
      <c r="T347" s="5">
        <v>0</v>
      </c>
      <c r="U347" s="87">
        <f t="shared" si="18"/>
        <v>0</v>
      </c>
      <c r="V347" s="75">
        <f t="shared" si="11"/>
        <v>2.1083333333333329</v>
      </c>
      <c r="W347" s="168" t="s">
        <v>2104</v>
      </c>
    </row>
    <row r="348" spans="1:23">
      <c r="A348" s="67" t="s">
        <v>1619</v>
      </c>
      <c r="B348" s="5" t="s">
        <v>1530</v>
      </c>
      <c r="C348" s="76" t="s">
        <v>29</v>
      </c>
      <c r="D348" s="5" t="s">
        <v>1534</v>
      </c>
      <c r="E348" s="5" t="s">
        <v>22</v>
      </c>
      <c r="F348" s="5">
        <v>11681</v>
      </c>
      <c r="G348" s="10" t="s">
        <v>1545</v>
      </c>
      <c r="H348" s="5">
        <f>180*52+147+86</f>
        <v>9593</v>
      </c>
      <c r="I348" s="69">
        <f t="shared" si="13"/>
        <v>0.8212481808064378</v>
      </c>
      <c r="J348" s="5">
        <f>180*2+138+104</f>
        <v>602</v>
      </c>
      <c r="K348" s="69">
        <f t="shared" si="14"/>
        <v>5.1536683503124729E-2</v>
      </c>
      <c r="L348" s="5">
        <f>84+84</f>
        <v>168</v>
      </c>
      <c r="M348" s="80">
        <f t="shared" si="15"/>
        <v>1.4382330279941785E-2</v>
      </c>
      <c r="N348" s="78">
        <v>386</v>
      </c>
      <c r="O348" s="180">
        <f t="shared" si="12"/>
        <v>3.3045116000342434</v>
      </c>
      <c r="P348" s="78">
        <v>108</v>
      </c>
      <c r="Q348" s="86">
        <f t="shared" si="16"/>
        <v>9.2457837513911477E-3</v>
      </c>
      <c r="R348" s="5">
        <f>78+150</f>
        <v>228</v>
      </c>
      <c r="S348" s="69">
        <f t="shared" si="17"/>
        <v>1.9518876808492423E-2</v>
      </c>
      <c r="T348" s="5">
        <f>180*2+113+123</f>
        <v>596</v>
      </c>
      <c r="U348" s="87">
        <f t="shared" si="18"/>
        <v>5.1023028850269672E-2</v>
      </c>
      <c r="V348" s="75">
        <f t="shared" si="11"/>
        <v>3.3842992894443968</v>
      </c>
      <c r="W348" s="168" t="s">
        <v>2107</v>
      </c>
    </row>
    <row r="349" spans="1:23">
      <c r="A349" s="67" t="s">
        <v>1619</v>
      </c>
      <c r="B349" s="5" t="s">
        <v>1530</v>
      </c>
      <c r="C349" s="5" t="s">
        <v>31</v>
      </c>
      <c r="D349" s="5" t="s">
        <v>1536</v>
      </c>
      <c r="E349" s="5" t="s">
        <v>22</v>
      </c>
      <c r="F349" s="5">
        <v>6273</v>
      </c>
      <c r="G349" s="10" t="s">
        <v>1537</v>
      </c>
      <c r="H349" s="5">
        <f>180*12+113</f>
        <v>2273</v>
      </c>
      <c r="I349" s="69">
        <f t="shared" si="13"/>
        <v>0.36234656464211701</v>
      </c>
      <c r="J349" s="5">
        <f>180*15+145+111+45+155</f>
        <v>3156</v>
      </c>
      <c r="K349" s="69">
        <f t="shared" si="14"/>
        <v>0.50310856049736963</v>
      </c>
      <c r="L349" s="5">
        <f>113+79</f>
        <v>192</v>
      </c>
      <c r="M349" s="80">
        <f t="shared" si="15"/>
        <v>3.0607364897178385E-2</v>
      </c>
      <c r="N349" s="78">
        <v>170</v>
      </c>
      <c r="O349" s="180">
        <f t="shared" si="12"/>
        <v>2.7100271002710028</v>
      </c>
      <c r="P349" s="78">
        <v>92</v>
      </c>
      <c r="Q349" s="86">
        <f t="shared" si="16"/>
        <v>1.4666029013231309E-2</v>
      </c>
      <c r="R349" s="5">
        <f>180+33+177</f>
        <v>390</v>
      </c>
      <c r="S349" s="69">
        <f t="shared" si="17"/>
        <v>6.2171209947393592E-2</v>
      </c>
      <c r="T349" s="5">
        <v>0</v>
      </c>
      <c r="U349" s="87">
        <f t="shared" si="18"/>
        <v>0</v>
      </c>
      <c r="V349" s="75">
        <f t="shared" si="11"/>
        <v>2.7868643392316277</v>
      </c>
      <c r="W349" s="168" t="s">
        <v>2107</v>
      </c>
    </row>
    <row r="350" spans="1:23">
      <c r="A350" s="67" t="s">
        <v>1619</v>
      </c>
      <c r="B350" s="5" t="s">
        <v>1530</v>
      </c>
      <c r="C350" s="5" t="s">
        <v>31</v>
      </c>
      <c r="D350" s="5" t="s">
        <v>1536</v>
      </c>
      <c r="E350" s="5" t="s">
        <v>22</v>
      </c>
      <c r="F350" s="5">
        <v>2010</v>
      </c>
      <c r="G350" s="5" t="s">
        <v>1616</v>
      </c>
      <c r="H350" s="5">
        <f>180*5+96+158+180+22+85</f>
        <v>1441</v>
      </c>
      <c r="I350" s="69">
        <f t="shared" si="13"/>
        <v>0.71691542288557208</v>
      </c>
      <c r="J350" s="5">
        <v>0</v>
      </c>
      <c r="K350" s="69">
        <f t="shared" si="14"/>
        <v>0</v>
      </c>
      <c r="L350" s="5">
        <v>0</v>
      </c>
      <c r="M350" s="80">
        <f t="shared" si="15"/>
        <v>0</v>
      </c>
      <c r="N350" s="78">
        <f>414+90</f>
        <v>504</v>
      </c>
      <c r="O350" s="180">
        <f t="shared" si="12"/>
        <v>25.07462686567164</v>
      </c>
      <c r="P350" s="78">
        <f>52+13</f>
        <v>65</v>
      </c>
      <c r="Q350" s="86">
        <f t="shared" si="16"/>
        <v>3.2338308457711441E-2</v>
      </c>
      <c r="R350" s="5">
        <v>0</v>
      </c>
      <c r="S350" s="69">
        <f t="shared" si="17"/>
        <v>0</v>
      </c>
      <c r="T350" s="5">
        <v>0</v>
      </c>
      <c r="U350" s="87">
        <f t="shared" si="18"/>
        <v>0</v>
      </c>
      <c r="V350" s="75">
        <f t="shared" si="11"/>
        <v>25.10696517412935</v>
      </c>
      <c r="W350" s="168" t="s">
        <v>2106</v>
      </c>
    </row>
    <row r="351" spans="1:23">
      <c r="A351" s="67" t="s">
        <v>1619</v>
      </c>
      <c r="B351" s="5" t="s">
        <v>1538</v>
      </c>
      <c r="C351" s="76" t="s">
        <v>29</v>
      </c>
      <c r="D351" s="5" t="s">
        <v>1536</v>
      </c>
      <c r="E351" s="5" t="s">
        <v>22</v>
      </c>
      <c r="F351" s="5">
        <v>2678</v>
      </c>
      <c r="G351" s="10" t="s">
        <v>1545</v>
      </c>
      <c r="H351" s="5">
        <f>170*10</f>
        <v>1700</v>
      </c>
      <c r="I351" s="69">
        <f t="shared" si="13"/>
        <v>0.63480209111277075</v>
      </c>
      <c r="J351" s="5">
        <f>180*3+169+33</f>
        <v>742</v>
      </c>
      <c r="K351" s="69">
        <f t="shared" si="14"/>
        <v>0.27707244212098581</v>
      </c>
      <c r="L351" s="5">
        <v>0</v>
      </c>
      <c r="M351" s="80">
        <f t="shared" si="15"/>
        <v>0</v>
      </c>
      <c r="N351" s="78">
        <v>197</v>
      </c>
      <c r="O351" s="180">
        <f t="shared" si="12"/>
        <v>7.3562359970126963</v>
      </c>
      <c r="P351" s="78">
        <v>0</v>
      </c>
      <c r="Q351" s="86">
        <f t="shared" si="16"/>
        <v>0</v>
      </c>
      <c r="R351" s="5">
        <v>0</v>
      </c>
      <c r="S351" s="69">
        <f t="shared" si="17"/>
        <v>0</v>
      </c>
      <c r="T351" s="5">
        <v>39</v>
      </c>
      <c r="U351" s="87">
        <f t="shared" si="18"/>
        <v>1.4563106796116505E-2</v>
      </c>
      <c r="V351" s="75">
        <f t="shared" si="11"/>
        <v>7.370799103808813</v>
      </c>
      <c r="W351" s="168" t="s">
        <v>2107</v>
      </c>
    </row>
    <row r="352" spans="1:23">
      <c r="A352" s="67" t="s">
        <v>1619</v>
      </c>
      <c r="B352" s="5" t="s">
        <v>1538</v>
      </c>
      <c r="C352" s="76" t="s">
        <v>27</v>
      </c>
      <c r="D352" s="5" t="s">
        <v>1536</v>
      </c>
      <c r="E352" s="5" t="s">
        <v>22</v>
      </c>
      <c r="F352" s="5">
        <v>3788</v>
      </c>
      <c r="G352" s="10" t="s">
        <v>1535</v>
      </c>
      <c r="H352" s="5">
        <f>180*2+28+169</f>
        <v>557</v>
      </c>
      <c r="I352" s="69">
        <f t="shared" si="13"/>
        <v>0.14704329461457233</v>
      </c>
      <c r="J352" s="5">
        <f>170*17+40+146</f>
        <v>3076</v>
      </c>
      <c r="K352" s="69">
        <f t="shared" si="14"/>
        <v>0.81203801478352688</v>
      </c>
      <c r="L352" s="5">
        <v>0</v>
      </c>
      <c r="M352" s="80">
        <f t="shared" si="15"/>
        <v>0</v>
      </c>
      <c r="N352" s="78">
        <f>163-97</f>
        <v>66</v>
      </c>
      <c r="O352" s="180">
        <f t="shared" si="12"/>
        <v>1.7423442449841606</v>
      </c>
      <c r="P352" s="78">
        <v>0</v>
      </c>
      <c r="Q352" s="86">
        <f t="shared" si="16"/>
        <v>0</v>
      </c>
      <c r="R352" s="5">
        <v>0</v>
      </c>
      <c r="S352" s="69">
        <f t="shared" si="17"/>
        <v>0</v>
      </c>
      <c r="T352" s="5">
        <v>89</v>
      </c>
      <c r="U352" s="87">
        <f t="shared" si="18"/>
        <v>2.3495248152059132E-2</v>
      </c>
      <c r="V352" s="75">
        <f t="shared" si="11"/>
        <v>1.7658394931362198</v>
      </c>
      <c r="W352" s="168" t="s">
        <v>2107</v>
      </c>
    </row>
    <row r="353" spans="1:23">
      <c r="A353" s="38" t="s">
        <v>1620</v>
      </c>
      <c r="B353" s="5" t="s">
        <v>1530</v>
      </c>
      <c r="C353" s="5" t="s">
        <v>24</v>
      </c>
      <c r="D353" s="5" t="s">
        <v>1534</v>
      </c>
      <c r="E353" s="5" t="s">
        <v>22</v>
      </c>
      <c r="F353" s="5">
        <v>360</v>
      </c>
      <c r="G353" s="10" t="s">
        <v>1532</v>
      </c>
      <c r="H353" s="5">
        <f>180+60</f>
        <v>240</v>
      </c>
      <c r="I353" s="69">
        <f t="shared" si="13"/>
        <v>0.66666666666666663</v>
      </c>
      <c r="J353" s="5">
        <v>105</v>
      </c>
      <c r="K353" s="69">
        <f t="shared" si="14"/>
        <v>0.29166666666666669</v>
      </c>
      <c r="L353" s="5">
        <v>0</v>
      </c>
      <c r="M353" s="80">
        <f t="shared" si="15"/>
        <v>0</v>
      </c>
      <c r="N353" s="78">
        <v>9</v>
      </c>
      <c r="O353" s="180">
        <f t="shared" si="12"/>
        <v>2.5</v>
      </c>
      <c r="P353" s="78">
        <v>6</v>
      </c>
      <c r="Q353" s="86">
        <f t="shared" si="16"/>
        <v>1.6666666666666666E-2</v>
      </c>
      <c r="R353" s="5">
        <v>0</v>
      </c>
      <c r="S353" s="69">
        <f t="shared" si="17"/>
        <v>0</v>
      </c>
      <c r="T353" s="5">
        <v>0</v>
      </c>
      <c r="U353" s="87">
        <f t="shared" si="18"/>
        <v>0</v>
      </c>
      <c r="V353" s="75">
        <f t="shared" si="11"/>
        <v>2.5166666666666666</v>
      </c>
      <c r="W353" s="168" t="s">
        <v>2104</v>
      </c>
    </row>
    <row r="354" spans="1:23">
      <c r="A354" s="38" t="s">
        <v>1620</v>
      </c>
      <c r="B354" s="5" t="s">
        <v>1530</v>
      </c>
      <c r="C354" s="5" t="s">
        <v>31</v>
      </c>
      <c r="D354" s="5" t="s">
        <v>1536</v>
      </c>
      <c r="E354" s="5" t="s">
        <v>22</v>
      </c>
      <c r="F354" s="5">
        <v>1867</v>
      </c>
      <c r="G354" s="5" t="s">
        <v>1616</v>
      </c>
      <c r="H354" s="5">
        <f>180*5+180*2+95</f>
        <v>1355</v>
      </c>
      <c r="I354" s="69">
        <f t="shared" si="13"/>
        <v>0.72576325656132834</v>
      </c>
      <c r="J354" s="5">
        <v>0</v>
      </c>
      <c r="K354" s="69">
        <f t="shared" si="14"/>
        <v>0</v>
      </c>
      <c r="L354" s="5">
        <v>0</v>
      </c>
      <c r="M354" s="80">
        <f t="shared" si="15"/>
        <v>0</v>
      </c>
      <c r="N354" s="78">
        <f>360+134</f>
        <v>494</v>
      </c>
      <c r="O354" s="180">
        <f t="shared" si="12"/>
        <v>26.459560792715585</v>
      </c>
      <c r="P354" s="78">
        <v>18</v>
      </c>
      <c r="Q354" s="86">
        <f t="shared" si="16"/>
        <v>9.6411355115158005E-3</v>
      </c>
      <c r="R354" s="5">
        <v>0</v>
      </c>
      <c r="S354" s="69">
        <f t="shared" si="17"/>
        <v>0</v>
      </c>
      <c r="T354" s="5">
        <v>0</v>
      </c>
      <c r="U354" s="87">
        <f t="shared" si="18"/>
        <v>0</v>
      </c>
      <c r="V354" s="75">
        <f t="shared" si="11"/>
        <v>26.4692019282271</v>
      </c>
      <c r="W354" s="168" t="s">
        <v>2106</v>
      </c>
    </row>
    <row r="355" spans="1:23">
      <c r="A355" s="38" t="s">
        <v>1620</v>
      </c>
      <c r="B355" s="5" t="s">
        <v>1530</v>
      </c>
      <c r="C355" s="5" t="s">
        <v>31</v>
      </c>
      <c r="D355" s="5" t="s">
        <v>1536</v>
      </c>
      <c r="E355" s="5" t="s">
        <v>22</v>
      </c>
      <c r="F355" s="5">
        <v>7986</v>
      </c>
      <c r="G355" s="10" t="s">
        <v>1537</v>
      </c>
      <c r="H355" s="5">
        <f>180*18+107</f>
        <v>3347</v>
      </c>
      <c r="I355" s="69">
        <f t="shared" si="13"/>
        <v>0.41910843976959677</v>
      </c>
      <c r="J355" s="5">
        <f>180*10+69+136+180*3+25+73</f>
        <v>2643</v>
      </c>
      <c r="K355" s="69">
        <f t="shared" si="14"/>
        <v>0.33095416979714498</v>
      </c>
      <c r="L355" s="5">
        <f>180+101+170</f>
        <v>451</v>
      </c>
      <c r="M355" s="80">
        <f t="shared" si="15"/>
        <v>5.647382920110193E-2</v>
      </c>
      <c r="N355" s="78">
        <v>561</v>
      </c>
      <c r="O355" s="180">
        <f t="shared" si="12"/>
        <v>7.0247933884297522</v>
      </c>
      <c r="P355" s="78">
        <v>237</v>
      </c>
      <c r="Q355" s="86">
        <f t="shared" si="16"/>
        <v>2.9676934635612322E-2</v>
      </c>
      <c r="R355" s="5">
        <f>180*4+3+24</f>
        <v>747</v>
      </c>
      <c r="S355" s="69">
        <f t="shared" si="17"/>
        <v>9.3538692712246435E-2</v>
      </c>
      <c r="T355" s="5">
        <v>0</v>
      </c>
      <c r="U355" s="87">
        <f t="shared" si="18"/>
        <v>0</v>
      </c>
      <c r="V355" s="75">
        <f t="shared" si="11"/>
        <v>7.1480090157776113</v>
      </c>
      <c r="W355" s="168" t="s">
        <v>2107</v>
      </c>
    </row>
    <row r="356" spans="1:23">
      <c r="A356" s="38" t="s">
        <v>1620</v>
      </c>
      <c r="B356" s="5" t="s">
        <v>1538</v>
      </c>
      <c r="C356" s="76" t="s">
        <v>29</v>
      </c>
      <c r="D356" s="5" t="s">
        <v>1536</v>
      </c>
      <c r="E356" s="5" t="s">
        <v>22</v>
      </c>
      <c r="F356" s="5">
        <v>4855</v>
      </c>
      <c r="G356" s="10" t="s">
        <v>1551</v>
      </c>
      <c r="H356" s="5">
        <f>180*15+71</f>
        <v>2771</v>
      </c>
      <c r="I356" s="69">
        <f t="shared" si="13"/>
        <v>0.57075180226570543</v>
      </c>
      <c r="J356" s="5">
        <f>180*2+110</f>
        <v>470</v>
      </c>
      <c r="K356" s="69">
        <f t="shared" si="14"/>
        <v>9.6807415036045313E-2</v>
      </c>
      <c r="L356" s="5">
        <f>180*4+145</f>
        <v>865</v>
      </c>
      <c r="M356" s="80">
        <f t="shared" si="15"/>
        <v>0.17816683831101957</v>
      </c>
      <c r="N356" s="78">
        <v>623</v>
      </c>
      <c r="O356" s="180">
        <f t="shared" si="12"/>
        <v>12.832131822863028</v>
      </c>
      <c r="P356" s="78">
        <v>0</v>
      </c>
      <c r="Q356" s="86">
        <f t="shared" si="16"/>
        <v>0</v>
      </c>
      <c r="R356" s="5">
        <v>0</v>
      </c>
      <c r="S356" s="69">
        <f t="shared" si="17"/>
        <v>0</v>
      </c>
      <c r="T356" s="5">
        <f>92+34</f>
        <v>126</v>
      </c>
      <c r="U356" s="87">
        <f t="shared" si="18"/>
        <v>2.5952626158599383E-2</v>
      </c>
      <c r="V356" s="75">
        <f t="shared" si="11"/>
        <v>12.858084449021627</v>
      </c>
      <c r="W356" s="168" t="s">
        <v>2107</v>
      </c>
    </row>
    <row r="357" spans="1:23">
      <c r="A357" s="38" t="s">
        <v>1620</v>
      </c>
      <c r="B357" s="5" t="s">
        <v>1538</v>
      </c>
      <c r="C357" s="76" t="s">
        <v>29</v>
      </c>
      <c r="D357" s="5" t="s">
        <v>1536</v>
      </c>
      <c r="E357" s="5" t="s">
        <v>22</v>
      </c>
      <c r="F357" s="5">
        <v>1230</v>
      </c>
      <c r="G357" s="10" t="s">
        <v>1545</v>
      </c>
      <c r="H357" s="5">
        <f>170*5+24+54</f>
        <v>928</v>
      </c>
      <c r="I357" s="69">
        <f t="shared" si="13"/>
        <v>0.7544715447154472</v>
      </c>
      <c r="J357" s="5">
        <f>56</f>
        <v>56</v>
      </c>
      <c r="K357" s="69">
        <f t="shared" si="14"/>
        <v>4.5528455284552849E-2</v>
      </c>
      <c r="L357" s="5">
        <f>11+84</f>
        <v>95</v>
      </c>
      <c r="M357" s="80">
        <f t="shared" si="15"/>
        <v>7.7235772357723581E-2</v>
      </c>
      <c r="N357" s="78">
        <v>122</v>
      </c>
      <c r="O357" s="180">
        <f t="shared" si="12"/>
        <v>9.9186991869918693</v>
      </c>
      <c r="P357" s="78">
        <v>0</v>
      </c>
      <c r="Q357" s="86">
        <f t="shared" si="16"/>
        <v>0</v>
      </c>
      <c r="R357" s="5">
        <v>29</v>
      </c>
      <c r="S357" s="69">
        <f t="shared" si="17"/>
        <v>2.3577235772357725E-2</v>
      </c>
      <c r="T357" s="5">
        <v>0</v>
      </c>
      <c r="U357" s="87">
        <f t="shared" si="18"/>
        <v>0</v>
      </c>
      <c r="V357" s="75">
        <f t="shared" si="11"/>
        <v>9.9422764227642269</v>
      </c>
      <c r="W357" s="168" t="s">
        <v>2107</v>
      </c>
    </row>
    <row r="358" spans="1:23">
      <c r="A358" s="38" t="s">
        <v>1621</v>
      </c>
      <c r="B358" s="5" t="s">
        <v>1530</v>
      </c>
      <c r="C358" s="5" t="s">
        <v>24</v>
      </c>
      <c r="D358" s="5" t="s">
        <v>1531</v>
      </c>
      <c r="E358" s="5" t="s">
        <v>22</v>
      </c>
      <c r="F358" s="5">
        <v>9035</v>
      </c>
      <c r="G358" s="10" t="s">
        <v>1532</v>
      </c>
      <c r="H358" s="5">
        <f>180*25</f>
        <v>4500</v>
      </c>
      <c r="I358" s="69">
        <f t="shared" si="13"/>
        <v>0.49806308799114557</v>
      </c>
      <c r="J358" s="5">
        <f>180*6+175+74</f>
        <v>1329</v>
      </c>
      <c r="K358" s="69">
        <f t="shared" si="14"/>
        <v>0.14709463198671832</v>
      </c>
      <c r="L358" s="5">
        <f>180*14+140</f>
        <v>2660</v>
      </c>
      <c r="M358" s="80">
        <f t="shared" si="15"/>
        <v>0.29441062534587714</v>
      </c>
      <c r="N358" s="78">
        <v>55</v>
      </c>
      <c r="O358" s="180">
        <f t="shared" si="12"/>
        <v>0.60874377421140002</v>
      </c>
      <c r="P358" s="78">
        <v>491</v>
      </c>
      <c r="Q358" s="86">
        <f t="shared" si="16"/>
        <v>5.4344216934144991E-2</v>
      </c>
      <c r="R358" s="5">
        <v>0</v>
      </c>
      <c r="S358" s="69">
        <f t="shared" si="17"/>
        <v>0</v>
      </c>
      <c r="T358" s="5">
        <v>0</v>
      </c>
      <c r="U358" s="87">
        <f t="shared" si="18"/>
        <v>0</v>
      </c>
      <c r="V358" s="75">
        <f t="shared" si="11"/>
        <v>0.66308799114554506</v>
      </c>
      <c r="W358" s="168" t="s">
        <v>2104</v>
      </c>
    </row>
    <row r="359" spans="1:23">
      <c r="A359" s="38" t="s">
        <v>1621</v>
      </c>
      <c r="B359" s="5" t="s">
        <v>1530</v>
      </c>
      <c r="C359" s="5" t="s">
        <v>31</v>
      </c>
      <c r="D359" s="5" t="s">
        <v>1536</v>
      </c>
      <c r="E359" s="5" t="s">
        <v>22</v>
      </c>
      <c r="F359" s="5">
        <v>9027</v>
      </c>
      <c r="G359" s="10" t="s">
        <v>1537</v>
      </c>
      <c r="H359" s="5">
        <f>180*24+73+55</f>
        <v>4448</v>
      </c>
      <c r="I359" s="69">
        <f t="shared" ref="I359:I390" si="19">H359/F359</f>
        <v>0.49274399025146781</v>
      </c>
      <c r="J359" s="5">
        <f>180*13+44+94+180+107+155</f>
        <v>2920</v>
      </c>
      <c r="K359" s="69">
        <f t="shared" ref="K359:K390" si="20">J359/F359</f>
        <v>0.32347402237731249</v>
      </c>
      <c r="L359" s="5">
        <f>180*3+10+159</f>
        <v>709</v>
      </c>
      <c r="M359" s="80">
        <f t="shared" ref="M359:M390" si="21">L359/F359</f>
        <v>7.8542151323806361E-2</v>
      </c>
      <c r="N359" s="78">
        <v>288</v>
      </c>
      <c r="O359" s="180">
        <f t="shared" si="12"/>
        <v>3.1904287138584246</v>
      </c>
      <c r="P359" s="78">
        <v>220</v>
      </c>
      <c r="Q359" s="86">
        <f t="shared" ref="Q359:Q390" si="22">P359/F359</f>
        <v>2.4371330453085188E-2</v>
      </c>
      <c r="R359" s="5">
        <f>180+156+106</f>
        <v>442</v>
      </c>
      <c r="S359" s="69">
        <f t="shared" ref="S359:S390" si="23">R359/F359</f>
        <v>4.8964218455743877E-2</v>
      </c>
      <c r="T359" s="5">
        <v>0</v>
      </c>
      <c r="U359" s="87">
        <f t="shared" ref="U359:U390" si="24">T359/F359</f>
        <v>0</v>
      </c>
      <c r="V359" s="75">
        <f t="shared" si="11"/>
        <v>3.2637642627672538</v>
      </c>
      <c r="W359" s="168" t="s">
        <v>2107</v>
      </c>
    </row>
    <row r="360" spans="1:23">
      <c r="A360" s="38" t="s">
        <v>1621</v>
      </c>
      <c r="B360" s="5" t="s">
        <v>1530</v>
      </c>
      <c r="C360" s="76" t="s">
        <v>29</v>
      </c>
      <c r="D360" s="5" t="s">
        <v>1534</v>
      </c>
      <c r="E360" s="5" t="s">
        <v>22</v>
      </c>
      <c r="F360" s="5">
        <v>1497</v>
      </c>
      <c r="G360" s="10" t="s">
        <v>1545</v>
      </c>
      <c r="H360" s="5">
        <f>180*2+94+174</f>
        <v>628</v>
      </c>
      <c r="I360" s="69">
        <f t="shared" si="19"/>
        <v>0.4195056780227121</v>
      </c>
      <c r="J360" s="5">
        <f>180*2+76+116</f>
        <v>552</v>
      </c>
      <c r="K360" s="69">
        <f t="shared" si="20"/>
        <v>0.36873747494989978</v>
      </c>
      <c r="L360" s="5">
        <v>96</v>
      </c>
      <c r="M360" s="80">
        <f t="shared" si="21"/>
        <v>6.4128256513026047E-2</v>
      </c>
      <c r="N360" s="78">
        <v>75</v>
      </c>
      <c r="O360" s="180">
        <f t="shared" si="12"/>
        <v>5.0100200400801604</v>
      </c>
      <c r="P360" s="78">
        <v>73</v>
      </c>
      <c r="Q360" s="86">
        <f t="shared" si="22"/>
        <v>4.876419505678023E-2</v>
      </c>
      <c r="R360" s="5">
        <v>45</v>
      </c>
      <c r="S360" s="69">
        <f t="shared" si="23"/>
        <v>3.0060120240480961E-2</v>
      </c>
      <c r="T360" s="5">
        <v>28</v>
      </c>
      <c r="U360" s="87">
        <f t="shared" si="24"/>
        <v>1.8704074816299265E-2</v>
      </c>
      <c r="V360" s="75">
        <f t="shared" si="11"/>
        <v>5.1075484301937211</v>
      </c>
      <c r="W360" s="168" t="s">
        <v>2107</v>
      </c>
    </row>
    <row r="361" spans="1:23">
      <c r="A361" s="38" t="s">
        <v>1621</v>
      </c>
      <c r="B361" s="5" t="s">
        <v>1530</v>
      </c>
      <c r="C361" s="5" t="s">
        <v>24</v>
      </c>
      <c r="D361" s="5" t="s">
        <v>1534</v>
      </c>
      <c r="E361" s="5" t="s">
        <v>22</v>
      </c>
      <c r="F361" s="5">
        <v>5210</v>
      </c>
      <c r="G361" s="10" t="s">
        <v>1532</v>
      </c>
      <c r="H361" s="5">
        <f>180*25+120+32</f>
        <v>4652</v>
      </c>
      <c r="I361" s="69">
        <f t="shared" si="19"/>
        <v>0.89289827255278309</v>
      </c>
      <c r="J361" s="5">
        <f>180+75+39</f>
        <v>294</v>
      </c>
      <c r="K361" s="69">
        <f t="shared" si="20"/>
        <v>5.6429942418426103E-2</v>
      </c>
      <c r="L361" s="5">
        <v>21</v>
      </c>
      <c r="M361" s="80">
        <f t="shared" si="21"/>
        <v>4.030710172744722E-3</v>
      </c>
      <c r="N361" s="78">
        <v>125</v>
      </c>
      <c r="O361" s="180">
        <f t="shared" si="12"/>
        <v>2.3992322456813819</v>
      </c>
      <c r="P361" s="78">
        <v>112</v>
      </c>
      <c r="Q361" s="86">
        <f t="shared" si="22"/>
        <v>2.1497120921305183E-2</v>
      </c>
      <c r="R361" s="5">
        <v>0</v>
      </c>
      <c r="S361" s="69">
        <f t="shared" si="23"/>
        <v>0</v>
      </c>
      <c r="T361" s="5">
        <v>6</v>
      </c>
      <c r="U361" s="87">
        <f t="shared" si="24"/>
        <v>1.1516314779270633E-3</v>
      </c>
      <c r="V361" s="75">
        <f t="shared" si="11"/>
        <v>2.421880998080614</v>
      </c>
      <c r="W361" s="168" t="s">
        <v>2104</v>
      </c>
    </row>
    <row r="362" spans="1:23">
      <c r="A362" s="38" t="s">
        <v>1621</v>
      </c>
      <c r="B362" s="5" t="s">
        <v>1530</v>
      </c>
      <c r="C362" s="76" t="s">
        <v>29</v>
      </c>
      <c r="D362" s="5" t="s">
        <v>1536</v>
      </c>
      <c r="E362" s="5" t="s">
        <v>22</v>
      </c>
      <c r="F362" s="5">
        <v>1512</v>
      </c>
      <c r="G362" s="10" t="s">
        <v>1545</v>
      </c>
      <c r="H362" s="5">
        <f>180*3+6+133</f>
        <v>679</v>
      </c>
      <c r="I362" s="69">
        <f t="shared" si="19"/>
        <v>0.44907407407407407</v>
      </c>
      <c r="J362" s="5">
        <f>180*2+54+74</f>
        <v>488</v>
      </c>
      <c r="K362" s="69">
        <f t="shared" si="20"/>
        <v>0.32275132275132273</v>
      </c>
      <c r="L362" s="5">
        <v>88</v>
      </c>
      <c r="M362" s="80">
        <f t="shared" si="21"/>
        <v>5.8201058201058198E-2</v>
      </c>
      <c r="N362" s="78">
        <v>41</v>
      </c>
      <c r="O362" s="180">
        <f t="shared" si="12"/>
        <v>2.7116402116402116</v>
      </c>
      <c r="P362" s="78">
        <v>74</v>
      </c>
      <c r="Q362" s="86">
        <f t="shared" si="22"/>
        <v>4.8941798941798939E-2</v>
      </c>
      <c r="R362" s="5">
        <v>0</v>
      </c>
      <c r="S362" s="69">
        <f t="shared" si="23"/>
        <v>0</v>
      </c>
      <c r="T362" s="5">
        <v>142</v>
      </c>
      <c r="U362" s="87">
        <f t="shared" si="24"/>
        <v>9.391534391534391E-2</v>
      </c>
      <c r="V362" s="75">
        <f t="shared" si="11"/>
        <v>2.8544973544973544</v>
      </c>
      <c r="W362" s="168" t="s">
        <v>2107</v>
      </c>
    </row>
    <row r="363" spans="1:23">
      <c r="A363" s="38" t="s">
        <v>1621</v>
      </c>
      <c r="B363" s="5" t="s">
        <v>1538</v>
      </c>
      <c r="C363" s="76" t="s">
        <v>29</v>
      </c>
      <c r="D363" s="5" t="s">
        <v>1536</v>
      </c>
      <c r="E363" s="5" t="s">
        <v>22</v>
      </c>
      <c r="F363" s="5">
        <v>5729</v>
      </c>
      <c r="G363" s="10" t="s">
        <v>1551</v>
      </c>
      <c r="H363" s="5">
        <f>180*8+109+154</f>
        <v>1703</v>
      </c>
      <c r="I363" s="69">
        <f t="shared" si="19"/>
        <v>0.29725955664164777</v>
      </c>
      <c r="J363" s="5">
        <f>180+70+51+105</f>
        <v>406</v>
      </c>
      <c r="K363" s="69">
        <f t="shared" si="20"/>
        <v>7.086751614592425E-2</v>
      </c>
      <c r="L363" s="5">
        <f>180*13+35+180+173+118+102</f>
        <v>2948</v>
      </c>
      <c r="M363" s="80">
        <f t="shared" si="21"/>
        <v>0.51457496945365688</v>
      </c>
      <c r="N363" s="78">
        <v>545</v>
      </c>
      <c r="O363" s="180">
        <f t="shared" si="12"/>
        <v>9.5130040146622452</v>
      </c>
      <c r="P363" s="78">
        <v>0</v>
      </c>
      <c r="Q363" s="86">
        <f t="shared" si="22"/>
        <v>0</v>
      </c>
      <c r="R363" s="5">
        <v>0</v>
      </c>
      <c r="S363" s="69">
        <f t="shared" si="23"/>
        <v>0</v>
      </c>
      <c r="T363" s="5">
        <f>146+14</f>
        <v>160</v>
      </c>
      <c r="U363" s="87">
        <f t="shared" si="24"/>
        <v>2.7928085180659801E-2</v>
      </c>
      <c r="V363" s="75">
        <f t="shared" si="11"/>
        <v>9.5409320998429052</v>
      </c>
      <c r="W363" s="168" t="s">
        <v>2107</v>
      </c>
    </row>
    <row r="364" spans="1:23">
      <c r="A364" s="38" t="s">
        <v>1622</v>
      </c>
      <c r="B364" s="5" t="s">
        <v>1530</v>
      </c>
      <c r="C364" s="5" t="s">
        <v>1562</v>
      </c>
      <c r="D364" s="5" t="s">
        <v>1531</v>
      </c>
      <c r="E364" s="5" t="s">
        <v>22</v>
      </c>
      <c r="F364" s="5">
        <v>4513</v>
      </c>
      <c r="G364" s="10" t="s">
        <v>1554</v>
      </c>
      <c r="H364" s="5">
        <f>180*2</f>
        <v>360</v>
      </c>
      <c r="I364" s="69">
        <f t="shared" si="19"/>
        <v>7.9769554619986707E-2</v>
      </c>
      <c r="J364" s="5">
        <f>180*2+180*2+180*3+99+167+88</f>
        <v>1614</v>
      </c>
      <c r="K364" s="69">
        <f t="shared" si="20"/>
        <v>0.35763350321294041</v>
      </c>
      <c r="L364" s="5">
        <f>180*11+130</f>
        <v>2110</v>
      </c>
      <c r="M364" s="80">
        <f t="shared" si="21"/>
        <v>0.46753822291158875</v>
      </c>
      <c r="N364" s="78">
        <v>40</v>
      </c>
      <c r="O364" s="180">
        <f t="shared" si="12"/>
        <v>0.88632838466651886</v>
      </c>
      <c r="P364" s="78">
        <v>389</v>
      </c>
      <c r="Q364" s="86">
        <f t="shared" si="22"/>
        <v>8.6195435408818966E-2</v>
      </c>
      <c r="R364" s="5">
        <v>0</v>
      </c>
      <c r="S364" s="69">
        <f t="shared" si="23"/>
        <v>0</v>
      </c>
      <c r="T364" s="5">
        <v>0</v>
      </c>
      <c r="U364" s="87">
        <f t="shared" si="24"/>
        <v>0</v>
      </c>
      <c r="V364" s="75">
        <f t="shared" si="11"/>
        <v>0.97252382007533789</v>
      </c>
      <c r="W364" s="168" t="s">
        <v>2104</v>
      </c>
    </row>
    <row r="365" spans="1:23">
      <c r="A365" s="38" t="s">
        <v>1622</v>
      </c>
      <c r="B365" s="5" t="s">
        <v>1530</v>
      </c>
      <c r="C365" s="5" t="s">
        <v>31</v>
      </c>
      <c r="D365" s="5" t="s">
        <v>1536</v>
      </c>
      <c r="E365" s="5" t="s">
        <v>22</v>
      </c>
      <c r="F365" s="5">
        <v>8568</v>
      </c>
      <c r="G365" s="10" t="s">
        <v>1537</v>
      </c>
      <c r="H365" s="5">
        <f>180*21+125+70</f>
        <v>3975</v>
      </c>
      <c r="I365" s="69">
        <f t="shared" si="19"/>
        <v>0.46393557422969189</v>
      </c>
      <c r="J365" s="5">
        <f>180*15+86+180+25+120+87</f>
        <v>3198</v>
      </c>
      <c r="K365" s="69">
        <f t="shared" si="20"/>
        <v>0.37324929971988796</v>
      </c>
      <c r="L365" s="5">
        <f>180*2+21+48</f>
        <v>429</v>
      </c>
      <c r="M365" s="80">
        <f t="shared" si="21"/>
        <v>5.0070028011204484E-2</v>
      </c>
      <c r="N365" s="78">
        <v>161</v>
      </c>
      <c r="O365" s="180">
        <f t="shared" si="12"/>
        <v>1.8790849673202614</v>
      </c>
      <c r="P365" s="78">
        <v>93</v>
      </c>
      <c r="Q365" s="86">
        <f t="shared" si="22"/>
        <v>1.0854341736694677E-2</v>
      </c>
      <c r="R365" s="5">
        <f>180*3+74+98</f>
        <v>712</v>
      </c>
      <c r="S365" s="69">
        <f t="shared" si="23"/>
        <v>8.309990662931839E-2</v>
      </c>
      <c r="T365" s="5">
        <v>0</v>
      </c>
      <c r="U365" s="87">
        <f t="shared" si="24"/>
        <v>0</v>
      </c>
      <c r="V365" s="75">
        <f t="shared" si="11"/>
        <v>1.9730392156862744</v>
      </c>
      <c r="W365" s="168" t="s">
        <v>2107</v>
      </c>
    </row>
    <row r="366" spans="1:23">
      <c r="A366" s="38" t="s">
        <v>1622</v>
      </c>
      <c r="B366" s="5" t="s">
        <v>1530</v>
      </c>
      <c r="C366" s="5" t="s">
        <v>24</v>
      </c>
      <c r="D366" s="5" t="s">
        <v>1550</v>
      </c>
      <c r="E366" s="5" t="s">
        <v>22</v>
      </c>
      <c r="F366" s="5">
        <v>2754</v>
      </c>
      <c r="G366" s="10" t="s">
        <v>1532</v>
      </c>
      <c r="H366" s="5">
        <f>180*15</f>
        <v>2700</v>
      </c>
      <c r="I366" s="69">
        <f t="shared" si="19"/>
        <v>0.98039215686274506</v>
      </c>
      <c r="J366" s="5">
        <v>0</v>
      </c>
      <c r="K366" s="69">
        <f t="shared" si="20"/>
        <v>0</v>
      </c>
      <c r="L366" s="5">
        <v>0</v>
      </c>
      <c r="M366" s="80">
        <f t="shared" si="21"/>
        <v>0</v>
      </c>
      <c r="N366" s="78">
        <v>0</v>
      </c>
      <c r="O366" s="180">
        <f t="shared" si="12"/>
        <v>0</v>
      </c>
      <c r="P366" s="78">
        <v>54</v>
      </c>
      <c r="Q366" s="86">
        <f t="shared" si="22"/>
        <v>1.9607843137254902E-2</v>
      </c>
      <c r="R366" s="5">
        <v>0</v>
      </c>
      <c r="S366" s="69">
        <f t="shared" si="23"/>
        <v>0</v>
      </c>
      <c r="T366" s="5">
        <v>0</v>
      </c>
      <c r="U366" s="87">
        <f t="shared" si="24"/>
        <v>0</v>
      </c>
      <c r="V366" s="75">
        <f t="shared" si="11"/>
        <v>1.9607843137254902E-2</v>
      </c>
      <c r="W366" s="168" t="s">
        <v>2104</v>
      </c>
    </row>
    <row r="367" spans="1:23">
      <c r="A367" s="38" t="s">
        <v>1622</v>
      </c>
      <c r="B367" s="5" t="s">
        <v>1538</v>
      </c>
      <c r="C367" s="176" t="s">
        <v>29</v>
      </c>
      <c r="D367" s="5" t="s">
        <v>1536</v>
      </c>
      <c r="E367" s="5" t="s">
        <v>22</v>
      </c>
      <c r="F367" s="5">
        <v>5024</v>
      </c>
      <c r="G367" s="10" t="s">
        <v>1551</v>
      </c>
      <c r="H367" s="5">
        <f>180*10+26+8</f>
        <v>1834</v>
      </c>
      <c r="I367" s="69">
        <f t="shared" si="19"/>
        <v>0.36504777070063693</v>
      </c>
      <c r="J367" s="5">
        <f>180*5+75+135</f>
        <v>1110</v>
      </c>
      <c r="K367" s="69">
        <f t="shared" si="20"/>
        <v>0.22093949044585987</v>
      </c>
      <c r="L367" s="5">
        <f>180*5+7+62+180+18+124+37</f>
        <v>1328</v>
      </c>
      <c r="M367" s="80">
        <f t="shared" si="21"/>
        <v>0.2643312101910828</v>
      </c>
      <c r="N367" s="78">
        <v>467</v>
      </c>
      <c r="O367" s="180">
        <f t="shared" si="12"/>
        <v>9.2953821656050959</v>
      </c>
      <c r="P367" s="78">
        <v>0</v>
      </c>
      <c r="Q367" s="86">
        <f t="shared" si="22"/>
        <v>0</v>
      </c>
      <c r="R367" s="5">
        <v>0</v>
      </c>
      <c r="S367" s="69">
        <f t="shared" si="23"/>
        <v>0</v>
      </c>
      <c r="T367" s="5">
        <f>165+120</f>
        <v>285</v>
      </c>
      <c r="U367" s="87">
        <f t="shared" si="24"/>
        <v>5.6727707006369428E-2</v>
      </c>
      <c r="V367" s="75">
        <f t="shared" si="11"/>
        <v>9.3521098726114662</v>
      </c>
      <c r="W367" s="168" t="s">
        <v>2107</v>
      </c>
    </row>
    <row r="368" spans="1:23">
      <c r="A368" s="38" t="s">
        <v>1623</v>
      </c>
      <c r="B368" s="5" t="s">
        <v>1530</v>
      </c>
      <c r="C368" s="5" t="s">
        <v>31</v>
      </c>
      <c r="D368" s="5" t="s">
        <v>1536</v>
      </c>
      <c r="E368" s="5" t="s">
        <v>22</v>
      </c>
      <c r="F368" s="5">
        <v>10710</v>
      </c>
      <c r="G368" s="10" t="s">
        <v>1537</v>
      </c>
      <c r="H368" s="5">
        <f>180*29+110+138</f>
        <v>5468</v>
      </c>
      <c r="I368" s="69">
        <f t="shared" si="19"/>
        <v>0.51055088702147522</v>
      </c>
      <c r="J368" s="5">
        <f>180*18+60+180+93+103+71</f>
        <v>3747</v>
      </c>
      <c r="K368" s="69">
        <f t="shared" si="20"/>
        <v>0.34985994397759101</v>
      </c>
      <c r="L368" s="5">
        <f>180*2+132+163</f>
        <v>655</v>
      </c>
      <c r="M368" s="80">
        <f t="shared" si="21"/>
        <v>6.1157796451914097E-2</v>
      </c>
      <c r="N368" s="78">
        <v>211</v>
      </c>
      <c r="O368" s="180">
        <f t="shared" si="12"/>
        <v>1.9701213818860877</v>
      </c>
      <c r="P368" s="78">
        <v>142</v>
      </c>
      <c r="Q368" s="86">
        <f t="shared" si="22"/>
        <v>1.3258636788048552E-2</v>
      </c>
      <c r="R368" s="5">
        <f>180*2+82+45</f>
        <v>487</v>
      </c>
      <c r="S368" s="69">
        <f t="shared" si="23"/>
        <v>4.5471521942110175E-2</v>
      </c>
      <c r="T368" s="5">
        <v>0</v>
      </c>
      <c r="U368" s="87">
        <f t="shared" si="24"/>
        <v>0</v>
      </c>
      <c r="V368" s="75">
        <f t="shared" ref="V368:V418" si="25">O368+Q368+S368+U368</f>
        <v>2.0288515406162464</v>
      </c>
      <c r="W368" s="168" t="s">
        <v>2107</v>
      </c>
    </row>
    <row r="369" spans="1:23">
      <c r="A369" s="38" t="s">
        <v>1623</v>
      </c>
      <c r="B369" s="5" t="s">
        <v>1530</v>
      </c>
      <c r="C369" s="76" t="s">
        <v>29</v>
      </c>
      <c r="D369" s="5" t="s">
        <v>1534</v>
      </c>
      <c r="E369" s="5" t="s">
        <v>22</v>
      </c>
      <c r="F369" s="5">
        <v>7783</v>
      </c>
      <c r="G369" s="10" t="s">
        <v>1545</v>
      </c>
      <c r="H369" s="5">
        <f>180*36+47+124</f>
        <v>6651</v>
      </c>
      <c r="I369" s="69">
        <f t="shared" si="19"/>
        <v>0.85455479892072461</v>
      </c>
      <c r="J369" s="5">
        <f>180+106+17</f>
        <v>303</v>
      </c>
      <c r="K369" s="69">
        <f t="shared" si="20"/>
        <v>3.8931003469099321E-2</v>
      </c>
      <c r="L369" s="5">
        <f>100</f>
        <v>100</v>
      </c>
      <c r="M369" s="80">
        <f t="shared" si="21"/>
        <v>1.2848515996402415E-2</v>
      </c>
      <c r="N369" s="78">
        <v>169</v>
      </c>
      <c r="O369" s="180">
        <f t="shared" si="12"/>
        <v>2.1713992033920082</v>
      </c>
      <c r="P369" s="78">
        <v>144</v>
      </c>
      <c r="Q369" s="86">
        <f t="shared" si="22"/>
        <v>1.8501863034819477E-2</v>
      </c>
      <c r="R369" s="5">
        <f>136</f>
        <v>136</v>
      </c>
      <c r="S369" s="69">
        <f t="shared" si="23"/>
        <v>1.7473981755107285E-2</v>
      </c>
      <c r="T369" s="5">
        <f>180+100</f>
        <v>280</v>
      </c>
      <c r="U369" s="87">
        <f t="shared" si="24"/>
        <v>3.5975844789926763E-2</v>
      </c>
      <c r="V369" s="75">
        <f t="shared" si="25"/>
        <v>2.2433508929718613</v>
      </c>
      <c r="W369" s="168" t="s">
        <v>2107</v>
      </c>
    </row>
    <row r="370" spans="1:23">
      <c r="A370" s="38" t="s">
        <v>1623</v>
      </c>
      <c r="B370" s="5" t="s">
        <v>1538</v>
      </c>
      <c r="C370" s="76" t="s">
        <v>29</v>
      </c>
      <c r="D370" s="5" t="s">
        <v>1536</v>
      </c>
      <c r="E370" s="5" t="s">
        <v>22</v>
      </c>
      <c r="F370" s="5">
        <v>3720</v>
      </c>
      <c r="G370" s="10" t="s">
        <v>1551</v>
      </c>
      <c r="H370" s="5">
        <f>180*12+172+46</f>
        <v>2378</v>
      </c>
      <c r="I370" s="69">
        <f t="shared" si="19"/>
        <v>0.63924731182795702</v>
      </c>
      <c r="J370" s="5">
        <f>180*2+45+162</f>
        <v>567</v>
      </c>
      <c r="K370" s="69">
        <f t="shared" si="20"/>
        <v>0.15241935483870966</v>
      </c>
      <c r="L370" s="5">
        <f>180+56+118+28</f>
        <v>382</v>
      </c>
      <c r="M370" s="80">
        <f t="shared" si="21"/>
        <v>0.10268817204301076</v>
      </c>
      <c r="N370" s="78">
        <v>153</v>
      </c>
      <c r="O370" s="180">
        <f t="shared" si="12"/>
        <v>4.112903225806452</v>
      </c>
      <c r="P370" s="78">
        <v>0</v>
      </c>
      <c r="Q370" s="86">
        <f t="shared" si="22"/>
        <v>0</v>
      </c>
      <c r="R370" s="5">
        <v>0</v>
      </c>
      <c r="S370" s="69">
        <f t="shared" si="23"/>
        <v>0</v>
      </c>
      <c r="T370" s="5">
        <f>180+60</f>
        <v>240</v>
      </c>
      <c r="U370" s="87">
        <f t="shared" si="24"/>
        <v>6.4516129032258063E-2</v>
      </c>
      <c r="V370" s="75">
        <f t="shared" si="25"/>
        <v>4.17741935483871</v>
      </c>
      <c r="W370" s="168" t="s">
        <v>2107</v>
      </c>
    </row>
    <row r="371" spans="1:23">
      <c r="A371" s="38" t="s">
        <v>1624</v>
      </c>
      <c r="B371" s="5" t="s">
        <v>1530</v>
      </c>
      <c r="C371" s="76" t="s">
        <v>29</v>
      </c>
      <c r="D371" s="5" t="s">
        <v>1534</v>
      </c>
      <c r="E371" s="5" t="s">
        <v>22</v>
      </c>
      <c r="F371" s="5">
        <v>1224</v>
      </c>
      <c r="G371" s="10" t="s">
        <v>1545</v>
      </c>
      <c r="H371" s="5">
        <f>180*2+103+112</f>
        <v>575</v>
      </c>
      <c r="I371" s="69">
        <f t="shared" si="19"/>
        <v>0.46977124183006536</v>
      </c>
      <c r="J371" s="5">
        <f>180+137+170+43</f>
        <v>530</v>
      </c>
      <c r="K371" s="69">
        <f t="shared" si="20"/>
        <v>0.43300653594771243</v>
      </c>
      <c r="L371" s="5">
        <f>28+85</f>
        <v>113</v>
      </c>
      <c r="M371" s="80">
        <f t="shared" si="21"/>
        <v>9.2320261437908502E-2</v>
      </c>
      <c r="N371" s="78">
        <v>6</v>
      </c>
      <c r="O371" s="180">
        <f t="shared" si="12"/>
        <v>0.49019607843137253</v>
      </c>
      <c r="P371" s="78">
        <v>0</v>
      </c>
      <c r="Q371" s="86">
        <f t="shared" si="22"/>
        <v>0</v>
      </c>
      <c r="R371" s="5">
        <v>0</v>
      </c>
      <c r="S371" s="69">
        <f t="shared" si="23"/>
        <v>0</v>
      </c>
      <c r="T371" s="5">
        <v>0</v>
      </c>
      <c r="U371" s="87">
        <f t="shared" si="24"/>
        <v>0</v>
      </c>
      <c r="V371" s="75">
        <f t="shared" si="25"/>
        <v>0.49019607843137253</v>
      </c>
      <c r="W371" s="168" t="s">
        <v>2107</v>
      </c>
    </row>
    <row r="372" spans="1:23">
      <c r="A372" s="38" t="s">
        <v>1624</v>
      </c>
      <c r="B372" s="5" t="s">
        <v>1530</v>
      </c>
      <c r="C372" s="68" t="s">
        <v>1533</v>
      </c>
      <c r="D372" s="5" t="s">
        <v>1531</v>
      </c>
      <c r="E372" s="5" t="s">
        <v>22</v>
      </c>
      <c r="F372" s="5">
        <v>6655</v>
      </c>
      <c r="G372" s="10" t="s">
        <v>1533</v>
      </c>
      <c r="H372" s="5">
        <f>180*4+109</f>
        <v>829</v>
      </c>
      <c r="I372" s="69">
        <f t="shared" si="19"/>
        <v>0.1245679939894816</v>
      </c>
      <c r="J372" s="5">
        <f>180*15+180*4+98</f>
        <v>3518</v>
      </c>
      <c r="K372" s="69">
        <f t="shared" si="20"/>
        <v>0.52862509391435009</v>
      </c>
      <c r="L372" s="5">
        <f>180*10+114</f>
        <v>1914</v>
      </c>
      <c r="M372" s="80">
        <f t="shared" si="21"/>
        <v>0.28760330578512394</v>
      </c>
      <c r="N372" s="78">
        <v>500</v>
      </c>
      <c r="O372" s="180">
        <f t="shared" si="12"/>
        <v>7.5131480090157767</v>
      </c>
      <c r="P372" s="78">
        <v>106</v>
      </c>
      <c r="Q372" s="86">
        <f t="shared" si="22"/>
        <v>1.5927873779113449E-2</v>
      </c>
      <c r="R372" s="5">
        <v>0</v>
      </c>
      <c r="S372" s="69">
        <f t="shared" si="23"/>
        <v>0</v>
      </c>
      <c r="T372" s="5">
        <v>0</v>
      </c>
      <c r="U372" s="87">
        <f t="shared" si="24"/>
        <v>0</v>
      </c>
      <c r="V372" s="75">
        <f t="shared" si="25"/>
        <v>7.5290758827948903</v>
      </c>
      <c r="W372" s="168" t="s">
        <v>2107</v>
      </c>
    </row>
    <row r="373" spans="1:23">
      <c r="A373" s="38" t="s">
        <v>1624</v>
      </c>
      <c r="B373" s="5" t="s">
        <v>1530</v>
      </c>
      <c r="C373" s="5" t="s">
        <v>31</v>
      </c>
      <c r="D373" s="5" t="s">
        <v>1536</v>
      </c>
      <c r="E373" s="5" t="s">
        <v>22</v>
      </c>
      <c r="F373" s="5">
        <v>7178</v>
      </c>
      <c r="G373" s="10" t="s">
        <v>1537</v>
      </c>
      <c r="H373" s="5">
        <f>180*13+42+158</f>
        <v>2540</v>
      </c>
      <c r="I373" s="69">
        <f t="shared" si="19"/>
        <v>0.35385901365282807</v>
      </c>
      <c r="J373" s="5">
        <f>180*14+77+180*2+109+130+137</f>
        <v>3333</v>
      </c>
      <c r="K373" s="69">
        <f t="shared" si="20"/>
        <v>0.46433546949010868</v>
      </c>
      <c r="L373" s="5">
        <f>180*2+17+36</f>
        <v>413</v>
      </c>
      <c r="M373" s="80">
        <f t="shared" si="21"/>
        <v>5.7536918361660631E-2</v>
      </c>
      <c r="N373" s="78">
        <v>132</v>
      </c>
      <c r="O373" s="180">
        <f t="shared" si="12"/>
        <v>1.838952354416272</v>
      </c>
      <c r="P373" s="78">
        <v>147</v>
      </c>
      <c r="Q373" s="86">
        <f t="shared" si="22"/>
        <v>2.0479242128726666E-2</v>
      </c>
      <c r="R373" s="5">
        <f>180*2+135+118</f>
        <v>613</v>
      </c>
      <c r="S373" s="69">
        <f t="shared" si="23"/>
        <v>8.5399832822513233E-2</v>
      </c>
      <c r="T373" s="5">
        <v>0</v>
      </c>
      <c r="U373" s="87">
        <f t="shared" si="24"/>
        <v>0</v>
      </c>
      <c r="V373" s="75">
        <f t="shared" si="25"/>
        <v>1.944831429367512</v>
      </c>
      <c r="W373" s="168" t="s">
        <v>2107</v>
      </c>
    </row>
    <row r="374" spans="1:23">
      <c r="A374" s="38" t="s">
        <v>1624</v>
      </c>
      <c r="B374" s="5" t="s">
        <v>1530</v>
      </c>
      <c r="C374" s="68" t="s">
        <v>1533</v>
      </c>
      <c r="D374" s="5" t="s">
        <v>1536</v>
      </c>
      <c r="E374" s="5" t="s">
        <v>22</v>
      </c>
      <c r="F374" s="5">
        <v>5040</v>
      </c>
      <c r="G374" s="10" t="s">
        <v>1533</v>
      </c>
      <c r="H374" s="5">
        <f>180*4+173+190*14</f>
        <v>3553</v>
      </c>
      <c r="I374" s="69">
        <f t="shared" si="19"/>
        <v>0.70496031746031751</v>
      </c>
      <c r="J374" s="5">
        <f>133</f>
        <v>133</v>
      </c>
      <c r="K374" s="69">
        <f t="shared" si="20"/>
        <v>2.6388888888888889E-2</v>
      </c>
      <c r="L374" s="5">
        <f>190*3+162+150</f>
        <v>882</v>
      </c>
      <c r="M374" s="80">
        <f t="shared" si="21"/>
        <v>0.17499999999999999</v>
      </c>
      <c r="N374" s="78">
        <v>372</v>
      </c>
      <c r="O374" s="180">
        <f t="shared" si="12"/>
        <v>7.3809523809523814</v>
      </c>
      <c r="P374" s="78">
        <v>100</v>
      </c>
      <c r="Q374" s="86">
        <f t="shared" si="22"/>
        <v>1.984126984126984E-2</v>
      </c>
      <c r="R374" s="5">
        <v>0</v>
      </c>
      <c r="S374" s="69">
        <f t="shared" si="23"/>
        <v>0</v>
      </c>
      <c r="T374" s="5">
        <v>0</v>
      </c>
      <c r="U374" s="87">
        <f t="shared" si="24"/>
        <v>0</v>
      </c>
      <c r="V374" s="75">
        <f t="shared" si="25"/>
        <v>7.4007936507936511</v>
      </c>
      <c r="W374" s="168" t="s">
        <v>2107</v>
      </c>
    </row>
    <row r="375" spans="1:23">
      <c r="A375" s="38" t="s">
        <v>1624</v>
      </c>
      <c r="B375" s="5" t="s">
        <v>1530</v>
      </c>
      <c r="C375" s="76" t="s">
        <v>29</v>
      </c>
      <c r="D375" s="5" t="s">
        <v>1534</v>
      </c>
      <c r="E375" s="5" t="s">
        <v>22</v>
      </c>
      <c r="F375" s="5">
        <v>4611</v>
      </c>
      <c r="G375" s="10" t="s">
        <v>1545</v>
      </c>
      <c r="H375" s="5">
        <f>180*18+56+111</f>
        <v>3407</v>
      </c>
      <c r="I375" s="69">
        <f t="shared" si="19"/>
        <v>0.73888527434396012</v>
      </c>
      <c r="J375" s="5">
        <f>180*3+163</f>
        <v>703</v>
      </c>
      <c r="K375" s="69">
        <f t="shared" si="20"/>
        <v>0.15246150509650835</v>
      </c>
      <c r="L375" s="5">
        <f>80+33</f>
        <v>113</v>
      </c>
      <c r="M375" s="80">
        <f t="shared" si="21"/>
        <v>2.4506614617219692E-2</v>
      </c>
      <c r="N375" s="78">
        <v>75</v>
      </c>
      <c r="O375" s="180">
        <f t="shared" si="12"/>
        <v>1.626545217957059</v>
      </c>
      <c r="P375" s="78">
        <v>27</v>
      </c>
      <c r="Q375" s="86">
        <f t="shared" si="22"/>
        <v>5.8555627846454128E-3</v>
      </c>
      <c r="R375" s="5">
        <f>44+96</f>
        <v>140</v>
      </c>
      <c r="S375" s="69">
        <f t="shared" si="23"/>
        <v>3.0362177401865104E-2</v>
      </c>
      <c r="T375" s="5">
        <f>80+66</f>
        <v>146</v>
      </c>
      <c r="U375" s="87">
        <f t="shared" si="24"/>
        <v>3.1663413576230752E-2</v>
      </c>
      <c r="V375" s="75">
        <f t="shared" si="25"/>
        <v>1.6944263717198005</v>
      </c>
      <c r="W375" s="168" t="s">
        <v>2107</v>
      </c>
    </row>
    <row r="376" spans="1:23">
      <c r="A376" s="38" t="s">
        <v>1624</v>
      </c>
      <c r="B376" s="5" t="s">
        <v>1556</v>
      </c>
      <c r="C376" s="76" t="s">
        <v>29</v>
      </c>
      <c r="D376" s="5" t="s">
        <v>1550</v>
      </c>
      <c r="E376" s="5" t="s">
        <v>22</v>
      </c>
      <c r="F376" s="5">
        <v>8680</v>
      </c>
      <c r="G376" s="10" t="s">
        <v>1551</v>
      </c>
      <c r="H376" s="5">
        <f>170*50</f>
        <v>8500</v>
      </c>
      <c r="I376" s="69">
        <f t="shared" si="19"/>
        <v>0.97926267281105994</v>
      </c>
      <c r="J376" s="5">
        <v>0</v>
      </c>
      <c r="K376" s="69">
        <f t="shared" si="20"/>
        <v>0</v>
      </c>
      <c r="L376" s="5">
        <v>0</v>
      </c>
      <c r="M376" s="80">
        <f t="shared" si="21"/>
        <v>0</v>
      </c>
      <c r="N376" s="78">
        <v>0</v>
      </c>
      <c r="O376" s="180">
        <f t="shared" si="12"/>
        <v>0</v>
      </c>
      <c r="P376" s="78">
        <v>180</v>
      </c>
      <c r="Q376" s="86">
        <f t="shared" si="22"/>
        <v>2.0737327188940093E-2</v>
      </c>
      <c r="R376" s="5">
        <v>0</v>
      </c>
      <c r="S376" s="69">
        <f t="shared" si="23"/>
        <v>0</v>
      </c>
      <c r="T376" s="5">
        <v>0</v>
      </c>
      <c r="U376" s="87">
        <f t="shared" si="24"/>
        <v>0</v>
      </c>
      <c r="V376" s="75">
        <f t="shared" si="25"/>
        <v>2.0737327188940093E-2</v>
      </c>
      <c r="W376" s="168" t="s">
        <v>2104</v>
      </c>
    </row>
    <row r="377" spans="1:23">
      <c r="A377" s="38" t="s">
        <v>1624</v>
      </c>
      <c r="B377" s="5" t="s">
        <v>1538</v>
      </c>
      <c r="C377" s="5" t="s">
        <v>31</v>
      </c>
      <c r="D377" s="5" t="s">
        <v>1536</v>
      </c>
      <c r="E377" s="5" t="s">
        <v>22</v>
      </c>
      <c r="F377" s="5">
        <v>8040</v>
      </c>
      <c r="G377" s="77" t="s">
        <v>1540</v>
      </c>
      <c r="H377" s="5">
        <f>180*15+18+37</f>
        <v>2755</v>
      </c>
      <c r="I377" s="69">
        <f t="shared" si="19"/>
        <v>0.34266169154228854</v>
      </c>
      <c r="J377" s="5">
        <f>180*13+103</f>
        <v>2443</v>
      </c>
      <c r="K377" s="69">
        <f t="shared" si="20"/>
        <v>0.30385572139303485</v>
      </c>
      <c r="L377" s="5">
        <f>180*3+134+125+62+61</f>
        <v>922</v>
      </c>
      <c r="M377" s="80">
        <f t="shared" si="21"/>
        <v>0.11467661691542289</v>
      </c>
      <c r="N377" s="78">
        <v>1856</v>
      </c>
      <c r="O377" s="180">
        <f t="shared" si="12"/>
        <v>23.084577114427859</v>
      </c>
      <c r="P377" s="78">
        <v>0</v>
      </c>
      <c r="Q377" s="86">
        <f t="shared" si="22"/>
        <v>0</v>
      </c>
      <c r="R377" s="5">
        <v>0</v>
      </c>
      <c r="S377" s="69">
        <f t="shared" si="23"/>
        <v>0</v>
      </c>
      <c r="T377" s="5">
        <v>64</v>
      </c>
      <c r="U377" s="87">
        <f t="shared" si="24"/>
        <v>7.9601990049751239E-3</v>
      </c>
      <c r="V377" s="75">
        <f t="shared" si="25"/>
        <v>23.092537313432835</v>
      </c>
      <c r="W377" s="168" t="s">
        <v>1195</v>
      </c>
    </row>
    <row r="378" spans="1:23">
      <c r="A378" s="38" t="s">
        <v>1624</v>
      </c>
      <c r="B378" s="5" t="s">
        <v>1538</v>
      </c>
      <c r="C378" s="76" t="s">
        <v>29</v>
      </c>
      <c r="D378" s="5" t="s">
        <v>1536</v>
      </c>
      <c r="E378" s="5" t="s">
        <v>22</v>
      </c>
      <c r="F378" s="5">
        <v>1530</v>
      </c>
      <c r="G378" s="10" t="s">
        <v>1545</v>
      </c>
      <c r="H378" s="5">
        <f>170*7+39</f>
        <v>1229</v>
      </c>
      <c r="I378" s="69">
        <f t="shared" si="19"/>
        <v>0.80326797385620918</v>
      </c>
      <c r="J378" s="5">
        <v>0</v>
      </c>
      <c r="K378" s="69">
        <f t="shared" si="20"/>
        <v>0</v>
      </c>
      <c r="L378" s="5">
        <f>102+115</f>
        <v>217</v>
      </c>
      <c r="M378" s="80">
        <f t="shared" si="21"/>
        <v>0.14183006535947712</v>
      </c>
      <c r="N378" s="78">
        <v>84</v>
      </c>
      <c r="O378" s="180">
        <f t="shared" si="12"/>
        <v>5.4901960784313726</v>
      </c>
      <c r="P378" s="78">
        <v>0</v>
      </c>
      <c r="Q378" s="86">
        <f t="shared" si="22"/>
        <v>0</v>
      </c>
      <c r="R378" s="5">
        <v>0</v>
      </c>
      <c r="S378" s="69">
        <f t="shared" si="23"/>
        <v>0</v>
      </c>
      <c r="T378" s="5">
        <v>0</v>
      </c>
      <c r="U378" s="87">
        <f t="shared" si="24"/>
        <v>0</v>
      </c>
      <c r="V378" s="75">
        <f t="shared" si="25"/>
        <v>5.4901960784313726</v>
      </c>
      <c r="W378" s="168" t="s">
        <v>2107</v>
      </c>
    </row>
    <row r="379" spans="1:23">
      <c r="A379" s="38" t="s">
        <v>1625</v>
      </c>
      <c r="B379" s="5" t="s">
        <v>1530</v>
      </c>
      <c r="C379" s="76" t="s">
        <v>27</v>
      </c>
      <c r="D379" s="5" t="s">
        <v>1536</v>
      </c>
      <c r="E379" s="5" t="s">
        <v>22</v>
      </c>
      <c r="F379" s="5">
        <v>4035</v>
      </c>
      <c r="G379" s="10" t="s">
        <v>1535</v>
      </c>
      <c r="H379" s="5">
        <f>180*17+92</f>
        <v>3152</v>
      </c>
      <c r="I379" s="69">
        <f t="shared" si="19"/>
        <v>0.78116480793060716</v>
      </c>
      <c r="J379" s="5">
        <f>24</f>
        <v>24</v>
      </c>
      <c r="K379" s="69">
        <f t="shared" si="20"/>
        <v>5.9479553903345724E-3</v>
      </c>
      <c r="L379" s="5">
        <f>180+176</f>
        <v>356</v>
      </c>
      <c r="M379" s="80">
        <f t="shared" si="21"/>
        <v>8.8228004956629497E-2</v>
      </c>
      <c r="N379" s="78">
        <v>175</v>
      </c>
      <c r="O379" s="180">
        <f t="shared" si="12"/>
        <v>4.337050805452292</v>
      </c>
      <c r="P379" s="78">
        <v>205</v>
      </c>
      <c r="Q379" s="86">
        <f t="shared" si="22"/>
        <v>5.0805452292441142E-2</v>
      </c>
      <c r="R379" s="5">
        <v>0</v>
      </c>
      <c r="S379" s="69">
        <f t="shared" si="23"/>
        <v>0</v>
      </c>
      <c r="T379" s="5">
        <v>123</v>
      </c>
      <c r="U379" s="87">
        <f t="shared" si="24"/>
        <v>3.0483271375464683E-2</v>
      </c>
      <c r="V379" s="75">
        <f t="shared" si="25"/>
        <v>4.4183395291201979</v>
      </c>
      <c r="W379" s="168" t="s">
        <v>2107</v>
      </c>
    </row>
    <row r="380" spans="1:23">
      <c r="A380" s="38" t="s">
        <v>1625</v>
      </c>
      <c r="B380" s="5" t="s">
        <v>1530</v>
      </c>
      <c r="C380" s="76" t="s">
        <v>27</v>
      </c>
      <c r="D380" s="5" t="s">
        <v>1534</v>
      </c>
      <c r="E380" s="5" t="s">
        <v>22</v>
      </c>
      <c r="F380" s="5">
        <v>2923</v>
      </c>
      <c r="G380" s="10" t="s">
        <v>1535</v>
      </c>
      <c r="H380" s="5">
        <f>180*14+28</f>
        <v>2548</v>
      </c>
      <c r="I380" s="69">
        <f t="shared" si="19"/>
        <v>0.8717071501881628</v>
      </c>
      <c r="J380" s="5">
        <f>22</f>
        <v>22</v>
      </c>
      <c r="K380" s="69">
        <f t="shared" si="20"/>
        <v>7.5265138556277799E-3</v>
      </c>
      <c r="L380" s="5">
        <v>71</v>
      </c>
      <c r="M380" s="80">
        <f t="shared" si="21"/>
        <v>2.4290112897707834E-2</v>
      </c>
      <c r="N380" s="78">
        <v>63</v>
      </c>
      <c r="O380" s="180">
        <f t="shared" si="12"/>
        <v>2.1553198768388642</v>
      </c>
      <c r="P380" s="78">
        <v>134</v>
      </c>
      <c r="Q380" s="86">
        <f t="shared" si="22"/>
        <v>4.5843311666096474E-2</v>
      </c>
      <c r="R380" s="5">
        <v>85</v>
      </c>
      <c r="S380" s="69">
        <f t="shared" si="23"/>
        <v>2.9079712624016422E-2</v>
      </c>
      <c r="T380" s="5">
        <v>0</v>
      </c>
      <c r="U380" s="87">
        <f t="shared" si="24"/>
        <v>0</v>
      </c>
      <c r="V380" s="75">
        <f t="shared" si="25"/>
        <v>2.2302429011289773</v>
      </c>
      <c r="W380" s="168" t="s">
        <v>2107</v>
      </c>
    </row>
    <row r="381" spans="1:23">
      <c r="A381" s="38" t="s">
        <v>1625</v>
      </c>
      <c r="B381" s="5" t="s">
        <v>1530</v>
      </c>
      <c r="C381" s="76" t="s">
        <v>27</v>
      </c>
      <c r="D381" s="5" t="s">
        <v>1550</v>
      </c>
      <c r="E381" s="5" t="s">
        <v>22</v>
      </c>
      <c r="F381" s="5">
        <v>11748</v>
      </c>
      <c r="G381" s="10" t="s">
        <v>1535</v>
      </c>
      <c r="H381" s="5">
        <f>180*44+180*20</f>
        <v>11520</v>
      </c>
      <c r="I381" s="69">
        <f t="shared" si="19"/>
        <v>0.98059244126659861</v>
      </c>
      <c r="J381" s="5">
        <v>0</v>
      </c>
      <c r="K381" s="69">
        <f t="shared" si="20"/>
        <v>0</v>
      </c>
      <c r="L381" s="5">
        <v>0</v>
      </c>
      <c r="M381" s="80">
        <f t="shared" si="21"/>
        <v>0</v>
      </c>
      <c r="N381" s="78">
        <f>156+72</f>
        <v>228</v>
      </c>
      <c r="O381" s="180">
        <f t="shared" si="12"/>
        <v>1.9407558733401431</v>
      </c>
      <c r="P381" s="78">
        <v>0</v>
      </c>
      <c r="Q381" s="86">
        <f t="shared" si="22"/>
        <v>0</v>
      </c>
      <c r="R381" s="5">
        <v>0</v>
      </c>
      <c r="S381" s="69">
        <f t="shared" si="23"/>
        <v>0</v>
      </c>
      <c r="T381" s="5">
        <v>0</v>
      </c>
      <c r="U381" s="87">
        <f t="shared" si="24"/>
        <v>0</v>
      </c>
      <c r="V381" s="75">
        <f t="shared" si="25"/>
        <v>1.9407558733401431</v>
      </c>
      <c r="W381" s="168" t="s">
        <v>2104</v>
      </c>
    </row>
    <row r="382" spans="1:23">
      <c r="A382" s="38" t="s">
        <v>1626</v>
      </c>
      <c r="B382" s="5" t="s">
        <v>1530</v>
      </c>
      <c r="C382" s="76" t="s">
        <v>27</v>
      </c>
      <c r="D382" s="5" t="s">
        <v>1550</v>
      </c>
      <c r="E382" s="5" t="s">
        <v>22</v>
      </c>
      <c r="F382" s="5">
        <v>4840</v>
      </c>
      <c r="G382" s="10" t="s">
        <v>1535</v>
      </c>
      <c r="H382" s="11">
        <f>190*25</f>
        <v>4750</v>
      </c>
      <c r="I382" s="69">
        <f t="shared" si="19"/>
        <v>0.98140495867768596</v>
      </c>
      <c r="J382" s="11">
        <v>0</v>
      </c>
      <c r="K382" s="69">
        <f t="shared" si="20"/>
        <v>0</v>
      </c>
      <c r="L382" s="11">
        <v>0</v>
      </c>
      <c r="M382" s="80">
        <f t="shared" si="21"/>
        <v>0</v>
      </c>
      <c r="N382" s="78">
        <v>0</v>
      </c>
      <c r="O382" s="180">
        <f t="shared" si="12"/>
        <v>0</v>
      </c>
      <c r="P382" s="78">
        <v>90</v>
      </c>
      <c r="Q382" s="86">
        <f t="shared" si="22"/>
        <v>1.859504132231405E-2</v>
      </c>
      <c r="R382" s="5">
        <v>0</v>
      </c>
      <c r="S382" s="69">
        <f t="shared" si="23"/>
        <v>0</v>
      </c>
      <c r="T382" s="5">
        <v>0</v>
      </c>
      <c r="U382" s="87">
        <f t="shared" si="24"/>
        <v>0</v>
      </c>
      <c r="V382" s="75">
        <f t="shared" si="25"/>
        <v>1.859504132231405E-2</v>
      </c>
      <c r="W382" s="168" t="s">
        <v>2104</v>
      </c>
    </row>
    <row r="383" spans="1:23">
      <c r="A383" s="38" t="s">
        <v>1626</v>
      </c>
      <c r="B383" s="5" t="s">
        <v>1530</v>
      </c>
      <c r="C383" s="76" t="s">
        <v>27</v>
      </c>
      <c r="D383" s="5" t="s">
        <v>1550</v>
      </c>
      <c r="E383" s="5" t="s">
        <v>22</v>
      </c>
      <c r="F383" s="5">
        <v>3489</v>
      </c>
      <c r="G383" s="10" t="s">
        <v>1535</v>
      </c>
      <c r="H383" s="11">
        <f>180*19</f>
        <v>3420</v>
      </c>
      <c r="I383" s="69">
        <f t="shared" si="19"/>
        <v>0.98022355975924336</v>
      </c>
      <c r="J383" s="5">
        <v>0</v>
      </c>
      <c r="K383" s="69">
        <f t="shared" si="20"/>
        <v>0</v>
      </c>
      <c r="L383" s="5">
        <v>0</v>
      </c>
      <c r="M383" s="80">
        <f t="shared" si="21"/>
        <v>0</v>
      </c>
      <c r="N383" s="78">
        <v>0</v>
      </c>
      <c r="O383" s="180">
        <f t="shared" si="12"/>
        <v>0</v>
      </c>
      <c r="P383" s="78">
        <v>69</v>
      </c>
      <c r="Q383" s="86">
        <f t="shared" si="22"/>
        <v>1.9776440240756664E-2</v>
      </c>
      <c r="R383" s="5">
        <v>0</v>
      </c>
      <c r="S383" s="69">
        <f t="shared" si="23"/>
        <v>0</v>
      </c>
      <c r="T383" s="5">
        <v>0</v>
      </c>
      <c r="U383" s="87">
        <f t="shared" si="24"/>
        <v>0</v>
      </c>
      <c r="V383" s="75">
        <f t="shared" si="25"/>
        <v>1.9776440240756664E-2</v>
      </c>
      <c r="W383" s="168" t="s">
        <v>2104</v>
      </c>
    </row>
    <row r="384" spans="1:23">
      <c r="A384" s="38" t="s">
        <v>1626</v>
      </c>
      <c r="B384" s="5" t="s">
        <v>1530</v>
      </c>
      <c r="C384" s="76" t="s">
        <v>27</v>
      </c>
      <c r="D384" s="5" t="s">
        <v>1536</v>
      </c>
      <c r="E384" s="5" t="s">
        <v>22</v>
      </c>
      <c r="F384" s="5">
        <v>4931</v>
      </c>
      <c r="G384" s="10" t="s">
        <v>1535</v>
      </c>
      <c r="H384" s="11">
        <f>180*4+88+121+190*14+90</f>
        <v>3679</v>
      </c>
      <c r="I384" s="69">
        <f t="shared" si="19"/>
        <v>0.7460961265463395</v>
      </c>
      <c r="J384" s="11">
        <f>98+60</f>
        <v>158</v>
      </c>
      <c r="K384" s="69">
        <f t="shared" si="20"/>
        <v>3.2042182113161628E-2</v>
      </c>
      <c r="L384" s="11">
        <f>180*2+4+104</f>
        <v>468</v>
      </c>
      <c r="M384" s="80">
        <f t="shared" si="21"/>
        <v>9.4909754613668629E-2</v>
      </c>
      <c r="N384" s="78">
        <v>237</v>
      </c>
      <c r="O384" s="180">
        <f t="shared" si="12"/>
        <v>4.8063273169742446</v>
      </c>
      <c r="P384" s="78">
        <v>208</v>
      </c>
      <c r="Q384" s="86">
        <f t="shared" si="22"/>
        <v>4.2182113161630501E-2</v>
      </c>
      <c r="R384" s="5">
        <v>0</v>
      </c>
      <c r="S384" s="69">
        <f t="shared" si="23"/>
        <v>0</v>
      </c>
      <c r="T384" s="11">
        <f>57+124</f>
        <v>181</v>
      </c>
      <c r="U384" s="87">
        <f t="shared" si="24"/>
        <v>3.670655039545731E-2</v>
      </c>
      <c r="V384" s="75">
        <f t="shared" si="25"/>
        <v>4.8852159805313322</v>
      </c>
      <c r="W384" s="168" t="s">
        <v>2107</v>
      </c>
    </row>
    <row r="385" spans="1:23">
      <c r="A385" s="38" t="s">
        <v>1626</v>
      </c>
      <c r="B385" s="5" t="s">
        <v>1530</v>
      </c>
      <c r="C385" s="76" t="s">
        <v>27</v>
      </c>
      <c r="D385" s="5" t="s">
        <v>1627</v>
      </c>
      <c r="E385" s="5" t="s">
        <v>22</v>
      </c>
      <c r="F385" s="5">
        <v>10520</v>
      </c>
      <c r="G385" s="10" t="s">
        <v>1535</v>
      </c>
      <c r="H385" s="11">
        <f>190*45+152+101</f>
        <v>8803</v>
      </c>
      <c r="I385" s="69">
        <f t="shared" si="19"/>
        <v>0.83678707224334603</v>
      </c>
      <c r="J385" s="11">
        <f>180*3+28</f>
        <v>568</v>
      </c>
      <c r="K385" s="69">
        <f t="shared" si="20"/>
        <v>5.3992395437262357E-2</v>
      </c>
      <c r="L385" s="11">
        <f>109+169</f>
        <v>278</v>
      </c>
      <c r="M385" s="80">
        <f t="shared" si="21"/>
        <v>2.6425855513307984E-2</v>
      </c>
      <c r="N385" s="88">
        <v>160</v>
      </c>
      <c r="O385" s="180">
        <f t="shared" si="12"/>
        <v>1.520912547528517</v>
      </c>
      <c r="P385" s="78">
        <v>436</v>
      </c>
      <c r="Q385" s="86">
        <f t="shared" si="22"/>
        <v>4.144486692015209E-2</v>
      </c>
      <c r="R385" s="11">
        <f>180+95</f>
        <v>275</v>
      </c>
      <c r="S385" s="69">
        <f t="shared" si="23"/>
        <v>2.6140684410646389E-2</v>
      </c>
      <c r="T385" s="5">
        <v>0</v>
      </c>
      <c r="U385" s="87">
        <f t="shared" si="24"/>
        <v>0</v>
      </c>
      <c r="V385" s="75">
        <f t="shared" si="25"/>
        <v>1.5884980988593156</v>
      </c>
      <c r="W385" s="168" t="s">
        <v>2107</v>
      </c>
    </row>
    <row r="386" spans="1:23">
      <c r="A386" s="67" t="s">
        <v>1628</v>
      </c>
      <c r="B386" s="5" t="s">
        <v>1530</v>
      </c>
      <c r="C386" s="5" t="s">
        <v>31</v>
      </c>
      <c r="D386" s="5" t="s">
        <v>1536</v>
      </c>
      <c r="E386" s="5" t="s">
        <v>22</v>
      </c>
      <c r="F386" s="5">
        <v>6189</v>
      </c>
      <c r="G386" s="10" t="s">
        <v>1537</v>
      </c>
      <c r="H386" s="11">
        <f>180*10+22+54</f>
        <v>1876</v>
      </c>
      <c r="I386" s="69">
        <f t="shared" si="19"/>
        <v>0.30311843593472287</v>
      </c>
      <c r="J386" s="11">
        <f>180*9+35+10+180*2+80</f>
        <v>2105</v>
      </c>
      <c r="K386" s="69">
        <f t="shared" si="20"/>
        <v>0.34011956697366297</v>
      </c>
      <c r="L386" s="11">
        <f>180*4</f>
        <v>720</v>
      </c>
      <c r="M386" s="80">
        <f t="shared" si="21"/>
        <v>0.11633543383422201</v>
      </c>
      <c r="N386" s="78">
        <v>260</v>
      </c>
      <c r="O386" s="180">
        <f t="shared" si="12"/>
        <v>4.2010017773469057</v>
      </c>
      <c r="P386" s="78">
        <v>168</v>
      </c>
      <c r="Q386" s="86">
        <f t="shared" si="22"/>
        <v>2.714493456131847E-2</v>
      </c>
      <c r="R386" s="11">
        <f>180*5+62+98</f>
        <v>1060</v>
      </c>
      <c r="S386" s="69">
        <f t="shared" si="23"/>
        <v>0.17127161092260462</v>
      </c>
      <c r="T386" s="5">
        <v>0</v>
      </c>
      <c r="U386" s="87">
        <f t="shared" si="24"/>
        <v>0</v>
      </c>
      <c r="V386" s="75">
        <f t="shared" si="25"/>
        <v>4.3994183228308295</v>
      </c>
      <c r="W386" s="168" t="s">
        <v>2107</v>
      </c>
    </row>
    <row r="387" spans="1:23">
      <c r="A387" s="67" t="s">
        <v>1628</v>
      </c>
      <c r="B387" s="5" t="s">
        <v>1530</v>
      </c>
      <c r="C387" s="68" t="s">
        <v>1533</v>
      </c>
      <c r="D387" s="5" t="s">
        <v>1536</v>
      </c>
      <c r="E387" s="5" t="s">
        <v>22</v>
      </c>
      <c r="F387" s="5">
        <v>1820</v>
      </c>
      <c r="G387" s="10" t="s">
        <v>1533</v>
      </c>
      <c r="H387" s="11">
        <f>190*7+17+179</f>
        <v>1526</v>
      </c>
      <c r="I387" s="69">
        <f t="shared" si="19"/>
        <v>0.83846153846153848</v>
      </c>
      <c r="J387" s="11">
        <f>47</f>
        <v>47</v>
      </c>
      <c r="K387" s="69">
        <f t="shared" si="20"/>
        <v>2.5824175824175823E-2</v>
      </c>
      <c r="L387" s="11">
        <f>28+127</f>
        <v>155</v>
      </c>
      <c r="M387" s="80">
        <f t="shared" si="21"/>
        <v>8.5164835164835168E-2</v>
      </c>
      <c r="N387" s="78">
        <v>78</v>
      </c>
      <c r="O387" s="180">
        <f t="shared" ref="O387:O450" si="26">N387/F387*100</f>
        <v>4.2857142857142856</v>
      </c>
      <c r="P387" s="78">
        <v>14</v>
      </c>
      <c r="Q387" s="86">
        <f t="shared" si="22"/>
        <v>7.6923076923076927E-3</v>
      </c>
      <c r="R387" s="5">
        <v>0</v>
      </c>
      <c r="S387" s="69">
        <f t="shared" si="23"/>
        <v>0</v>
      </c>
      <c r="T387" s="5">
        <v>0</v>
      </c>
      <c r="U387" s="87">
        <f t="shared" si="24"/>
        <v>0</v>
      </c>
      <c r="V387" s="75">
        <f t="shared" si="25"/>
        <v>4.2934065934065933</v>
      </c>
      <c r="W387" s="168" t="s">
        <v>2107</v>
      </c>
    </row>
    <row r="388" spans="1:23">
      <c r="A388" s="67" t="s">
        <v>1628</v>
      </c>
      <c r="B388" s="5" t="s">
        <v>1538</v>
      </c>
      <c r="C388" s="76" t="s">
        <v>29</v>
      </c>
      <c r="D388" s="68" t="s">
        <v>1559</v>
      </c>
      <c r="E388" s="5" t="s">
        <v>22</v>
      </c>
      <c r="F388" s="5">
        <v>5940</v>
      </c>
      <c r="G388" s="10" t="s">
        <v>1551</v>
      </c>
      <c r="H388" s="11">
        <f>180*33</f>
        <v>5940</v>
      </c>
      <c r="I388" s="69">
        <f t="shared" si="19"/>
        <v>1</v>
      </c>
      <c r="J388" s="11">
        <v>0</v>
      </c>
      <c r="K388" s="69">
        <f t="shared" si="20"/>
        <v>0</v>
      </c>
      <c r="L388" s="11">
        <v>0</v>
      </c>
      <c r="M388" s="80">
        <f t="shared" si="21"/>
        <v>0</v>
      </c>
      <c r="N388" s="78">
        <v>0</v>
      </c>
      <c r="O388" s="180">
        <f t="shared" si="26"/>
        <v>0</v>
      </c>
      <c r="P388" s="78">
        <v>0</v>
      </c>
      <c r="Q388" s="86">
        <f t="shared" si="22"/>
        <v>0</v>
      </c>
      <c r="R388" s="5">
        <v>0</v>
      </c>
      <c r="S388" s="69">
        <f t="shared" si="23"/>
        <v>0</v>
      </c>
      <c r="T388" s="5">
        <v>0</v>
      </c>
      <c r="U388" s="87">
        <f t="shared" si="24"/>
        <v>0</v>
      </c>
      <c r="V388" s="75">
        <f t="shared" si="25"/>
        <v>0</v>
      </c>
      <c r="W388" s="168" t="s">
        <v>1109</v>
      </c>
    </row>
    <row r="389" spans="1:23">
      <c r="A389" s="67" t="s">
        <v>1628</v>
      </c>
      <c r="B389" s="5" t="s">
        <v>1538</v>
      </c>
      <c r="C389" s="76" t="s">
        <v>29</v>
      </c>
      <c r="D389" s="5" t="s">
        <v>1536</v>
      </c>
      <c r="E389" s="5" t="s">
        <v>22</v>
      </c>
      <c r="F389" s="5">
        <v>6965</v>
      </c>
      <c r="G389" s="10" t="s">
        <v>1551</v>
      </c>
      <c r="H389" s="11">
        <f>180*30+37</f>
        <v>5437</v>
      </c>
      <c r="I389" s="69">
        <f t="shared" si="19"/>
        <v>0.78061737257717156</v>
      </c>
      <c r="J389" s="11">
        <f>180*3+108</f>
        <v>648</v>
      </c>
      <c r="K389" s="69">
        <f t="shared" si="20"/>
        <v>9.3036611629576452E-2</v>
      </c>
      <c r="L389" s="11">
        <f>180*2</f>
        <v>360</v>
      </c>
      <c r="M389" s="80">
        <f t="shared" si="21"/>
        <v>5.168700646087581E-2</v>
      </c>
      <c r="N389" s="78">
        <v>426</v>
      </c>
      <c r="O389" s="180">
        <f t="shared" si="26"/>
        <v>6.1162957645369707</v>
      </c>
      <c r="P389" s="78">
        <v>0</v>
      </c>
      <c r="Q389" s="86">
        <f t="shared" si="22"/>
        <v>0</v>
      </c>
      <c r="R389" s="5">
        <v>0</v>
      </c>
      <c r="S389" s="69">
        <f t="shared" si="23"/>
        <v>0</v>
      </c>
      <c r="T389" s="5">
        <v>94</v>
      </c>
      <c r="U389" s="87">
        <f t="shared" si="24"/>
        <v>1.3496051687006461E-2</v>
      </c>
      <c r="V389" s="75">
        <f t="shared" si="25"/>
        <v>6.1297918162239773</v>
      </c>
      <c r="W389" s="168" t="s">
        <v>2107</v>
      </c>
    </row>
    <row r="390" spans="1:23">
      <c r="A390" s="38" t="s">
        <v>1629</v>
      </c>
      <c r="B390" s="5" t="s">
        <v>1530</v>
      </c>
      <c r="C390" s="68" t="s">
        <v>1533</v>
      </c>
      <c r="D390" s="5" t="s">
        <v>1536</v>
      </c>
      <c r="E390" s="5" t="s">
        <v>22</v>
      </c>
      <c r="F390" s="5">
        <v>7395</v>
      </c>
      <c r="G390" s="10" t="s">
        <v>1533</v>
      </c>
      <c r="H390" s="11">
        <f>190*27+127</f>
        <v>5257</v>
      </c>
      <c r="I390" s="69">
        <f t="shared" si="19"/>
        <v>0.71088573360378637</v>
      </c>
      <c r="J390" s="11">
        <f>137</f>
        <v>137</v>
      </c>
      <c r="K390" s="69">
        <f t="shared" si="20"/>
        <v>1.8526031102096011E-2</v>
      </c>
      <c r="L390" s="11">
        <f>190*4+40</f>
        <v>800</v>
      </c>
      <c r="M390" s="80">
        <f t="shared" si="21"/>
        <v>0.10818120351588911</v>
      </c>
      <c r="N390" s="78">
        <v>648</v>
      </c>
      <c r="O390" s="180">
        <f t="shared" si="26"/>
        <v>8.7626774847870177</v>
      </c>
      <c r="P390" s="78">
        <v>209</v>
      </c>
      <c r="Q390" s="86">
        <f t="shared" si="22"/>
        <v>2.8262339418526031E-2</v>
      </c>
      <c r="R390" s="11">
        <f>180+164</f>
        <v>344</v>
      </c>
      <c r="S390" s="69">
        <f t="shared" si="23"/>
        <v>4.6517917511832318E-2</v>
      </c>
      <c r="T390" s="5">
        <v>0</v>
      </c>
      <c r="U390" s="87">
        <f t="shared" si="24"/>
        <v>0</v>
      </c>
      <c r="V390" s="75">
        <f t="shared" si="25"/>
        <v>8.8374577417173761</v>
      </c>
      <c r="W390" s="168" t="s">
        <v>2107</v>
      </c>
    </row>
    <row r="391" spans="1:23">
      <c r="A391" s="38" t="s">
        <v>1629</v>
      </c>
      <c r="B391" s="5" t="s">
        <v>1530</v>
      </c>
      <c r="C391" s="5" t="s">
        <v>31</v>
      </c>
      <c r="D391" s="5" t="s">
        <v>1611</v>
      </c>
      <c r="E391" s="5" t="s">
        <v>22</v>
      </c>
      <c r="F391" s="5">
        <v>8920</v>
      </c>
      <c r="G391" s="77" t="s">
        <v>1540</v>
      </c>
      <c r="H391" s="11">
        <f>180*47</f>
        <v>8460</v>
      </c>
      <c r="I391" s="69">
        <f t="shared" ref="I391:I418" si="27">H391/F391</f>
        <v>0.94843049327354256</v>
      </c>
      <c r="J391" s="11">
        <v>50</v>
      </c>
      <c r="K391" s="69">
        <f t="shared" ref="K391:K418" si="28">J391/F391</f>
        <v>5.6053811659192822E-3</v>
      </c>
      <c r="L391" s="11">
        <v>0</v>
      </c>
      <c r="M391" s="80">
        <f t="shared" ref="M391:M418" si="29">L391/F391</f>
        <v>0</v>
      </c>
      <c r="N391" s="78">
        <v>295</v>
      </c>
      <c r="O391" s="180">
        <f t="shared" si="26"/>
        <v>3.3071748878923763</v>
      </c>
      <c r="P391" s="78">
        <v>115</v>
      </c>
      <c r="Q391" s="86">
        <f t="shared" ref="Q391:Q418" si="30">P391/F391</f>
        <v>1.2892376681614351E-2</v>
      </c>
      <c r="R391" s="5">
        <v>0</v>
      </c>
      <c r="S391" s="69">
        <f t="shared" ref="S391:S418" si="31">R391/F391</f>
        <v>0</v>
      </c>
      <c r="T391" s="5">
        <v>0</v>
      </c>
      <c r="U391" s="87">
        <f t="shared" ref="U391:U418" si="32">T391/F391</f>
        <v>0</v>
      </c>
      <c r="V391" s="75">
        <f t="shared" si="25"/>
        <v>3.3200672645739906</v>
      </c>
      <c r="W391" s="168" t="s">
        <v>2107</v>
      </c>
    </row>
    <row r="392" spans="1:23">
      <c r="A392" s="38" t="s">
        <v>1629</v>
      </c>
      <c r="B392" s="5" t="s">
        <v>1530</v>
      </c>
      <c r="C392" s="5" t="s">
        <v>31</v>
      </c>
      <c r="D392" s="5" t="s">
        <v>1536</v>
      </c>
      <c r="E392" s="5" t="s">
        <v>22</v>
      </c>
      <c r="F392" s="5">
        <v>7740</v>
      </c>
      <c r="G392" s="77" t="s">
        <v>1540</v>
      </c>
      <c r="H392" s="11">
        <f>180*38+123</f>
        <v>6963</v>
      </c>
      <c r="I392" s="69">
        <f t="shared" si="27"/>
        <v>0.89961240310077517</v>
      </c>
      <c r="J392" s="11">
        <f>100+39</f>
        <v>139</v>
      </c>
      <c r="K392" s="69">
        <f t="shared" si="28"/>
        <v>1.7958656330749355E-2</v>
      </c>
      <c r="L392" s="11">
        <f>208+21</f>
        <v>229</v>
      </c>
      <c r="M392" s="80">
        <f t="shared" si="29"/>
        <v>2.9586563307493541E-2</v>
      </c>
      <c r="N392" s="78">
        <v>306</v>
      </c>
      <c r="O392" s="180">
        <f t="shared" si="26"/>
        <v>3.9534883720930232</v>
      </c>
      <c r="P392" s="78">
        <v>103</v>
      </c>
      <c r="Q392" s="86">
        <f t="shared" si="30"/>
        <v>1.3307493540051679E-2</v>
      </c>
      <c r="R392" s="5">
        <v>0</v>
      </c>
      <c r="S392" s="69">
        <f t="shared" si="31"/>
        <v>0</v>
      </c>
      <c r="T392" s="5">
        <v>0</v>
      </c>
      <c r="U392" s="87">
        <f t="shared" si="32"/>
        <v>0</v>
      </c>
      <c r="V392" s="75">
        <f t="shared" si="25"/>
        <v>3.9667958656330748</v>
      </c>
      <c r="W392" s="168" t="s">
        <v>2107</v>
      </c>
    </row>
    <row r="393" spans="1:23">
      <c r="A393" s="38" t="s">
        <v>1629</v>
      </c>
      <c r="B393" s="5" t="s">
        <v>1538</v>
      </c>
      <c r="C393" s="176" t="s">
        <v>31</v>
      </c>
      <c r="D393" s="5" t="s">
        <v>1536</v>
      </c>
      <c r="E393" s="5" t="s">
        <v>22</v>
      </c>
      <c r="F393" s="5">
        <v>7165</v>
      </c>
      <c r="G393" s="77" t="s">
        <v>1540</v>
      </c>
      <c r="H393" s="11">
        <f>180*26+72+66</f>
        <v>4818</v>
      </c>
      <c r="I393" s="69">
        <f t="shared" si="27"/>
        <v>0.67243545010467554</v>
      </c>
      <c r="J393" s="11">
        <f>105</f>
        <v>105</v>
      </c>
      <c r="K393" s="69">
        <f t="shared" si="28"/>
        <v>1.465457083042568E-2</v>
      </c>
      <c r="L393" s="11">
        <f>180*3+143+85+148</f>
        <v>916</v>
      </c>
      <c r="M393" s="80">
        <f t="shared" si="29"/>
        <v>0.12784368457780879</v>
      </c>
      <c r="N393" s="78">
        <v>1194</v>
      </c>
      <c r="O393" s="180">
        <f t="shared" si="26"/>
        <v>16.66434054431263</v>
      </c>
      <c r="P393" s="78">
        <v>0</v>
      </c>
      <c r="Q393" s="86">
        <f t="shared" si="30"/>
        <v>0</v>
      </c>
      <c r="R393" s="5">
        <v>0</v>
      </c>
      <c r="S393" s="69">
        <f t="shared" si="31"/>
        <v>0</v>
      </c>
      <c r="T393" s="11">
        <f>86+46</f>
        <v>132</v>
      </c>
      <c r="U393" s="87">
        <f t="shared" si="32"/>
        <v>1.8422889043963712E-2</v>
      </c>
      <c r="V393" s="75">
        <f t="shared" si="25"/>
        <v>16.682763433356595</v>
      </c>
      <c r="W393" s="168" t="s">
        <v>2107</v>
      </c>
    </row>
    <row r="394" spans="1:23">
      <c r="A394" s="38" t="s">
        <v>1630</v>
      </c>
      <c r="B394" s="5" t="s">
        <v>1530</v>
      </c>
      <c r="C394" s="5" t="s">
        <v>31</v>
      </c>
      <c r="D394" s="5" t="s">
        <v>1536</v>
      </c>
      <c r="E394" s="5" t="s">
        <v>22</v>
      </c>
      <c r="F394" s="5">
        <v>7405</v>
      </c>
      <c r="G394" s="77" t="s">
        <v>1540</v>
      </c>
      <c r="H394" s="11">
        <f>180*31+57+22</f>
        <v>5659</v>
      </c>
      <c r="I394" s="69">
        <f t="shared" si="27"/>
        <v>0.76421336934503714</v>
      </c>
      <c r="J394" s="11">
        <f>91+164+156</f>
        <v>411</v>
      </c>
      <c r="K394" s="69">
        <f t="shared" si="28"/>
        <v>5.5503038487508441E-2</v>
      </c>
      <c r="L394" s="11">
        <f>180*2+152+137+140</f>
        <v>789</v>
      </c>
      <c r="M394" s="80">
        <f t="shared" si="29"/>
        <v>0.10654962862930452</v>
      </c>
      <c r="N394" s="78">
        <v>302</v>
      </c>
      <c r="O394" s="180">
        <f t="shared" si="26"/>
        <v>4.0783254557731263</v>
      </c>
      <c r="P394" s="78">
        <v>104</v>
      </c>
      <c r="Q394" s="86">
        <f t="shared" si="30"/>
        <v>1.4044564483457124E-2</v>
      </c>
      <c r="R394" s="11">
        <f>140</f>
        <v>140</v>
      </c>
      <c r="S394" s="69">
        <f t="shared" si="31"/>
        <v>1.8906144496961513E-2</v>
      </c>
      <c r="T394" s="5">
        <v>0</v>
      </c>
      <c r="U394" s="87">
        <f t="shared" si="32"/>
        <v>0</v>
      </c>
      <c r="V394" s="75">
        <f t="shared" si="25"/>
        <v>4.1112761647535452</v>
      </c>
      <c r="W394" s="168" t="s">
        <v>2107</v>
      </c>
    </row>
    <row r="395" spans="1:23">
      <c r="A395" s="38" t="s">
        <v>1630</v>
      </c>
      <c r="B395" s="5" t="s">
        <v>1530</v>
      </c>
      <c r="C395" s="5" t="s">
        <v>31</v>
      </c>
      <c r="D395" s="5" t="s">
        <v>1611</v>
      </c>
      <c r="E395" s="5" t="s">
        <v>22</v>
      </c>
      <c r="F395" s="5">
        <v>4940</v>
      </c>
      <c r="G395" s="77" t="s">
        <v>1540</v>
      </c>
      <c r="H395" s="11">
        <f>180*26</f>
        <v>4680</v>
      </c>
      <c r="I395" s="69">
        <f t="shared" si="27"/>
        <v>0.94736842105263153</v>
      </c>
      <c r="J395" s="11">
        <v>16</v>
      </c>
      <c r="K395" s="69">
        <f t="shared" si="28"/>
        <v>3.2388663967611335E-3</v>
      </c>
      <c r="L395" s="11">
        <v>7</v>
      </c>
      <c r="M395" s="80">
        <f t="shared" si="29"/>
        <v>1.4170040485829961E-3</v>
      </c>
      <c r="N395" s="78">
        <v>140</v>
      </c>
      <c r="O395" s="180">
        <f t="shared" si="26"/>
        <v>2.834008097165992</v>
      </c>
      <c r="P395" s="78">
        <v>85</v>
      </c>
      <c r="Q395" s="86">
        <f t="shared" si="30"/>
        <v>1.7206477732793522E-2</v>
      </c>
      <c r="R395" s="5">
        <v>12</v>
      </c>
      <c r="S395" s="69">
        <f t="shared" si="31"/>
        <v>2.4291497975708503E-3</v>
      </c>
      <c r="T395" s="5">
        <v>0</v>
      </c>
      <c r="U395" s="87">
        <f t="shared" si="32"/>
        <v>0</v>
      </c>
      <c r="V395" s="75">
        <f t="shared" si="25"/>
        <v>2.8536437246963566</v>
      </c>
      <c r="W395" s="168" t="s">
        <v>2107</v>
      </c>
    </row>
    <row r="396" spans="1:23">
      <c r="A396" s="38" t="s">
        <v>1630</v>
      </c>
      <c r="B396" s="5" t="s">
        <v>1530</v>
      </c>
      <c r="C396" s="76" t="s">
        <v>29</v>
      </c>
      <c r="D396" s="5" t="s">
        <v>1534</v>
      </c>
      <c r="E396" s="5" t="s">
        <v>22</v>
      </c>
      <c r="F396" s="5">
        <v>5040</v>
      </c>
      <c r="G396" s="10" t="s">
        <v>1545</v>
      </c>
      <c r="H396" s="11">
        <f>180*25+130</f>
        <v>4630</v>
      </c>
      <c r="I396" s="69">
        <f t="shared" si="27"/>
        <v>0.91865079365079361</v>
      </c>
      <c r="J396" s="11">
        <v>50</v>
      </c>
      <c r="K396" s="69">
        <f t="shared" si="28"/>
        <v>9.9206349206349201E-3</v>
      </c>
      <c r="L396" s="11">
        <v>50</v>
      </c>
      <c r="M396" s="80">
        <f t="shared" si="29"/>
        <v>9.9206349206349201E-3</v>
      </c>
      <c r="N396" s="88">
        <v>68</v>
      </c>
      <c r="O396" s="180">
        <f t="shared" si="26"/>
        <v>1.3492063492063493</v>
      </c>
      <c r="P396" s="88">
        <v>47</v>
      </c>
      <c r="Q396" s="86">
        <f t="shared" si="30"/>
        <v>9.3253968253968252E-3</v>
      </c>
      <c r="R396" s="11">
        <f>180+15</f>
        <v>195</v>
      </c>
      <c r="S396" s="69">
        <f t="shared" si="31"/>
        <v>3.8690476190476192E-2</v>
      </c>
      <c r="T396" s="11">
        <v>0</v>
      </c>
      <c r="U396" s="87">
        <f t="shared" si="32"/>
        <v>0</v>
      </c>
      <c r="V396" s="75">
        <f t="shared" si="25"/>
        <v>1.3972222222222224</v>
      </c>
      <c r="W396" s="168" t="s">
        <v>2107</v>
      </c>
    </row>
    <row r="397" spans="1:23">
      <c r="A397" s="38" t="s">
        <v>1630</v>
      </c>
      <c r="B397" s="5" t="s">
        <v>1530</v>
      </c>
      <c r="C397" s="76" t="s">
        <v>29</v>
      </c>
      <c r="D397" s="5" t="s">
        <v>1611</v>
      </c>
      <c r="E397" s="5" t="s">
        <v>22</v>
      </c>
      <c r="F397" s="5">
        <v>5997</v>
      </c>
      <c r="G397" s="10" t="s">
        <v>1545</v>
      </c>
      <c r="H397" s="11">
        <f>180*33</f>
        <v>5940</v>
      </c>
      <c r="I397" s="69">
        <f t="shared" si="27"/>
        <v>0.99049524762381191</v>
      </c>
      <c r="J397" s="11">
        <v>0</v>
      </c>
      <c r="K397" s="69">
        <f t="shared" si="28"/>
        <v>0</v>
      </c>
      <c r="L397" s="11">
        <v>0</v>
      </c>
      <c r="M397" s="80">
        <f t="shared" si="29"/>
        <v>0</v>
      </c>
      <c r="N397" s="78">
        <v>31</v>
      </c>
      <c r="O397" s="180">
        <f t="shared" si="26"/>
        <v>0.51692512923128231</v>
      </c>
      <c r="P397" s="78">
        <v>26</v>
      </c>
      <c r="Q397" s="86">
        <f t="shared" si="30"/>
        <v>4.3355010838752707E-3</v>
      </c>
      <c r="R397" s="5">
        <v>0</v>
      </c>
      <c r="S397" s="69">
        <f t="shared" si="31"/>
        <v>0</v>
      </c>
      <c r="T397" s="5">
        <v>0</v>
      </c>
      <c r="U397" s="87">
        <f t="shared" si="32"/>
        <v>0</v>
      </c>
      <c r="V397" s="75">
        <f t="shared" si="25"/>
        <v>0.52126063031515757</v>
      </c>
      <c r="W397" s="168" t="s">
        <v>2107</v>
      </c>
    </row>
    <row r="398" spans="1:23">
      <c r="A398" s="38" t="s">
        <v>1631</v>
      </c>
      <c r="B398" s="5" t="s">
        <v>1530</v>
      </c>
      <c r="C398" s="5" t="s">
        <v>31</v>
      </c>
      <c r="D398" s="5" t="s">
        <v>1536</v>
      </c>
      <c r="E398" s="5" t="s">
        <v>22</v>
      </c>
      <c r="F398" s="5">
        <v>4743</v>
      </c>
      <c r="G398" s="77" t="s">
        <v>1540</v>
      </c>
      <c r="H398" s="11">
        <f>180*10+158+41</f>
        <v>1999</v>
      </c>
      <c r="I398" s="69">
        <f t="shared" si="27"/>
        <v>0.4214632089394898</v>
      </c>
      <c r="J398" s="11">
        <f>180+24+172</f>
        <v>376</v>
      </c>
      <c r="K398" s="69">
        <f t="shared" si="28"/>
        <v>7.9274720640944554E-2</v>
      </c>
      <c r="L398" s="11">
        <f>180*5+40+43+48+128</f>
        <v>1159</v>
      </c>
      <c r="M398" s="80">
        <f t="shared" si="29"/>
        <v>0.24436010963525195</v>
      </c>
      <c r="N398" s="78">
        <v>468</v>
      </c>
      <c r="O398" s="180">
        <f t="shared" si="26"/>
        <v>9.8671726755218216</v>
      </c>
      <c r="P398" s="78">
        <v>196</v>
      </c>
      <c r="Q398" s="86">
        <f t="shared" si="30"/>
        <v>4.1324056504322158E-2</v>
      </c>
      <c r="R398" s="11">
        <f>180*2+28+157</f>
        <v>545</v>
      </c>
      <c r="S398" s="69">
        <f t="shared" si="31"/>
        <v>0.11490617752477335</v>
      </c>
      <c r="T398" s="5">
        <v>0</v>
      </c>
      <c r="U398" s="87">
        <f t="shared" si="32"/>
        <v>0</v>
      </c>
      <c r="V398" s="75">
        <f t="shared" si="25"/>
        <v>10.023402909550917</v>
      </c>
      <c r="W398" s="168" t="s">
        <v>2107</v>
      </c>
    </row>
    <row r="399" spans="1:23">
      <c r="A399" s="38" t="s">
        <v>1631</v>
      </c>
      <c r="B399" s="5" t="s">
        <v>1530</v>
      </c>
      <c r="C399" s="68" t="s">
        <v>1533</v>
      </c>
      <c r="D399" s="5" t="s">
        <v>1536</v>
      </c>
      <c r="E399" s="5" t="s">
        <v>22</v>
      </c>
      <c r="F399" s="5">
        <v>4150</v>
      </c>
      <c r="G399" s="10" t="s">
        <v>1533</v>
      </c>
      <c r="H399" s="11">
        <f>190*13+63+160</f>
        <v>2693</v>
      </c>
      <c r="I399" s="69">
        <f t="shared" si="27"/>
        <v>0.64891566265060241</v>
      </c>
      <c r="J399" s="11">
        <f>43+27</f>
        <v>70</v>
      </c>
      <c r="K399" s="69">
        <f t="shared" si="28"/>
        <v>1.6867469879518072E-2</v>
      </c>
      <c r="L399" s="11">
        <f>190*3+150+105</f>
        <v>825</v>
      </c>
      <c r="M399" s="80">
        <f t="shared" si="29"/>
        <v>0.19879518072289157</v>
      </c>
      <c r="N399" s="78">
        <v>198</v>
      </c>
      <c r="O399" s="180">
        <f t="shared" si="26"/>
        <v>4.7710843373493974</v>
      </c>
      <c r="P399" s="78">
        <v>94</v>
      </c>
      <c r="Q399" s="86">
        <f t="shared" si="30"/>
        <v>2.2650602409638555E-2</v>
      </c>
      <c r="R399" s="11">
        <f>180+90</f>
        <v>270</v>
      </c>
      <c r="S399" s="69">
        <f t="shared" si="31"/>
        <v>6.5060240963855417E-2</v>
      </c>
      <c r="T399" s="5">
        <v>0</v>
      </c>
      <c r="U399" s="87">
        <f t="shared" si="32"/>
        <v>0</v>
      </c>
      <c r="V399" s="75">
        <f t="shared" si="25"/>
        <v>4.8587951807228906</v>
      </c>
      <c r="W399" s="168" t="s">
        <v>2107</v>
      </c>
    </row>
    <row r="400" spans="1:23">
      <c r="A400" s="38" t="s">
        <v>1631</v>
      </c>
      <c r="B400" s="5" t="s">
        <v>1530</v>
      </c>
      <c r="C400" s="68" t="s">
        <v>1533</v>
      </c>
      <c r="D400" s="5" t="s">
        <v>1611</v>
      </c>
      <c r="E400" s="5" t="s">
        <v>22</v>
      </c>
      <c r="F400" s="5">
        <v>5800</v>
      </c>
      <c r="G400" s="10" t="s">
        <v>1533</v>
      </c>
      <c r="H400" s="11">
        <f>190*29</f>
        <v>5510</v>
      </c>
      <c r="I400" s="69">
        <f t="shared" si="27"/>
        <v>0.95</v>
      </c>
      <c r="J400" s="11">
        <v>15</v>
      </c>
      <c r="K400" s="69">
        <f t="shared" si="28"/>
        <v>2.5862068965517241E-3</v>
      </c>
      <c r="L400" s="11">
        <f>14+30</f>
        <v>44</v>
      </c>
      <c r="M400" s="80">
        <f t="shared" si="29"/>
        <v>7.5862068965517242E-3</v>
      </c>
      <c r="N400" s="78">
        <v>82</v>
      </c>
      <c r="O400" s="180">
        <f t="shared" si="26"/>
        <v>1.4137931034482758</v>
      </c>
      <c r="P400" s="78">
        <v>94</v>
      </c>
      <c r="Q400" s="86">
        <f t="shared" si="30"/>
        <v>1.6206896551724137E-2</v>
      </c>
      <c r="R400" s="11">
        <f>28+27</f>
        <v>55</v>
      </c>
      <c r="S400" s="69">
        <f t="shared" si="31"/>
        <v>9.482758620689655E-3</v>
      </c>
      <c r="T400" s="5">
        <v>0</v>
      </c>
      <c r="U400" s="87">
        <f t="shared" si="32"/>
        <v>0</v>
      </c>
      <c r="V400" s="75">
        <f t="shared" si="25"/>
        <v>1.4394827586206895</v>
      </c>
      <c r="W400" s="168" t="s">
        <v>2107</v>
      </c>
    </row>
    <row r="401" spans="1:23">
      <c r="A401" s="38" t="s">
        <v>1631</v>
      </c>
      <c r="B401" s="5" t="s">
        <v>1530</v>
      </c>
      <c r="C401" s="5" t="s">
        <v>31</v>
      </c>
      <c r="D401" s="5" t="s">
        <v>1536</v>
      </c>
      <c r="E401" s="5" t="s">
        <v>22</v>
      </c>
      <c r="F401" s="5">
        <v>5660</v>
      </c>
      <c r="G401" s="77" t="s">
        <v>1540</v>
      </c>
      <c r="H401" s="11">
        <f>180*22+114+34</f>
        <v>4108</v>
      </c>
      <c r="I401" s="69">
        <f t="shared" si="27"/>
        <v>0.72579505300353353</v>
      </c>
      <c r="J401" s="11">
        <v>0</v>
      </c>
      <c r="K401" s="69">
        <f t="shared" si="28"/>
        <v>0</v>
      </c>
      <c r="L401" s="11">
        <f>180+32+103</f>
        <v>315</v>
      </c>
      <c r="M401" s="80">
        <f t="shared" si="29"/>
        <v>5.5653710247349823E-2</v>
      </c>
      <c r="N401" s="78">
        <v>1189</v>
      </c>
      <c r="O401" s="180">
        <f t="shared" si="26"/>
        <v>21.007067137809187</v>
      </c>
      <c r="P401" s="78">
        <v>0</v>
      </c>
      <c r="Q401" s="86">
        <f t="shared" si="30"/>
        <v>0</v>
      </c>
      <c r="R401" s="11">
        <v>0</v>
      </c>
      <c r="S401" s="69">
        <f t="shared" si="31"/>
        <v>0</v>
      </c>
      <c r="T401" s="5">
        <v>48</v>
      </c>
      <c r="U401" s="87">
        <f t="shared" si="32"/>
        <v>8.4805653710247342E-3</v>
      </c>
      <c r="V401" s="75">
        <f t="shared" si="25"/>
        <v>21.015547703180211</v>
      </c>
      <c r="W401" s="168" t="s">
        <v>1195</v>
      </c>
    </row>
    <row r="402" spans="1:23">
      <c r="A402" s="38" t="s">
        <v>1632</v>
      </c>
      <c r="B402" s="5" t="s">
        <v>1530</v>
      </c>
      <c r="C402" s="68" t="s">
        <v>1533</v>
      </c>
      <c r="D402" s="5" t="s">
        <v>1611</v>
      </c>
      <c r="E402" s="5" t="s">
        <v>22</v>
      </c>
      <c r="F402" s="5">
        <v>5370</v>
      </c>
      <c r="G402" s="10" t="s">
        <v>1533</v>
      </c>
      <c r="H402" s="11">
        <f>190*27</f>
        <v>5130</v>
      </c>
      <c r="I402" s="69">
        <f t="shared" si="27"/>
        <v>0.95530726256983245</v>
      </c>
      <c r="J402" s="11">
        <v>52</v>
      </c>
      <c r="K402" s="69">
        <f t="shared" si="28"/>
        <v>9.6834264432029797E-3</v>
      </c>
      <c r="L402" s="11">
        <v>23</v>
      </c>
      <c r="M402" s="80">
        <f t="shared" si="29"/>
        <v>4.2830540037243946E-3</v>
      </c>
      <c r="N402" s="78">
        <v>64</v>
      </c>
      <c r="O402" s="180">
        <f t="shared" si="26"/>
        <v>1.1918063314711358</v>
      </c>
      <c r="P402" s="78">
        <v>77</v>
      </c>
      <c r="Q402" s="86">
        <f t="shared" si="30"/>
        <v>1.4338919925512105E-2</v>
      </c>
      <c r="R402" s="11">
        <v>24</v>
      </c>
      <c r="S402" s="69">
        <f t="shared" si="31"/>
        <v>4.4692737430167594E-3</v>
      </c>
      <c r="T402" s="5">
        <v>0</v>
      </c>
      <c r="U402" s="87">
        <f t="shared" si="32"/>
        <v>0</v>
      </c>
      <c r="V402" s="75">
        <f t="shared" si="25"/>
        <v>1.2106145251396647</v>
      </c>
      <c r="W402" s="168" t="s">
        <v>2107</v>
      </c>
    </row>
    <row r="403" spans="1:23">
      <c r="A403" s="38" t="s">
        <v>1632</v>
      </c>
      <c r="B403" s="5" t="s">
        <v>1530</v>
      </c>
      <c r="C403" s="5" t="s">
        <v>31</v>
      </c>
      <c r="D403" s="5" t="s">
        <v>1536</v>
      </c>
      <c r="E403" s="5" t="s">
        <v>22</v>
      </c>
      <c r="F403" s="5">
        <v>5672</v>
      </c>
      <c r="G403" s="77" t="s">
        <v>1540</v>
      </c>
      <c r="H403" s="11">
        <f>180*8+139</f>
        <v>1579</v>
      </c>
      <c r="I403" s="69">
        <f t="shared" si="27"/>
        <v>0.27838504936530323</v>
      </c>
      <c r="J403" s="11">
        <f>190+8</f>
        <v>198</v>
      </c>
      <c r="K403" s="69">
        <f t="shared" si="28"/>
        <v>3.4908321579689705E-2</v>
      </c>
      <c r="L403" s="11">
        <f>180*4+132+180+52+94+107</f>
        <v>1285</v>
      </c>
      <c r="M403" s="80">
        <f t="shared" si="29"/>
        <v>0.22655148095909733</v>
      </c>
      <c r="N403" s="78">
        <v>217</v>
      </c>
      <c r="O403" s="180">
        <f t="shared" si="26"/>
        <v>3.8258110014104374</v>
      </c>
      <c r="P403" s="78">
        <v>172</v>
      </c>
      <c r="Q403" s="86">
        <f t="shared" si="30"/>
        <v>3.0324400564174896E-2</v>
      </c>
      <c r="R403" s="11">
        <f>180+23+18</f>
        <v>221</v>
      </c>
      <c r="S403" s="69">
        <f t="shared" si="31"/>
        <v>3.8963328631875883E-2</v>
      </c>
      <c r="T403" s="5">
        <v>0</v>
      </c>
      <c r="U403" s="87">
        <f t="shared" si="32"/>
        <v>0</v>
      </c>
      <c r="V403" s="75">
        <f t="shared" si="25"/>
        <v>3.8950987306064881</v>
      </c>
      <c r="W403" s="168" t="s">
        <v>2107</v>
      </c>
    </row>
    <row r="404" spans="1:23">
      <c r="A404" s="38" t="s">
        <v>1632</v>
      </c>
      <c r="B404" s="5" t="s">
        <v>1530</v>
      </c>
      <c r="C404" s="68" t="s">
        <v>1533</v>
      </c>
      <c r="D404" s="5" t="s">
        <v>1536</v>
      </c>
      <c r="E404" s="5" t="s">
        <v>22</v>
      </c>
      <c r="F404" s="5">
        <v>6342</v>
      </c>
      <c r="G404" s="10" t="s">
        <v>1533</v>
      </c>
      <c r="H404" s="11">
        <f>190*14+30+114</f>
        <v>2804</v>
      </c>
      <c r="I404" s="69">
        <f t="shared" si="27"/>
        <v>0.44213181961526332</v>
      </c>
      <c r="J404" s="11">
        <f>92</f>
        <v>92</v>
      </c>
      <c r="K404" s="69">
        <f t="shared" si="28"/>
        <v>1.4506464837590665E-2</v>
      </c>
      <c r="L404" s="11">
        <f>190*10+85+11</f>
        <v>1996</v>
      </c>
      <c r="M404" s="80">
        <f t="shared" si="29"/>
        <v>0.31472721538946702</v>
      </c>
      <c r="N404" s="78">
        <v>362</v>
      </c>
      <c r="O404" s="180">
        <f t="shared" si="26"/>
        <v>5.7079785556606746</v>
      </c>
      <c r="P404" s="78">
        <v>182</v>
      </c>
      <c r="Q404" s="86">
        <f t="shared" si="30"/>
        <v>2.8697571743929361E-2</v>
      </c>
      <c r="R404" s="11">
        <f>180*4+90+96</f>
        <v>906</v>
      </c>
      <c r="S404" s="69">
        <f t="shared" si="31"/>
        <v>0.14285714285714285</v>
      </c>
      <c r="T404" s="5">
        <v>0</v>
      </c>
      <c r="U404" s="87">
        <f t="shared" si="32"/>
        <v>0</v>
      </c>
      <c r="V404" s="75">
        <f t="shared" si="25"/>
        <v>5.8795332702617475</v>
      </c>
      <c r="W404" s="168" t="s">
        <v>2107</v>
      </c>
    </row>
    <row r="405" spans="1:23">
      <c r="A405" s="38" t="s">
        <v>1632</v>
      </c>
      <c r="B405" s="5" t="s">
        <v>1538</v>
      </c>
      <c r="C405" s="5" t="s">
        <v>31</v>
      </c>
      <c r="D405" s="5" t="s">
        <v>1536</v>
      </c>
      <c r="E405" s="5" t="s">
        <v>22</v>
      </c>
      <c r="F405" s="5">
        <v>5315</v>
      </c>
      <c r="G405" s="77" t="s">
        <v>1540</v>
      </c>
      <c r="H405" s="11">
        <f>180*19+146+84</f>
        <v>3650</v>
      </c>
      <c r="I405" s="69">
        <f t="shared" si="27"/>
        <v>0.68673565380997181</v>
      </c>
      <c r="J405" s="11">
        <v>0</v>
      </c>
      <c r="K405" s="69">
        <f t="shared" si="28"/>
        <v>0</v>
      </c>
      <c r="L405" s="11">
        <f>180+77</f>
        <v>257</v>
      </c>
      <c r="M405" s="80">
        <f t="shared" si="29"/>
        <v>4.8353715898400755E-2</v>
      </c>
      <c r="N405" s="78">
        <v>1388</v>
      </c>
      <c r="O405" s="180">
        <f t="shared" si="26"/>
        <v>26.114769520225778</v>
      </c>
      <c r="P405" s="78">
        <v>0</v>
      </c>
      <c r="Q405" s="86">
        <f t="shared" si="30"/>
        <v>0</v>
      </c>
      <c r="R405" s="11">
        <v>0</v>
      </c>
      <c r="S405" s="69">
        <f t="shared" si="31"/>
        <v>0</v>
      </c>
      <c r="T405" s="5">
        <v>20</v>
      </c>
      <c r="U405" s="87">
        <f t="shared" si="32"/>
        <v>3.7629350893697085E-3</v>
      </c>
      <c r="V405" s="75">
        <f t="shared" si="25"/>
        <v>26.118532455315147</v>
      </c>
      <c r="W405" s="168" t="s">
        <v>1195</v>
      </c>
    </row>
    <row r="406" spans="1:23">
      <c r="A406" s="38" t="s">
        <v>1633</v>
      </c>
      <c r="B406" s="5" t="s">
        <v>1530</v>
      </c>
      <c r="C406" s="68" t="s">
        <v>1533</v>
      </c>
      <c r="D406" s="5" t="s">
        <v>1531</v>
      </c>
      <c r="E406" s="5" t="s">
        <v>22</v>
      </c>
      <c r="F406" s="5">
        <v>7221</v>
      </c>
      <c r="G406" s="10" t="s">
        <v>1533</v>
      </c>
      <c r="H406" s="11">
        <f>180*8+29</f>
        <v>1469</v>
      </c>
      <c r="I406" s="69">
        <f t="shared" si="27"/>
        <v>0.20343442736463094</v>
      </c>
      <c r="J406" s="11">
        <f>180*4+94+180*12</f>
        <v>2974</v>
      </c>
      <c r="K406" s="69">
        <f t="shared" si="28"/>
        <v>0.41185431380695192</v>
      </c>
      <c r="L406" s="11">
        <f>180*12+131</f>
        <v>2291</v>
      </c>
      <c r="M406" s="80">
        <f t="shared" si="29"/>
        <v>0.31726907630522089</v>
      </c>
      <c r="N406" s="78">
        <v>43</v>
      </c>
      <c r="O406" s="180">
        <f t="shared" si="26"/>
        <v>0.59548538983520283</v>
      </c>
      <c r="P406" s="78">
        <v>444</v>
      </c>
      <c r="Q406" s="86">
        <f t="shared" si="30"/>
        <v>6.1487328624844205E-2</v>
      </c>
      <c r="R406" s="11">
        <v>0</v>
      </c>
      <c r="S406" s="69">
        <f t="shared" si="31"/>
        <v>0</v>
      </c>
      <c r="T406" s="5">
        <v>0</v>
      </c>
      <c r="U406" s="87">
        <f t="shared" si="32"/>
        <v>0</v>
      </c>
      <c r="V406" s="75">
        <f t="shared" si="25"/>
        <v>0.65697271846004701</v>
      </c>
      <c r="W406" s="168" t="s">
        <v>2107</v>
      </c>
    </row>
    <row r="407" spans="1:23">
      <c r="A407" s="38" t="s">
        <v>1634</v>
      </c>
      <c r="B407" s="5" t="s">
        <v>1530</v>
      </c>
      <c r="C407" s="68" t="s">
        <v>1533</v>
      </c>
      <c r="D407" s="5" t="s">
        <v>1531</v>
      </c>
      <c r="E407" s="5" t="s">
        <v>22</v>
      </c>
      <c r="F407" s="5">
        <v>8265</v>
      </c>
      <c r="G407" s="10" t="s">
        <v>1533</v>
      </c>
      <c r="H407" s="11">
        <f>180*8+151+119</f>
        <v>1710</v>
      </c>
      <c r="I407" s="69">
        <f t="shared" si="27"/>
        <v>0.20689655172413793</v>
      </c>
      <c r="J407" s="11">
        <f>180*16+150+180*3+86+83</f>
        <v>3739</v>
      </c>
      <c r="K407" s="69">
        <f t="shared" si="28"/>
        <v>0.45238959467634604</v>
      </c>
      <c r="L407" s="11">
        <f>180*14+49+18</f>
        <v>2587</v>
      </c>
      <c r="M407" s="80">
        <f t="shared" si="29"/>
        <v>0.31300665456745314</v>
      </c>
      <c r="N407" s="78">
        <v>65</v>
      </c>
      <c r="O407" s="180">
        <f t="shared" si="26"/>
        <v>0.78644888082274655</v>
      </c>
      <c r="P407" s="78">
        <v>164</v>
      </c>
      <c r="Q407" s="86">
        <f t="shared" si="30"/>
        <v>1.984271022383545E-2</v>
      </c>
      <c r="R407" s="11">
        <v>0</v>
      </c>
      <c r="S407" s="69">
        <f t="shared" si="31"/>
        <v>0</v>
      </c>
      <c r="T407" s="5">
        <v>0</v>
      </c>
      <c r="U407" s="87">
        <f t="shared" si="32"/>
        <v>0</v>
      </c>
      <c r="V407" s="75">
        <f t="shared" si="25"/>
        <v>0.80629159104658199</v>
      </c>
      <c r="W407" s="168" t="s">
        <v>2107</v>
      </c>
    </row>
    <row r="408" spans="1:23">
      <c r="A408" s="38" t="s">
        <v>1634</v>
      </c>
      <c r="B408" s="5" t="s">
        <v>1530</v>
      </c>
      <c r="C408" s="68" t="s">
        <v>1533</v>
      </c>
      <c r="D408" s="5" t="s">
        <v>1536</v>
      </c>
      <c r="E408" s="5" t="s">
        <v>22</v>
      </c>
      <c r="F408" s="5">
        <v>6717</v>
      </c>
      <c r="G408" s="10" t="s">
        <v>1533</v>
      </c>
      <c r="H408" s="11">
        <f>190*23+76+118</f>
        <v>4564</v>
      </c>
      <c r="I408" s="69">
        <f t="shared" si="27"/>
        <v>0.67947000148875991</v>
      </c>
      <c r="J408" s="11">
        <f>61+66</f>
        <v>127</v>
      </c>
      <c r="K408" s="69">
        <f t="shared" si="28"/>
        <v>1.8907250260532978E-2</v>
      </c>
      <c r="L408" s="11">
        <f>190*5+179+52+91</f>
        <v>1272</v>
      </c>
      <c r="M408" s="80">
        <f t="shared" si="29"/>
        <v>0.18937025457793658</v>
      </c>
      <c r="N408" s="78">
        <v>347</v>
      </c>
      <c r="O408" s="180">
        <f t="shared" si="26"/>
        <v>5.1659967247283012</v>
      </c>
      <c r="P408" s="78">
        <v>149</v>
      </c>
      <c r="Q408" s="86">
        <f t="shared" si="30"/>
        <v>2.2182521959207981E-2</v>
      </c>
      <c r="R408" s="11">
        <f>84+174</f>
        <v>258</v>
      </c>
      <c r="S408" s="69">
        <f t="shared" si="31"/>
        <v>3.8410004466279589E-2</v>
      </c>
      <c r="T408" s="5">
        <v>0</v>
      </c>
      <c r="U408" s="87">
        <f t="shared" si="32"/>
        <v>0</v>
      </c>
      <c r="V408" s="75">
        <f t="shared" si="25"/>
        <v>5.226589251153789</v>
      </c>
      <c r="W408" s="168" t="s">
        <v>2107</v>
      </c>
    </row>
    <row r="409" spans="1:23">
      <c r="A409" s="38" t="s">
        <v>1634</v>
      </c>
      <c r="B409" s="5" t="s">
        <v>1530</v>
      </c>
      <c r="C409" s="76" t="s">
        <v>27</v>
      </c>
      <c r="D409" s="5" t="s">
        <v>1550</v>
      </c>
      <c r="E409" s="5" t="s">
        <v>22</v>
      </c>
      <c r="F409" s="5">
        <v>1836</v>
      </c>
      <c r="G409" s="5" t="s">
        <v>1635</v>
      </c>
      <c r="H409" s="11">
        <f>180*10</f>
        <v>1800</v>
      </c>
      <c r="I409" s="69">
        <f t="shared" si="27"/>
        <v>0.98039215686274506</v>
      </c>
      <c r="J409" s="11">
        <v>0</v>
      </c>
      <c r="K409" s="69">
        <f t="shared" si="28"/>
        <v>0</v>
      </c>
      <c r="L409" s="11">
        <v>0</v>
      </c>
      <c r="M409" s="80">
        <f t="shared" si="29"/>
        <v>0</v>
      </c>
      <c r="N409" s="78">
        <v>0</v>
      </c>
      <c r="O409" s="180">
        <f t="shared" si="26"/>
        <v>0</v>
      </c>
      <c r="P409" s="78">
        <v>36</v>
      </c>
      <c r="Q409" s="86">
        <f t="shared" si="30"/>
        <v>1.9607843137254902E-2</v>
      </c>
      <c r="R409" s="11">
        <v>0</v>
      </c>
      <c r="S409" s="69">
        <f t="shared" si="31"/>
        <v>0</v>
      </c>
      <c r="T409" s="5">
        <v>0</v>
      </c>
      <c r="U409" s="87">
        <f t="shared" si="32"/>
        <v>0</v>
      </c>
      <c r="V409" s="75">
        <f t="shared" si="25"/>
        <v>1.9607843137254902E-2</v>
      </c>
      <c r="W409" s="168" t="s">
        <v>2104</v>
      </c>
    </row>
    <row r="410" spans="1:23">
      <c r="A410" s="38" t="s">
        <v>1634</v>
      </c>
      <c r="B410" s="5" t="s">
        <v>1530</v>
      </c>
      <c r="C410" s="5" t="s">
        <v>24</v>
      </c>
      <c r="D410" s="5" t="s">
        <v>1550</v>
      </c>
      <c r="E410" s="5" t="s">
        <v>22</v>
      </c>
      <c r="F410" s="5">
        <v>11016</v>
      </c>
      <c r="G410" s="10" t="s">
        <v>1544</v>
      </c>
      <c r="H410" s="11">
        <f>180*60</f>
        <v>10800</v>
      </c>
      <c r="I410" s="69">
        <f t="shared" si="27"/>
        <v>0.98039215686274506</v>
      </c>
      <c r="J410" s="11">
        <v>0</v>
      </c>
      <c r="K410" s="69">
        <f t="shared" si="28"/>
        <v>0</v>
      </c>
      <c r="L410" s="11">
        <v>0</v>
      </c>
      <c r="M410" s="80">
        <f t="shared" si="29"/>
        <v>0</v>
      </c>
      <c r="N410" s="78">
        <v>0</v>
      </c>
      <c r="O410" s="180">
        <f t="shared" si="26"/>
        <v>0</v>
      </c>
      <c r="P410" s="78">
        <v>216</v>
      </c>
      <c r="Q410" s="86">
        <f t="shared" si="30"/>
        <v>1.9607843137254902E-2</v>
      </c>
      <c r="R410" s="11">
        <v>0</v>
      </c>
      <c r="S410" s="69">
        <f t="shared" si="31"/>
        <v>0</v>
      </c>
      <c r="T410" s="5">
        <v>0</v>
      </c>
      <c r="U410" s="87">
        <f t="shared" si="32"/>
        <v>0</v>
      </c>
      <c r="V410" s="75">
        <f t="shared" si="25"/>
        <v>1.9607843137254902E-2</v>
      </c>
      <c r="W410" s="168" t="s">
        <v>2104</v>
      </c>
    </row>
    <row r="411" spans="1:23">
      <c r="A411" s="38" t="s">
        <v>1636</v>
      </c>
      <c r="B411" s="5" t="s">
        <v>1530</v>
      </c>
      <c r="C411" s="68" t="s">
        <v>1533</v>
      </c>
      <c r="D411" s="5" t="s">
        <v>1611</v>
      </c>
      <c r="E411" s="5" t="s">
        <v>22</v>
      </c>
      <c r="F411" s="5">
        <v>2540</v>
      </c>
      <c r="G411" s="10" t="s">
        <v>1533</v>
      </c>
      <c r="H411" s="11">
        <f>190*9+115+114</f>
        <v>1939</v>
      </c>
      <c r="I411" s="69">
        <f t="shared" si="27"/>
        <v>0.76338582677165356</v>
      </c>
      <c r="J411" s="11">
        <v>101</v>
      </c>
      <c r="K411" s="69">
        <f t="shared" si="28"/>
        <v>3.9763779527559058E-2</v>
      </c>
      <c r="L411" s="11">
        <v>129</v>
      </c>
      <c r="M411" s="80">
        <f t="shared" si="29"/>
        <v>5.0787401574803152E-2</v>
      </c>
      <c r="N411" s="78">
        <v>280</v>
      </c>
      <c r="O411" s="180">
        <f t="shared" si="26"/>
        <v>11.023622047244094</v>
      </c>
      <c r="P411" s="78">
        <v>91</v>
      </c>
      <c r="Q411" s="86">
        <f t="shared" si="30"/>
        <v>3.582677165354331E-2</v>
      </c>
      <c r="R411" s="11">
        <v>0</v>
      </c>
      <c r="S411" s="69">
        <f t="shared" si="31"/>
        <v>0</v>
      </c>
      <c r="T411" s="5">
        <v>0</v>
      </c>
      <c r="U411" s="87">
        <f t="shared" si="32"/>
        <v>0</v>
      </c>
      <c r="V411" s="75">
        <f t="shared" si="25"/>
        <v>11.059448818897637</v>
      </c>
      <c r="W411" s="168" t="s">
        <v>2107</v>
      </c>
    </row>
    <row r="412" spans="1:23">
      <c r="A412" s="38" t="s">
        <v>1636</v>
      </c>
      <c r="B412" s="5" t="s">
        <v>1530</v>
      </c>
      <c r="C412" s="68" t="s">
        <v>1533</v>
      </c>
      <c r="D412" s="5" t="s">
        <v>1536</v>
      </c>
      <c r="E412" s="5" t="s">
        <v>22</v>
      </c>
      <c r="F412" s="5">
        <v>15787</v>
      </c>
      <c r="G412" s="10" t="s">
        <v>1533</v>
      </c>
      <c r="H412" s="11">
        <f>190*52+76+13</f>
        <v>9969</v>
      </c>
      <c r="I412" s="69">
        <f t="shared" si="27"/>
        <v>0.63146893013238736</v>
      </c>
      <c r="J412" s="11">
        <f>180*8+79</f>
        <v>1519</v>
      </c>
      <c r="K412" s="69">
        <f t="shared" si="28"/>
        <v>9.6218407550516249E-2</v>
      </c>
      <c r="L412" s="11">
        <f>190*14+61+180</f>
        <v>2901</v>
      </c>
      <c r="M412" s="80">
        <f t="shared" si="29"/>
        <v>0.18375878887692404</v>
      </c>
      <c r="N412" s="78">
        <v>624</v>
      </c>
      <c r="O412" s="180">
        <f t="shared" si="26"/>
        <v>3.95261924368151</v>
      </c>
      <c r="P412" s="78">
        <v>314</v>
      </c>
      <c r="Q412" s="86">
        <f t="shared" si="30"/>
        <v>1.9889782732628113E-2</v>
      </c>
      <c r="R412" s="11">
        <f>180+162+118</f>
        <v>460</v>
      </c>
      <c r="S412" s="69">
        <f t="shared" si="31"/>
        <v>2.913789827072908E-2</v>
      </c>
      <c r="T412" s="5">
        <v>0</v>
      </c>
      <c r="U412" s="87">
        <f t="shared" si="32"/>
        <v>0</v>
      </c>
      <c r="V412" s="75">
        <f t="shared" si="25"/>
        <v>4.0016469246848674</v>
      </c>
      <c r="W412" s="168" t="s">
        <v>2107</v>
      </c>
    </row>
    <row r="413" spans="1:23">
      <c r="A413" s="38" t="s">
        <v>1636</v>
      </c>
      <c r="B413" s="5" t="s">
        <v>1530</v>
      </c>
      <c r="C413" s="68" t="s">
        <v>1533</v>
      </c>
      <c r="D413" s="5" t="s">
        <v>1536</v>
      </c>
      <c r="E413" s="5" t="s">
        <v>22</v>
      </c>
      <c r="F413" s="5">
        <v>2446</v>
      </c>
      <c r="G413" s="10" t="s">
        <v>1533</v>
      </c>
      <c r="H413" s="11">
        <f>190*6+72+75</f>
        <v>1287</v>
      </c>
      <c r="I413" s="69">
        <f t="shared" si="27"/>
        <v>0.52616516762060506</v>
      </c>
      <c r="J413" s="11">
        <f>42</f>
        <v>42</v>
      </c>
      <c r="K413" s="69">
        <f t="shared" si="28"/>
        <v>1.7170891251022075E-2</v>
      </c>
      <c r="L413" s="11">
        <f>190*3+138+90</f>
        <v>798</v>
      </c>
      <c r="M413" s="80">
        <f t="shared" si="29"/>
        <v>0.32624693376941943</v>
      </c>
      <c r="N413" s="78">
        <v>89</v>
      </c>
      <c r="O413" s="180">
        <f t="shared" si="26"/>
        <v>3.6385936222403923</v>
      </c>
      <c r="P413" s="78">
        <v>184</v>
      </c>
      <c r="Q413" s="86">
        <f t="shared" si="30"/>
        <v>7.5224856909239579E-2</v>
      </c>
      <c r="R413" s="11">
        <f>6+40</f>
        <v>46</v>
      </c>
      <c r="S413" s="69">
        <f t="shared" si="31"/>
        <v>1.8806214227309895E-2</v>
      </c>
      <c r="T413" s="5">
        <v>0</v>
      </c>
      <c r="U413" s="87">
        <f t="shared" si="32"/>
        <v>0</v>
      </c>
      <c r="V413" s="75">
        <f t="shared" si="25"/>
        <v>3.7326246933769416</v>
      </c>
      <c r="W413" s="168" t="s">
        <v>2107</v>
      </c>
    </row>
    <row r="414" spans="1:23">
      <c r="A414" s="38" t="s">
        <v>1636</v>
      </c>
      <c r="B414" s="5" t="s">
        <v>1530</v>
      </c>
      <c r="C414" s="68" t="s">
        <v>1533</v>
      </c>
      <c r="D414" s="5" t="s">
        <v>1531</v>
      </c>
      <c r="E414" s="5" t="s">
        <v>22</v>
      </c>
      <c r="F414" s="5">
        <v>6125</v>
      </c>
      <c r="G414" s="10" t="s">
        <v>1533</v>
      </c>
      <c r="H414" s="11">
        <f>180*12+158</f>
        <v>2318</v>
      </c>
      <c r="I414" s="69">
        <f t="shared" si="27"/>
        <v>0.37844897959183671</v>
      </c>
      <c r="J414" s="11">
        <f>22</f>
        <v>22</v>
      </c>
      <c r="K414" s="69">
        <f t="shared" si="28"/>
        <v>3.5918367346938775E-3</v>
      </c>
      <c r="L414" s="11">
        <f>180*12+180*6+61+60+154</f>
        <v>3515</v>
      </c>
      <c r="M414" s="80">
        <f t="shared" si="29"/>
        <v>0.57387755102040816</v>
      </c>
      <c r="N414" s="78">
        <v>58</v>
      </c>
      <c r="O414" s="180">
        <f t="shared" si="26"/>
        <v>0.94693877551020411</v>
      </c>
      <c r="P414" s="78">
        <v>212</v>
      </c>
      <c r="Q414" s="86">
        <f t="shared" si="30"/>
        <v>3.4612244897959187E-2</v>
      </c>
      <c r="R414" s="11">
        <v>0</v>
      </c>
      <c r="S414" s="69">
        <f t="shared" si="31"/>
        <v>0</v>
      </c>
      <c r="T414" s="5">
        <v>0</v>
      </c>
      <c r="U414" s="87">
        <f t="shared" si="32"/>
        <v>0</v>
      </c>
      <c r="V414" s="75">
        <f t="shared" si="25"/>
        <v>0.98155102040816333</v>
      </c>
      <c r="W414" s="168" t="s">
        <v>2107</v>
      </c>
    </row>
    <row r="415" spans="1:23">
      <c r="A415" s="38" t="s">
        <v>1636</v>
      </c>
      <c r="B415" s="5" t="s">
        <v>1538</v>
      </c>
      <c r="C415" s="5" t="s">
        <v>31</v>
      </c>
      <c r="D415" s="5" t="s">
        <v>1536</v>
      </c>
      <c r="E415" s="5" t="s">
        <v>22</v>
      </c>
      <c r="F415" s="5">
        <v>1740</v>
      </c>
      <c r="G415" s="77" t="s">
        <v>1540</v>
      </c>
      <c r="H415" s="11">
        <f>180*6+96+105</f>
        <v>1281</v>
      </c>
      <c r="I415" s="69">
        <f t="shared" si="27"/>
        <v>0.73620689655172411</v>
      </c>
      <c r="J415" s="11">
        <v>0</v>
      </c>
      <c r="K415" s="69">
        <f t="shared" si="28"/>
        <v>0</v>
      </c>
      <c r="L415" s="11">
        <v>47</v>
      </c>
      <c r="M415" s="80">
        <f t="shared" si="29"/>
        <v>2.7011494252873563E-2</v>
      </c>
      <c r="N415" s="78">
        <v>392</v>
      </c>
      <c r="O415" s="180">
        <f t="shared" si="26"/>
        <v>22.528735632183906</v>
      </c>
      <c r="P415" s="78">
        <v>0</v>
      </c>
      <c r="Q415" s="86">
        <f t="shared" si="30"/>
        <v>0</v>
      </c>
      <c r="R415" s="11">
        <v>0</v>
      </c>
      <c r="S415" s="69">
        <f t="shared" si="31"/>
        <v>0</v>
      </c>
      <c r="T415" s="5">
        <v>20</v>
      </c>
      <c r="U415" s="87">
        <f t="shared" si="32"/>
        <v>1.1494252873563218E-2</v>
      </c>
      <c r="V415" s="75">
        <f t="shared" si="25"/>
        <v>22.540229885057471</v>
      </c>
      <c r="W415" s="168" t="s">
        <v>1195</v>
      </c>
    </row>
    <row r="416" spans="1:23">
      <c r="A416" s="38" t="s">
        <v>1637</v>
      </c>
      <c r="B416" s="5" t="s">
        <v>1530</v>
      </c>
      <c r="C416" s="76" t="s">
        <v>27</v>
      </c>
      <c r="D416" s="5" t="s">
        <v>1534</v>
      </c>
      <c r="E416" s="5" t="s">
        <v>22</v>
      </c>
      <c r="F416" s="5">
        <v>4886</v>
      </c>
      <c r="G416" s="5" t="s">
        <v>1635</v>
      </c>
      <c r="H416" s="11">
        <f>180*20+52</f>
        <v>3652</v>
      </c>
      <c r="I416" s="69">
        <f t="shared" si="27"/>
        <v>0.74744167007777318</v>
      </c>
      <c r="J416" s="11">
        <f>180*2+130+114</f>
        <v>604</v>
      </c>
      <c r="K416" s="69">
        <f t="shared" si="28"/>
        <v>0.12361850184199755</v>
      </c>
      <c r="L416" s="11">
        <f>180+141+31</f>
        <v>352</v>
      </c>
      <c r="M416" s="80">
        <f t="shared" si="29"/>
        <v>7.2042570609905848E-2</v>
      </c>
      <c r="N416" s="78">
        <v>122</v>
      </c>
      <c r="O416" s="180">
        <f t="shared" si="26"/>
        <v>2.4969300040933278</v>
      </c>
      <c r="P416" s="78">
        <v>80</v>
      </c>
      <c r="Q416" s="86">
        <f t="shared" si="30"/>
        <v>1.6373311502251329E-2</v>
      </c>
      <c r="R416" s="11">
        <v>0</v>
      </c>
      <c r="S416" s="69">
        <f t="shared" si="31"/>
        <v>0</v>
      </c>
      <c r="T416" s="5">
        <v>76</v>
      </c>
      <c r="U416" s="87">
        <f t="shared" si="32"/>
        <v>1.5554645927138764E-2</v>
      </c>
      <c r="V416" s="75">
        <f t="shared" si="25"/>
        <v>2.5288579615227178</v>
      </c>
      <c r="W416" s="168" t="s">
        <v>2107</v>
      </c>
    </row>
    <row r="417" spans="1:23">
      <c r="A417" s="38" t="s">
        <v>1637</v>
      </c>
      <c r="B417" s="5" t="s">
        <v>1530</v>
      </c>
      <c r="C417" s="5" t="s">
        <v>24</v>
      </c>
      <c r="D417" s="5" t="s">
        <v>1550</v>
      </c>
      <c r="E417" s="5" t="s">
        <v>22</v>
      </c>
      <c r="F417" s="5">
        <v>3672</v>
      </c>
      <c r="G417" s="10" t="s">
        <v>1544</v>
      </c>
      <c r="H417" s="11">
        <f>180*20</f>
        <v>3600</v>
      </c>
      <c r="I417" s="69">
        <f t="shared" si="27"/>
        <v>0.98039215686274506</v>
      </c>
      <c r="J417" s="11">
        <v>0</v>
      </c>
      <c r="K417" s="69">
        <f t="shared" si="28"/>
        <v>0</v>
      </c>
      <c r="L417" s="11">
        <v>0</v>
      </c>
      <c r="M417" s="80">
        <f t="shared" si="29"/>
        <v>0</v>
      </c>
      <c r="N417" s="78">
        <v>0</v>
      </c>
      <c r="O417" s="180">
        <f t="shared" si="26"/>
        <v>0</v>
      </c>
      <c r="P417" s="78">
        <v>72</v>
      </c>
      <c r="Q417" s="86">
        <f t="shared" si="30"/>
        <v>1.9607843137254902E-2</v>
      </c>
      <c r="R417" s="11">
        <v>0</v>
      </c>
      <c r="S417" s="69">
        <f t="shared" si="31"/>
        <v>0</v>
      </c>
      <c r="T417" s="5">
        <v>0</v>
      </c>
      <c r="U417" s="87">
        <f t="shared" si="32"/>
        <v>0</v>
      </c>
      <c r="V417" s="75">
        <f t="shared" si="25"/>
        <v>1.9607843137254902E-2</v>
      </c>
      <c r="W417" s="168" t="s">
        <v>2104</v>
      </c>
    </row>
    <row r="418" spans="1:23">
      <c r="A418" s="38" t="s">
        <v>1637</v>
      </c>
      <c r="B418" s="5" t="s">
        <v>1538</v>
      </c>
      <c r="C418" s="5" t="s">
        <v>31</v>
      </c>
      <c r="D418" s="5" t="s">
        <v>1536</v>
      </c>
      <c r="E418" s="5" t="s">
        <v>22</v>
      </c>
      <c r="F418" s="89">
        <v>12405</v>
      </c>
      <c r="G418" s="77" t="s">
        <v>1540</v>
      </c>
      <c r="H418" s="11">
        <f>180*51+75+79</f>
        <v>9334</v>
      </c>
      <c r="I418" s="69">
        <f t="shared" si="27"/>
        <v>0.75243853284965745</v>
      </c>
      <c r="J418" s="11">
        <f>103</f>
        <v>103</v>
      </c>
      <c r="K418" s="69">
        <f t="shared" si="28"/>
        <v>8.3031035872632008E-3</v>
      </c>
      <c r="L418" s="11">
        <f>180+137+88</f>
        <v>405</v>
      </c>
      <c r="M418" s="80">
        <f t="shared" si="29"/>
        <v>3.2648125755743655E-2</v>
      </c>
      <c r="N418" s="78">
        <v>2352</v>
      </c>
      <c r="O418" s="180">
        <f t="shared" si="26"/>
        <v>18.960096735187424</v>
      </c>
      <c r="P418" s="78">
        <v>0</v>
      </c>
      <c r="Q418" s="86">
        <f t="shared" si="30"/>
        <v>0</v>
      </c>
      <c r="R418" s="11">
        <v>0</v>
      </c>
      <c r="S418" s="69">
        <f t="shared" si="31"/>
        <v>0</v>
      </c>
      <c r="T418" s="11">
        <f>71+140</f>
        <v>211</v>
      </c>
      <c r="U418" s="87">
        <f t="shared" si="32"/>
        <v>1.7009270455461509E-2</v>
      </c>
      <c r="V418" s="75">
        <f t="shared" si="25"/>
        <v>18.977106005642884</v>
      </c>
      <c r="W418" s="168" t="s">
        <v>1195</v>
      </c>
    </row>
    <row r="419" spans="1:23">
      <c r="A419" s="67" t="s">
        <v>1638</v>
      </c>
      <c r="B419" s="10" t="s">
        <v>1530</v>
      </c>
      <c r="C419" s="10" t="s">
        <v>24</v>
      </c>
      <c r="D419" s="10" t="s">
        <v>1550</v>
      </c>
      <c r="E419" s="10" t="s">
        <v>22</v>
      </c>
      <c r="F419" s="10">
        <v>8109</v>
      </c>
      <c r="G419" s="10" t="s">
        <v>1544</v>
      </c>
      <c r="H419" s="5">
        <v>7920</v>
      </c>
      <c r="I419" s="69">
        <v>0.97669256381797998</v>
      </c>
      <c r="J419" s="5">
        <v>0</v>
      </c>
      <c r="K419" s="70">
        <v>0</v>
      </c>
      <c r="L419" s="5">
        <v>0</v>
      </c>
      <c r="M419" s="80">
        <v>0</v>
      </c>
      <c r="N419" s="72">
        <v>0</v>
      </c>
      <c r="O419" s="180">
        <f t="shared" si="26"/>
        <v>0</v>
      </c>
      <c r="P419" s="72">
        <v>189</v>
      </c>
      <c r="Q419" s="73">
        <v>2.3307436182019976E-2</v>
      </c>
      <c r="R419" s="5">
        <v>0</v>
      </c>
      <c r="S419" s="70">
        <v>0</v>
      </c>
      <c r="T419" s="10">
        <v>0</v>
      </c>
      <c r="U419" s="74">
        <v>0</v>
      </c>
      <c r="V419" s="75">
        <v>2.3307436182019976E-2</v>
      </c>
      <c r="W419" s="168" t="s">
        <v>2104</v>
      </c>
    </row>
    <row r="420" spans="1:23">
      <c r="A420" s="67" t="s">
        <v>1638</v>
      </c>
      <c r="B420" s="10" t="s">
        <v>1530</v>
      </c>
      <c r="C420" s="76" t="s">
        <v>27</v>
      </c>
      <c r="D420" s="10" t="s">
        <v>1550</v>
      </c>
      <c r="E420" s="10" t="s">
        <v>22</v>
      </c>
      <c r="F420" s="10">
        <v>2754</v>
      </c>
      <c r="G420" s="10" t="s">
        <v>1535</v>
      </c>
      <c r="H420" s="5">
        <v>2700</v>
      </c>
      <c r="I420" s="69">
        <v>0.98039215686274506</v>
      </c>
      <c r="J420" s="5">
        <v>0</v>
      </c>
      <c r="K420" s="70">
        <v>0</v>
      </c>
      <c r="L420" s="5">
        <v>0</v>
      </c>
      <c r="M420" s="80">
        <v>0</v>
      </c>
      <c r="N420" s="72">
        <v>0</v>
      </c>
      <c r="O420" s="180">
        <f t="shared" si="26"/>
        <v>0</v>
      </c>
      <c r="P420" s="72">
        <v>54</v>
      </c>
      <c r="Q420" s="73">
        <v>1.9607843137254902E-2</v>
      </c>
      <c r="R420" s="5">
        <v>0</v>
      </c>
      <c r="S420" s="70">
        <v>0</v>
      </c>
      <c r="T420" s="10">
        <v>0</v>
      </c>
      <c r="U420" s="74">
        <v>0</v>
      </c>
      <c r="V420" s="75">
        <v>1.9607843137254902E-2</v>
      </c>
      <c r="W420" s="168" t="s">
        <v>2107</v>
      </c>
    </row>
    <row r="421" spans="1:23">
      <c r="A421" s="67" t="s">
        <v>1638</v>
      </c>
      <c r="B421" s="10" t="s">
        <v>1530</v>
      </c>
      <c r="C421" s="10" t="s">
        <v>24</v>
      </c>
      <c r="D421" s="10" t="s">
        <v>1534</v>
      </c>
      <c r="E421" s="10" t="s">
        <v>22</v>
      </c>
      <c r="F421" s="10">
        <v>4970</v>
      </c>
      <c r="G421" s="10" t="s">
        <v>1544</v>
      </c>
      <c r="H421" s="5">
        <v>4392</v>
      </c>
      <c r="I421" s="69">
        <v>0.88370221327967802</v>
      </c>
      <c r="J421" s="5">
        <v>215</v>
      </c>
      <c r="K421" s="70">
        <v>4.3259557344064385E-2</v>
      </c>
      <c r="L421" s="5">
        <v>39</v>
      </c>
      <c r="M421" s="80">
        <v>7.8470824949698186E-3</v>
      </c>
      <c r="N421" s="72">
        <v>167</v>
      </c>
      <c r="O421" s="180">
        <f t="shared" si="26"/>
        <v>3.3601609657947686</v>
      </c>
      <c r="P421" s="72">
        <v>103</v>
      </c>
      <c r="Q421" s="73">
        <v>2.0724346076458754E-2</v>
      </c>
      <c r="R421" s="5">
        <v>0</v>
      </c>
      <c r="S421" s="70">
        <v>0</v>
      </c>
      <c r="T421" s="10">
        <v>54</v>
      </c>
      <c r="U421" s="74">
        <v>1.0865191146881288E-2</v>
      </c>
      <c r="V421" s="75">
        <v>6.5191146881287729E-2</v>
      </c>
      <c r="W421" s="168" t="s">
        <v>2104</v>
      </c>
    </row>
    <row r="422" spans="1:23">
      <c r="A422" s="67" t="s">
        <v>1639</v>
      </c>
      <c r="B422" s="10" t="s">
        <v>1530</v>
      </c>
      <c r="C422" s="10" t="s">
        <v>24</v>
      </c>
      <c r="D422" s="10" t="s">
        <v>1531</v>
      </c>
      <c r="E422" s="10" t="s">
        <v>22</v>
      </c>
      <c r="F422" s="10">
        <v>4717</v>
      </c>
      <c r="G422" s="10" t="s">
        <v>1544</v>
      </c>
      <c r="H422" s="5">
        <v>2880</v>
      </c>
      <c r="I422" s="69">
        <v>0.61055755776976894</v>
      </c>
      <c r="J422" s="5">
        <v>333</v>
      </c>
      <c r="K422" s="70">
        <v>7.059571761712953E-2</v>
      </c>
      <c r="L422" s="5">
        <v>1150</v>
      </c>
      <c r="M422" s="80">
        <v>0.24379902480390078</v>
      </c>
      <c r="N422" s="72">
        <v>85</v>
      </c>
      <c r="O422" s="180">
        <f t="shared" si="26"/>
        <v>1.8019927920288319</v>
      </c>
      <c r="P422" s="72">
        <v>269</v>
      </c>
      <c r="Q422" s="73">
        <v>5.7027771888912442E-2</v>
      </c>
      <c r="R422" s="10">
        <v>0</v>
      </c>
      <c r="S422" s="70">
        <v>0</v>
      </c>
      <c r="T422" s="10">
        <v>0</v>
      </c>
      <c r="U422" s="74">
        <v>0</v>
      </c>
      <c r="V422" s="75">
        <v>7.5047699809200757E-2</v>
      </c>
      <c r="W422" s="168" t="s">
        <v>2104</v>
      </c>
    </row>
    <row r="423" spans="1:23">
      <c r="A423" s="67" t="s">
        <v>1639</v>
      </c>
      <c r="B423" s="10" t="s">
        <v>1530</v>
      </c>
      <c r="C423" s="10" t="s">
        <v>24</v>
      </c>
      <c r="D423" s="10" t="s">
        <v>1534</v>
      </c>
      <c r="E423" s="10" t="s">
        <v>22</v>
      </c>
      <c r="F423" s="10">
        <v>1080</v>
      </c>
      <c r="G423" s="10" t="s">
        <v>1532</v>
      </c>
      <c r="H423" s="5">
        <v>1000</v>
      </c>
      <c r="I423" s="69">
        <v>0.92592592592592593</v>
      </c>
      <c r="J423" s="5">
        <v>10</v>
      </c>
      <c r="K423" s="70">
        <v>9.2592592592592587E-3</v>
      </c>
      <c r="L423" s="5">
        <v>0</v>
      </c>
      <c r="M423" s="80">
        <v>0</v>
      </c>
      <c r="N423" s="72">
        <v>70</v>
      </c>
      <c r="O423" s="180">
        <f t="shared" si="26"/>
        <v>6.481481481481481</v>
      </c>
      <c r="P423" s="72">
        <v>0</v>
      </c>
      <c r="Q423" s="73">
        <v>0</v>
      </c>
      <c r="R423" s="10">
        <v>0</v>
      </c>
      <c r="S423" s="70">
        <v>0</v>
      </c>
      <c r="T423" s="10">
        <v>0</v>
      </c>
      <c r="U423" s="74">
        <v>0</v>
      </c>
      <c r="V423" s="75">
        <v>6.4814814814814811E-2</v>
      </c>
      <c r="W423" s="168" t="s">
        <v>2104</v>
      </c>
    </row>
    <row r="424" spans="1:23">
      <c r="A424" s="67" t="s">
        <v>1639</v>
      </c>
      <c r="B424" s="10" t="s">
        <v>1530</v>
      </c>
      <c r="C424" s="10" t="s">
        <v>24</v>
      </c>
      <c r="D424" s="10" t="s">
        <v>1534</v>
      </c>
      <c r="E424" s="10" t="s">
        <v>22</v>
      </c>
      <c r="F424" s="10">
        <v>2924</v>
      </c>
      <c r="G424" s="10" t="s">
        <v>1544</v>
      </c>
      <c r="H424" s="5">
        <v>2448</v>
      </c>
      <c r="I424" s="69">
        <v>0.83720930232558144</v>
      </c>
      <c r="J424" s="5">
        <v>141</v>
      </c>
      <c r="K424" s="70">
        <v>4.8221614227086186E-2</v>
      </c>
      <c r="L424" s="5">
        <v>16</v>
      </c>
      <c r="M424" s="80">
        <v>5.4719562243502051E-3</v>
      </c>
      <c r="N424" s="72">
        <v>127</v>
      </c>
      <c r="O424" s="180">
        <f t="shared" si="26"/>
        <v>4.3433652530779758</v>
      </c>
      <c r="P424" s="72">
        <v>110</v>
      </c>
      <c r="Q424" s="73">
        <v>3.761969904240766E-2</v>
      </c>
      <c r="R424" s="10">
        <v>0</v>
      </c>
      <c r="S424" s="70">
        <v>0</v>
      </c>
      <c r="T424" s="10">
        <v>82</v>
      </c>
      <c r="U424" s="74">
        <v>2.8043775649794801E-2</v>
      </c>
      <c r="V424" s="75">
        <v>0.1090971272229822</v>
      </c>
      <c r="W424" s="168" t="s">
        <v>2104</v>
      </c>
    </row>
    <row r="425" spans="1:23">
      <c r="A425" s="67" t="s">
        <v>1639</v>
      </c>
      <c r="B425" s="10" t="s">
        <v>1530</v>
      </c>
      <c r="C425" s="76" t="s">
        <v>27</v>
      </c>
      <c r="D425" s="10" t="s">
        <v>1550</v>
      </c>
      <c r="E425" s="10" t="s">
        <v>22</v>
      </c>
      <c r="F425" s="10">
        <v>12852</v>
      </c>
      <c r="G425" s="10" t="s">
        <v>1535</v>
      </c>
      <c r="H425" s="5">
        <v>12600</v>
      </c>
      <c r="I425" s="69">
        <v>0.98039215686274506</v>
      </c>
      <c r="J425" s="5">
        <v>0</v>
      </c>
      <c r="K425" s="70">
        <v>0</v>
      </c>
      <c r="L425" s="5">
        <v>0</v>
      </c>
      <c r="M425" s="80">
        <v>0</v>
      </c>
      <c r="N425" s="72">
        <v>0</v>
      </c>
      <c r="O425" s="180">
        <f t="shared" si="26"/>
        <v>0</v>
      </c>
      <c r="P425" s="72">
        <v>252</v>
      </c>
      <c r="Q425" s="73">
        <v>1.9607843137254902E-2</v>
      </c>
      <c r="R425" s="10">
        <v>0</v>
      </c>
      <c r="S425" s="70">
        <v>0</v>
      </c>
      <c r="T425" s="10">
        <v>0</v>
      </c>
      <c r="U425" s="74">
        <v>0</v>
      </c>
      <c r="V425" s="75">
        <v>1.9607843137254902E-2</v>
      </c>
      <c r="W425" s="168" t="s">
        <v>2107</v>
      </c>
    </row>
    <row r="426" spans="1:23">
      <c r="A426" s="67" t="s">
        <v>1639</v>
      </c>
      <c r="B426" s="10" t="s">
        <v>1538</v>
      </c>
      <c r="C426" s="10" t="s">
        <v>31</v>
      </c>
      <c r="D426" s="10" t="s">
        <v>1536</v>
      </c>
      <c r="E426" s="10" t="s">
        <v>22</v>
      </c>
      <c r="F426" s="10">
        <v>6105</v>
      </c>
      <c r="G426" s="77" t="s">
        <v>1540</v>
      </c>
      <c r="H426" s="5">
        <v>1159</v>
      </c>
      <c r="I426" s="69">
        <v>0.18984438984438984</v>
      </c>
      <c r="J426" s="5">
        <v>2780</v>
      </c>
      <c r="K426" s="70">
        <v>0.45536445536445536</v>
      </c>
      <c r="L426" s="5">
        <v>924</v>
      </c>
      <c r="M426" s="80">
        <v>0.15135135135135136</v>
      </c>
      <c r="N426" s="72">
        <v>1137</v>
      </c>
      <c r="O426" s="180">
        <f t="shared" si="26"/>
        <v>18.624078624078624</v>
      </c>
      <c r="P426" s="72">
        <v>0</v>
      </c>
      <c r="Q426" s="73">
        <v>0</v>
      </c>
      <c r="R426" s="10">
        <v>0</v>
      </c>
      <c r="S426" s="70">
        <v>0</v>
      </c>
      <c r="T426" s="5">
        <v>105</v>
      </c>
      <c r="U426" s="74">
        <v>1.7199017199017199E-2</v>
      </c>
      <c r="V426" s="75">
        <v>0.20343980343980345</v>
      </c>
      <c r="W426" s="168" t="s">
        <v>1195</v>
      </c>
    </row>
    <row r="427" spans="1:23">
      <c r="A427" s="67" t="s">
        <v>1639</v>
      </c>
      <c r="B427" s="10" t="s">
        <v>1538</v>
      </c>
      <c r="C427" s="76" t="s">
        <v>29</v>
      </c>
      <c r="D427" s="10" t="s">
        <v>1536</v>
      </c>
      <c r="E427" s="10" t="s">
        <v>22</v>
      </c>
      <c r="F427" s="10">
        <v>5305</v>
      </c>
      <c r="G427" s="10" t="s">
        <v>1551</v>
      </c>
      <c r="H427" s="5">
        <v>3488</v>
      </c>
      <c r="I427" s="69">
        <v>0.65749293119698393</v>
      </c>
      <c r="J427" s="5">
        <v>392</v>
      </c>
      <c r="K427" s="70">
        <v>7.3892554194156454E-2</v>
      </c>
      <c r="L427" s="5">
        <v>579</v>
      </c>
      <c r="M427" s="80">
        <v>0.10914231856738925</v>
      </c>
      <c r="N427" s="72">
        <v>540</v>
      </c>
      <c r="O427" s="180">
        <f t="shared" si="26"/>
        <v>10.179076343072573</v>
      </c>
      <c r="P427" s="72">
        <v>0</v>
      </c>
      <c r="Q427" s="73">
        <v>0</v>
      </c>
      <c r="R427" s="10">
        <v>0</v>
      </c>
      <c r="S427" s="70">
        <v>0</v>
      </c>
      <c r="T427" s="5">
        <v>306</v>
      </c>
      <c r="U427" s="74">
        <v>5.7681432610744578E-2</v>
      </c>
      <c r="V427" s="75">
        <v>0.15947219604147031</v>
      </c>
      <c r="W427" s="168" t="s">
        <v>2107</v>
      </c>
    </row>
    <row r="428" spans="1:23">
      <c r="A428" s="67" t="s">
        <v>1640</v>
      </c>
      <c r="B428" s="10" t="s">
        <v>1530</v>
      </c>
      <c r="C428" s="76" t="s">
        <v>27</v>
      </c>
      <c r="D428" s="10" t="s">
        <v>1550</v>
      </c>
      <c r="E428" s="10" t="s">
        <v>22</v>
      </c>
      <c r="F428" s="10">
        <v>5149</v>
      </c>
      <c r="G428" s="10" t="s">
        <v>1635</v>
      </c>
      <c r="H428" s="5">
        <v>5040</v>
      </c>
      <c r="I428" s="69">
        <v>0.9788308409399884</v>
      </c>
      <c r="J428" s="5">
        <v>0</v>
      </c>
      <c r="K428" s="70">
        <v>0</v>
      </c>
      <c r="L428" s="5">
        <v>0</v>
      </c>
      <c r="M428" s="80">
        <v>0</v>
      </c>
      <c r="N428" s="72">
        <v>0</v>
      </c>
      <c r="O428" s="180">
        <f t="shared" si="26"/>
        <v>0</v>
      </c>
      <c r="P428" s="72">
        <v>109</v>
      </c>
      <c r="Q428" s="73">
        <v>2.1169159060011652E-2</v>
      </c>
      <c r="R428" s="10">
        <v>0</v>
      </c>
      <c r="S428" s="70">
        <v>0</v>
      </c>
      <c r="T428" s="10">
        <v>0</v>
      </c>
      <c r="U428" s="74">
        <v>0</v>
      </c>
      <c r="V428" s="75">
        <v>2.1169159060011652E-2</v>
      </c>
      <c r="W428" s="168" t="s">
        <v>2107</v>
      </c>
    </row>
    <row r="429" spans="1:23">
      <c r="A429" s="67" t="s">
        <v>1640</v>
      </c>
      <c r="B429" s="10" t="s">
        <v>1530</v>
      </c>
      <c r="C429" s="10" t="s">
        <v>24</v>
      </c>
      <c r="D429" s="10" t="s">
        <v>1534</v>
      </c>
      <c r="E429" s="10" t="s">
        <v>22</v>
      </c>
      <c r="F429" s="10">
        <v>4756</v>
      </c>
      <c r="G429" s="10" t="s">
        <v>1544</v>
      </c>
      <c r="H429" s="5">
        <v>3504</v>
      </c>
      <c r="I429" s="69">
        <v>0.73675357443229605</v>
      </c>
      <c r="J429" s="5">
        <v>165</v>
      </c>
      <c r="K429" s="70">
        <v>3.4693019343986546E-2</v>
      </c>
      <c r="L429" s="5">
        <v>728</v>
      </c>
      <c r="M429" s="80">
        <v>0.15306980656013458</v>
      </c>
      <c r="N429" s="72">
        <v>134</v>
      </c>
      <c r="O429" s="180">
        <f t="shared" si="26"/>
        <v>2.8174936921783011</v>
      </c>
      <c r="P429" s="72">
        <v>175</v>
      </c>
      <c r="Q429" s="73">
        <v>3.6795626576955426E-2</v>
      </c>
      <c r="R429" s="10">
        <v>0</v>
      </c>
      <c r="S429" s="70">
        <v>0</v>
      </c>
      <c r="T429" s="5">
        <v>50</v>
      </c>
      <c r="U429" s="74">
        <v>1.0513036164844407E-2</v>
      </c>
      <c r="V429" s="75">
        <v>7.548359966358284E-2</v>
      </c>
      <c r="W429" s="168" t="s">
        <v>2104</v>
      </c>
    </row>
    <row r="430" spans="1:23">
      <c r="A430" s="67" t="s">
        <v>1640</v>
      </c>
      <c r="B430" s="10" t="s">
        <v>1530</v>
      </c>
      <c r="C430" s="10" t="s">
        <v>31</v>
      </c>
      <c r="D430" s="10" t="s">
        <v>1611</v>
      </c>
      <c r="E430" s="10" t="s">
        <v>22</v>
      </c>
      <c r="F430" s="10">
        <v>5580</v>
      </c>
      <c r="G430" s="10" t="s">
        <v>1537</v>
      </c>
      <c r="H430" s="5">
        <v>5220</v>
      </c>
      <c r="I430" s="69">
        <v>0.93548387096774188</v>
      </c>
      <c r="J430" s="5">
        <v>0</v>
      </c>
      <c r="K430" s="70">
        <v>0</v>
      </c>
      <c r="L430" s="5">
        <v>164</v>
      </c>
      <c r="M430" s="80">
        <v>2.9390681003584228E-2</v>
      </c>
      <c r="N430" s="72">
        <v>35</v>
      </c>
      <c r="O430" s="180">
        <f t="shared" si="26"/>
        <v>0.62724014336917566</v>
      </c>
      <c r="P430" s="72">
        <v>79</v>
      </c>
      <c r="Q430" s="73">
        <v>1.4157706093189963E-2</v>
      </c>
      <c r="R430" s="10">
        <v>82</v>
      </c>
      <c r="S430" s="70">
        <v>1.4695340501792114E-2</v>
      </c>
      <c r="T430" s="5">
        <v>0</v>
      </c>
      <c r="U430" s="74">
        <v>0</v>
      </c>
      <c r="V430" s="75">
        <v>3.5125448028673838E-2</v>
      </c>
      <c r="W430" s="168" t="s">
        <v>1195</v>
      </c>
    </row>
    <row r="431" spans="1:23">
      <c r="A431" s="67" t="s">
        <v>1640</v>
      </c>
      <c r="B431" s="10" t="s">
        <v>1538</v>
      </c>
      <c r="C431" s="76" t="s">
        <v>29</v>
      </c>
      <c r="D431" s="10" t="s">
        <v>1536</v>
      </c>
      <c r="E431" s="10" t="s">
        <v>22</v>
      </c>
      <c r="F431" s="10">
        <v>6540</v>
      </c>
      <c r="G431" s="10" t="s">
        <v>1551</v>
      </c>
      <c r="H431" s="5">
        <v>4641</v>
      </c>
      <c r="I431" s="69">
        <v>0.70963302752293578</v>
      </c>
      <c r="J431" s="5">
        <v>376</v>
      </c>
      <c r="K431" s="70">
        <v>5.7492354740061161E-2</v>
      </c>
      <c r="L431" s="5">
        <v>852</v>
      </c>
      <c r="M431" s="80">
        <v>0.13027522935779817</v>
      </c>
      <c r="N431" s="72">
        <v>472</v>
      </c>
      <c r="O431" s="180">
        <f t="shared" si="26"/>
        <v>7.2171253822629966</v>
      </c>
      <c r="P431" s="72">
        <v>0</v>
      </c>
      <c r="Q431" s="73">
        <v>0</v>
      </c>
      <c r="R431" s="10">
        <v>0</v>
      </c>
      <c r="S431" s="70">
        <v>0</v>
      </c>
      <c r="T431" s="5">
        <v>199</v>
      </c>
      <c r="U431" s="74">
        <v>3.0428134556574924E-2</v>
      </c>
      <c r="V431" s="75">
        <v>0.10259938837920489</v>
      </c>
      <c r="W431" s="168" t="s">
        <v>2107</v>
      </c>
    </row>
    <row r="432" spans="1:23">
      <c r="A432" s="67" t="s">
        <v>1640</v>
      </c>
      <c r="B432" s="10" t="s">
        <v>1538</v>
      </c>
      <c r="C432" s="10" t="s">
        <v>31</v>
      </c>
      <c r="D432" s="10" t="s">
        <v>1536</v>
      </c>
      <c r="E432" s="10" t="s">
        <v>22</v>
      </c>
      <c r="F432" s="10">
        <v>7000</v>
      </c>
      <c r="G432" s="77" t="s">
        <v>1540</v>
      </c>
      <c r="H432" s="5">
        <v>1028</v>
      </c>
      <c r="I432" s="69">
        <v>0.14685714285714285</v>
      </c>
      <c r="J432" s="5">
        <v>2388</v>
      </c>
      <c r="K432" s="70">
        <v>0.34114285714285714</v>
      </c>
      <c r="L432" s="5">
        <v>2144</v>
      </c>
      <c r="M432" s="80">
        <v>0.30628571428571427</v>
      </c>
      <c r="N432" s="72">
        <v>1279</v>
      </c>
      <c r="O432" s="180">
        <f t="shared" si="26"/>
        <v>18.271428571428572</v>
      </c>
      <c r="P432" s="72">
        <v>0</v>
      </c>
      <c r="Q432" s="73">
        <v>0</v>
      </c>
      <c r="R432" s="10">
        <v>0</v>
      </c>
      <c r="S432" s="70">
        <v>0</v>
      </c>
      <c r="T432" s="5">
        <v>161</v>
      </c>
      <c r="U432" s="74">
        <v>2.3E-2</v>
      </c>
      <c r="V432" s="75">
        <v>0.20571428571428571</v>
      </c>
      <c r="W432" s="168" t="s">
        <v>1195</v>
      </c>
    </row>
    <row r="433" spans="1:23">
      <c r="A433" s="67" t="s">
        <v>1641</v>
      </c>
      <c r="B433" s="10" t="s">
        <v>1530</v>
      </c>
      <c r="C433" s="10" t="s">
        <v>24</v>
      </c>
      <c r="D433" s="10" t="s">
        <v>1536</v>
      </c>
      <c r="E433" s="10" t="s">
        <v>22</v>
      </c>
      <c r="F433" s="10">
        <v>2358</v>
      </c>
      <c r="G433" s="10" t="s">
        <v>1544</v>
      </c>
      <c r="H433" s="5">
        <v>2160</v>
      </c>
      <c r="I433" s="69">
        <v>0.91603053435114501</v>
      </c>
      <c r="J433" s="5">
        <v>25</v>
      </c>
      <c r="K433" s="70">
        <v>1.0602205258693808E-2</v>
      </c>
      <c r="L433" s="5">
        <v>40</v>
      </c>
      <c r="M433" s="80">
        <v>1.6963528413910092E-2</v>
      </c>
      <c r="N433" s="72">
        <v>70</v>
      </c>
      <c r="O433" s="180">
        <f t="shared" si="26"/>
        <v>2.9686174724342664</v>
      </c>
      <c r="P433" s="72">
        <v>54</v>
      </c>
      <c r="Q433" s="73">
        <v>2.2900763358778626E-2</v>
      </c>
      <c r="R433" s="10">
        <v>0</v>
      </c>
      <c r="S433" s="70">
        <v>0</v>
      </c>
      <c r="T433" s="5">
        <v>9</v>
      </c>
      <c r="U433" s="74">
        <v>3.8167938931297708E-3</v>
      </c>
      <c r="V433" s="75">
        <v>5.6403731976251058E-2</v>
      </c>
      <c r="W433" s="168" t="s">
        <v>2104</v>
      </c>
    </row>
    <row r="434" spans="1:23">
      <c r="A434" s="67" t="s">
        <v>1641</v>
      </c>
      <c r="B434" s="10" t="s">
        <v>1530</v>
      </c>
      <c r="C434" s="76" t="s">
        <v>29</v>
      </c>
      <c r="D434" s="10" t="s">
        <v>1536</v>
      </c>
      <c r="E434" s="10" t="s">
        <v>22</v>
      </c>
      <c r="F434" s="10">
        <v>1995</v>
      </c>
      <c r="G434" s="10" t="s">
        <v>1545</v>
      </c>
      <c r="H434" s="5">
        <v>1440</v>
      </c>
      <c r="I434" s="69">
        <v>0.72180451127819545</v>
      </c>
      <c r="J434" s="5">
        <v>115</v>
      </c>
      <c r="K434" s="70">
        <v>5.764411027568922E-2</v>
      </c>
      <c r="L434" s="5">
        <v>217</v>
      </c>
      <c r="M434" s="80">
        <v>0.10877192982456141</v>
      </c>
      <c r="N434" s="72">
        <v>89</v>
      </c>
      <c r="O434" s="180">
        <f t="shared" si="26"/>
        <v>4.4611528822055133</v>
      </c>
      <c r="P434" s="72">
        <v>16</v>
      </c>
      <c r="Q434" s="73">
        <v>8.0200501253132831E-3</v>
      </c>
      <c r="R434" s="10">
        <v>118</v>
      </c>
      <c r="S434" s="70">
        <v>5.9147869674185463E-2</v>
      </c>
      <c r="T434" s="5">
        <v>0</v>
      </c>
      <c r="U434" s="74">
        <v>0</v>
      </c>
      <c r="V434" s="75">
        <v>0.11177944862155388</v>
      </c>
      <c r="W434" s="168" t="s">
        <v>2107</v>
      </c>
    </row>
    <row r="435" spans="1:23">
      <c r="A435" s="67" t="s">
        <v>1641</v>
      </c>
      <c r="B435" s="10" t="s">
        <v>1530</v>
      </c>
      <c r="C435" s="10" t="s">
        <v>31</v>
      </c>
      <c r="D435" s="10" t="s">
        <v>1611</v>
      </c>
      <c r="E435" s="10" t="s">
        <v>22</v>
      </c>
      <c r="F435" s="10">
        <v>2230</v>
      </c>
      <c r="G435" s="10" t="s">
        <v>1537</v>
      </c>
      <c r="H435" s="5">
        <v>2160</v>
      </c>
      <c r="I435" s="69">
        <v>0.96860986547085204</v>
      </c>
      <c r="J435" s="5">
        <v>0</v>
      </c>
      <c r="K435" s="70">
        <v>0</v>
      </c>
      <c r="L435" s="5">
        <v>16</v>
      </c>
      <c r="M435" s="80">
        <v>7.1748878923766817E-3</v>
      </c>
      <c r="N435" s="72">
        <v>20</v>
      </c>
      <c r="O435" s="180">
        <f t="shared" si="26"/>
        <v>0.89686098654708524</v>
      </c>
      <c r="P435" s="72">
        <v>14</v>
      </c>
      <c r="Q435" s="73">
        <v>6.2780269058295961E-3</v>
      </c>
      <c r="R435" s="10">
        <v>20</v>
      </c>
      <c r="S435" s="70">
        <v>8.9686098654708519E-3</v>
      </c>
      <c r="T435" s="5">
        <v>0</v>
      </c>
      <c r="U435" s="74">
        <v>0</v>
      </c>
      <c r="V435" s="75">
        <v>2.4215246636771298E-2</v>
      </c>
      <c r="W435" s="168" t="s">
        <v>1195</v>
      </c>
    </row>
    <row r="436" spans="1:23">
      <c r="A436" s="67" t="s">
        <v>1641</v>
      </c>
      <c r="B436" s="10" t="s">
        <v>1538</v>
      </c>
      <c r="C436" s="10" t="s">
        <v>31</v>
      </c>
      <c r="D436" s="10" t="s">
        <v>1536</v>
      </c>
      <c r="E436" s="10" t="s">
        <v>22</v>
      </c>
      <c r="F436" s="10">
        <v>6310</v>
      </c>
      <c r="G436" s="77" t="s">
        <v>1540</v>
      </c>
      <c r="H436" s="5">
        <v>604</v>
      </c>
      <c r="I436" s="69">
        <v>9.5721077654516637E-2</v>
      </c>
      <c r="J436" s="5">
        <v>3708</v>
      </c>
      <c r="K436" s="70">
        <v>0.58763866877971471</v>
      </c>
      <c r="L436" s="5">
        <v>190</v>
      </c>
      <c r="M436" s="80">
        <v>3.0110935023771792E-2</v>
      </c>
      <c r="N436" s="72">
        <v>1614</v>
      </c>
      <c r="O436" s="180">
        <f t="shared" si="26"/>
        <v>25.578446909667196</v>
      </c>
      <c r="P436" s="72">
        <v>0</v>
      </c>
      <c r="Q436" s="73">
        <v>0</v>
      </c>
      <c r="R436" s="10">
        <v>0</v>
      </c>
      <c r="S436" s="70">
        <v>0</v>
      </c>
      <c r="T436" s="5">
        <v>194</v>
      </c>
      <c r="U436" s="74">
        <v>3.0744849445324882E-2</v>
      </c>
      <c r="V436" s="75">
        <v>0.28652931854199687</v>
      </c>
      <c r="W436" s="168" t="s">
        <v>1195</v>
      </c>
    </row>
    <row r="437" spans="1:23">
      <c r="A437" s="67" t="s">
        <v>1641</v>
      </c>
      <c r="B437" s="10" t="s">
        <v>1538</v>
      </c>
      <c r="C437" s="76" t="s">
        <v>29</v>
      </c>
      <c r="D437" s="10" t="s">
        <v>1536</v>
      </c>
      <c r="E437" s="10" t="s">
        <v>22</v>
      </c>
      <c r="F437" s="10">
        <v>5502</v>
      </c>
      <c r="G437" s="10" t="s">
        <v>1551</v>
      </c>
      <c r="H437" s="5">
        <v>4026</v>
      </c>
      <c r="I437" s="69">
        <v>0.73173391494002182</v>
      </c>
      <c r="J437" s="5">
        <v>680</v>
      </c>
      <c r="K437" s="70">
        <v>0.12359142130134497</v>
      </c>
      <c r="L437" s="5">
        <v>225</v>
      </c>
      <c r="M437" s="80">
        <v>4.0894220283533261E-2</v>
      </c>
      <c r="N437" s="72">
        <v>331</v>
      </c>
      <c r="O437" s="180">
        <f t="shared" si="26"/>
        <v>6.015994183933115</v>
      </c>
      <c r="P437" s="72">
        <v>0</v>
      </c>
      <c r="Q437" s="73">
        <v>0</v>
      </c>
      <c r="R437" s="10">
        <v>0</v>
      </c>
      <c r="S437" s="70">
        <v>0</v>
      </c>
      <c r="T437" s="5">
        <v>240</v>
      </c>
      <c r="U437" s="74">
        <v>4.3620501635768812E-2</v>
      </c>
      <c r="V437" s="75">
        <v>0.10378044347509996</v>
      </c>
      <c r="W437" s="168" t="s">
        <v>2107</v>
      </c>
    </row>
    <row r="438" spans="1:23">
      <c r="A438" s="67" t="s">
        <v>1642</v>
      </c>
      <c r="B438" s="10" t="s">
        <v>1530</v>
      </c>
      <c r="C438" s="76" t="s">
        <v>29</v>
      </c>
      <c r="D438" s="10" t="s">
        <v>1536</v>
      </c>
      <c r="E438" s="10" t="s">
        <v>22</v>
      </c>
      <c r="F438" s="10">
        <v>9466</v>
      </c>
      <c r="G438" s="10" t="s">
        <v>1545</v>
      </c>
      <c r="H438" s="5">
        <v>6352</v>
      </c>
      <c r="I438" s="69">
        <v>0.6710331713500951</v>
      </c>
      <c r="J438" s="10">
        <v>157</v>
      </c>
      <c r="K438" s="70">
        <v>1.6585675047538558E-2</v>
      </c>
      <c r="L438" s="5">
        <v>1975</v>
      </c>
      <c r="M438" s="80">
        <v>0.20864145362349462</v>
      </c>
      <c r="N438" s="72">
        <v>289</v>
      </c>
      <c r="O438" s="180">
        <f t="shared" si="26"/>
        <v>3.053031903655187</v>
      </c>
      <c r="P438" s="72">
        <v>340</v>
      </c>
      <c r="Q438" s="73">
        <v>3.5918022395943376E-2</v>
      </c>
      <c r="R438" s="10">
        <v>173</v>
      </c>
      <c r="S438" s="70">
        <v>1.8275934924994717E-2</v>
      </c>
      <c r="T438" s="5">
        <v>180</v>
      </c>
      <c r="U438" s="74">
        <v>1.9015423621381786E-2</v>
      </c>
      <c r="V438" s="75">
        <v>0.10373969997887174</v>
      </c>
      <c r="W438" s="168" t="s">
        <v>2107</v>
      </c>
    </row>
    <row r="439" spans="1:23">
      <c r="A439" s="67" t="s">
        <v>1642</v>
      </c>
      <c r="B439" s="10" t="s">
        <v>1530</v>
      </c>
      <c r="C439" s="76" t="s">
        <v>29</v>
      </c>
      <c r="D439" s="10" t="s">
        <v>1534</v>
      </c>
      <c r="E439" s="10" t="s">
        <v>22</v>
      </c>
      <c r="F439" s="10">
        <v>2322</v>
      </c>
      <c r="G439" s="10" t="s">
        <v>1545</v>
      </c>
      <c r="H439" s="5">
        <v>1440</v>
      </c>
      <c r="I439" s="69">
        <v>0.62015503875968991</v>
      </c>
      <c r="J439" s="5">
        <v>97</v>
      </c>
      <c r="K439" s="70">
        <v>4.1774332472006889E-2</v>
      </c>
      <c r="L439" s="5">
        <v>478</v>
      </c>
      <c r="M439" s="80">
        <v>0.20585701981050819</v>
      </c>
      <c r="N439" s="72">
        <v>100</v>
      </c>
      <c r="O439" s="180">
        <f t="shared" si="26"/>
        <v>4.3066322136089585</v>
      </c>
      <c r="P439" s="72">
        <v>81</v>
      </c>
      <c r="Q439" s="73">
        <v>3.4883720930232558E-2</v>
      </c>
      <c r="R439" s="5">
        <v>126</v>
      </c>
      <c r="S439" s="70">
        <v>5.4263565891472867E-2</v>
      </c>
      <c r="T439" s="5">
        <v>0</v>
      </c>
      <c r="U439" s="74">
        <v>0</v>
      </c>
      <c r="V439" s="75">
        <v>0.13221360895779499</v>
      </c>
      <c r="W439" s="168" t="s">
        <v>2107</v>
      </c>
    </row>
    <row r="440" spans="1:23">
      <c r="A440" s="67" t="s">
        <v>1642</v>
      </c>
      <c r="B440" s="10" t="s">
        <v>1530</v>
      </c>
      <c r="C440" s="76" t="s">
        <v>27</v>
      </c>
      <c r="D440" s="10" t="s">
        <v>1550</v>
      </c>
      <c r="E440" s="10" t="s">
        <v>22</v>
      </c>
      <c r="F440" s="10">
        <v>3672</v>
      </c>
      <c r="G440" s="10" t="s">
        <v>1635</v>
      </c>
      <c r="H440" s="5">
        <v>3600</v>
      </c>
      <c r="I440" s="69">
        <v>0.98039215686274506</v>
      </c>
      <c r="J440" s="5">
        <v>0</v>
      </c>
      <c r="K440" s="70">
        <v>0</v>
      </c>
      <c r="L440" s="5">
        <v>0</v>
      </c>
      <c r="M440" s="80">
        <v>0</v>
      </c>
      <c r="N440" s="72">
        <v>0</v>
      </c>
      <c r="O440" s="180">
        <f t="shared" si="26"/>
        <v>0</v>
      </c>
      <c r="P440" s="72">
        <v>72</v>
      </c>
      <c r="Q440" s="73">
        <v>1.9607843137254902E-2</v>
      </c>
      <c r="R440" s="5">
        <v>0</v>
      </c>
      <c r="S440" s="70">
        <v>0</v>
      </c>
      <c r="T440" s="5">
        <v>0</v>
      </c>
      <c r="U440" s="74">
        <v>0</v>
      </c>
      <c r="V440" s="75">
        <v>1.9607843137254902E-2</v>
      </c>
      <c r="W440" s="168" t="s">
        <v>2107</v>
      </c>
    </row>
    <row r="441" spans="1:23">
      <c r="A441" s="67" t="s">
        <v>1642</v>
      </c>
      <c r="B441" s="10" t="s">
        <v>1538</v>
      </c>
      <c r="C441" s="76" t="s">
        <v>27</v>
      </c>
      <c r="D441" s="68" t="s">
        <v>1559</v>
      </c>
      <c r="E441" s="10" t="s">
        <v>22</v>
      </c>
      <c r="F441" s="10">
        <v>2520</v>
      </c>
      <c r="G441" s="10" t="s">
        <v>1554</v>
      </c>
      <c r="H441" s="5">
        <v>2520</v>
      </c>
      <c r="I441" s="69">
        <v>1</v>
      </c>
      <c r="J441" s="5">
        <v>0</v>
      </c>
      <c r="K441" s="70">
        <v>0</v>
      </c>
      <c r="L441" s="5">
        <v>0</v>
      </c>
      <c r="M441" s="80">
        <v>0</v>
      </c>
      <c r="N441" s="72">
        <v>0</v>
      </c>
      <c r="O441" s="180">
        <f t="shared" si="26"/>
        <v>0</v>
      </c>
      <c r="P441" s="72">
        <v>0</v>
      </c>
      <c r="Q441" s="73">
        <v>0</v>
      </c>
      <c r="R441" s="5">
        <v>0</v>
      </c>
      <c r="S441" s="70">
        <v>0</v>
      </c>
      <c r="T441" s="5">
        <v>0</v>
      </c>
      <c r="U441" s="74">
        <v>0</v>
      </c>
      <c r="V441" s="75">
        <v>0</v>
      </c>
      <c r="W441" s="168" t="s">
        <v>1109</v>
      </c>
    </row>
    <row r="442" spans="1:23">
      <c r="A442" s="67" t="s">
        <v>1642</v>
      </c>
      <c r="B442" s="10" t="s">
        <v>1538</v>
      </c>
      <c r="C442" s="10" t="s">
        <v>31</v>
      </c>
      <c r="D442" s="10" t="s">
        <v>1536</v>
      </c>
      <c r="E442" s="10" t="s">
        <v>22</v>
      </c>
      <c r="F442" s="10">
        <v>5620</v>
      </c>
      <c r="G442" s="77" t="s">
        <v>1540</v>
      </c>
      <c r="H442" s="5">
        <v>783</v>
      </c>
      <c r="I442" s="69">
        <v>0.13932384341637011</v>
      </c>
      <c r="J442" s="5">
        <v>3479</v>
      </c>
      <c r="K442" s="70">
        <v>0.61903914590747333</v>
      </c>
      <c r="L442" s="5">
        <v>430</v>
      </c>
      <c r="M442" s="80">
        <v>7.6512455516014238E-2</v>
      </c>
      <c r="N442" s="72">
        <v>808</v>
      </c>
      <c r="O442" s="180">
        <f t="shared" si="26"/>
        <v>14.377224199288255</v>
      </c>
      <c r="P442" s="72">
        <v>0</v>
      </c>
      <c r="Q442" s="73">
        <v>0</v>
      </c>
      <c r="R442" s="5">
        <v>0</v>
      </c>
      <c r="S442" s="70">
        <v>0</v>
      </c>
      <c r="T442" s="5">
        <v>120</v>
      </c>
      <c r="U442" s="74">
        <v>2.1352313167259787E-2</v>
      </c>
      <c r="V442" s="75">
        <v>0.16512455516014235</v>
      </c>
      <c r="W442" s="168" t="s">
        <v>1195</v>
      </c>
    </row>
    <row r="443" spans="1:23">
      <c r="A443" s="67" t="s">
        <v>1643</v>
      </c>
      <c r="B443" s="10" t="s">
        <v>1530</v>
      </c>
      <c r="C443" s="76" t="s">
        <v>29</v>
      </c>
      <c r="D443" s="10" t="s">
        <v>1536</v>
      </c>
      <c r="E443" s="10" t="s">
        <v>22</v>
      </c>
      <c r="F443" s="10">
        <v>972</v>
      </c>
      <c r="G443" s="10" t="s">
        <v>1545</v>
      </c>
      <c r="H443" s="5">
        <v>665</v>
      </c>
      <c r="I443" s="69">
        <v>0.68415637860082301</v>
      </c>
      <c r="J443" s="5">
        <v>30</v>
      </c>
      <c r="K443" s="70">
        <v>3.0864197530864196E-2</v>
      </c>
      <c r="L443" s="5">
        <v>146</v>
      </c>
      <c r="M443" s="80">
        <v>0.15020576131687244</v>
      </c>
      <c r="N443" s="72">
        <v>35</v>
      </c>
      <c r="O443" s="180">
        <f t="shared" si="26"/>
        <v>3.6008230452674899</v>
      </c>
      <c r="P443" s="72">
        <v>30</v>
      </c>
      <c r="Q443" s="73">
        <v>3.0864197530864196E-2</v>
      </c>
      <c r="R443" s="5">
        <v>66</v>
      </c>
      <c r="S443" s="70">
        <v>6.7901234567901231E-2</v>
      </c>
      <c r="T443" s="10">
        <v>0</v>
      </c>
      <c r="U443" s="74">
        <v>0</v>
      </c>
      <c r="V443" s="75">
        <v>0.13477366255144033</v>
      </c>
      <c r="W443" s="168" t="s">
        <v>2107</v>
      </c>
    </row>
    <row r="444" spans="1:23">
      <c r="A444" s="67" t="s">
        <v>1643</v>
      </c>
      <c r="B444" s="10" t="s">
        <v>1530</v>
      </c>
      <c r="C444" s="10" t="s">
        <v>31</v>
      </c>
      <c r="D444" s="10" t="s">
        <v>1536</v>
      </c>
      <c r="E444" s="10" t="s">
        <v>22</v>
      </c>
      <c r="F444" s="10">
        <v>4131</v>
      </c>
      <c r="G444" s="77" t="s">
        <v>1540</v>
      </c>
      <c r="H444" s="5">
        <v>868</v>
      </c>
      <c r="I444" s="69">
        <v>0.21011861534737353</v>
      </c>
      <c r="J444" s="5">
        <v>298</v>
      </c>
      <c r="K444" s="70">
        <v>7.2137496974098284E-2</v>
      </c>
      <c r="L444" s="5">
        <v>2037</v>
      </c>
      <c r="M444" s="80">
        <v>0.49310094408133626</v>
      </c>
      <c r="N444" s="72">
        <v>345</v>
      </c>
      <c r="O444" s="180">
        <f t="shared" si="26"/>
        <v>8.3514887436456053</v>
      </c>
      <c r="P444" s="72">
        <v>288</v>
      </c>
      <c r="Q444" s="73">
        <v>6.9716775599128547E-2</v>
      </c>
      <c r="R444" s="5">
        <v>295</v>
      </c>
      <c r="S444" s="70">
        <v>7.1411280561607365E-2</v>
      </c>
      <c r="T444" s="10">
        <v>0</v>
      </c>
      <c r="U444" s="74">
        <v>0</v>
      </c>
      <c r="V444" s="75">
        <v>0.22464294359719197</v>
      </c>
      <c r="W444" s="168" t="s">
        <v>1195</v>
      </c>
    </row>
    <row r="445" spans="1:23">
      <c r="A445" s="67" t="s">
        <v>1643</v>
      </c>
      <c r="B445" s="10" t="s">
        <v>1530</v>
      </c>
      <c r="C445" s="76" t="s">
        <v>27</v>
      </c>
      <c r="D445" s="10" t="s">
        <v>1534</v>
      </c>
      <c r="E445" s="10" t="s">
        <v>22</v>
      </c>
      <c r="F445" s="10">
        <v>3161</v>
      </c>
      <c r="G445" s="10" t="s">
        <v>1554</v>
      </c>
      <c r="H445" s="5">
        <v>2413</v>
      </c>
      <c r="I445" s="69">
        <v>0.76336602341031323</v>
      </c>
      <c r="J445" s="5">
        <v>197</v>
      </c>
      <c r="K445" s="70">
        <v>6.2322049984182219E-2</v>
      </c>
      <c r="L445" s="5">
        <v>180</v>
      </c>
      <c r="M445" s="80">
        <v>5.694400506168934E-2</v>
      </c>
      <c r="N445" s="72">
        <v>52</v>
      </c>
      <c r="O445" s="180">
        <f t="shared" si="26"/>
        <v>1.6450490351154696</v>
      </c>
      <c r="P445" s="72">
        <v>13</v>
      </c>
      <c r="Q445" s="73">
        <v>4.1126225877886743E-3</v>
      </c>
      <c r="R445" s="5">
        <v>306</v>
      </c>
      <c r="S445" s="70">
        <v>9.6804808604871881E-2</v>
      </c>
      <c r="T445" s="10">
        <v>0</v>
      </c>
      <c r="U445" s="74">
        <v>0</v>
      </c>
      <c r="V445" s="75">
        <v>0.11736792154381526</v>
      </c>
      <c r="W445" s="168" t="s">
        <v>2107</v>
      </c>
    </row>
    <row r="446" spans="1:23">
      <c r="A446" s="67" t="s">
        <v>1643</v>
      </c>
      <c r="B446" s="10" t="s">
        <v>1530</v>
      </c>
      <c r="C446" s="76" t="s">
        <v>27</v>
      </c>
      <c r="D446" s="10" t="s">
        <v>1550</v>
      </c>
      <c r="E446" s="10" t="s">
        <v>22</v>
      </c>
      <c r="F446" s="10">
        <v>5508</v>
      </c>
      <c r="G446" s="10" t="s">
        <v>1535</v>
      </c>
      <c r="H446" s="5">
        <v>5400</v>
      </c>
      <c r="I446" s="69">
        <v>0.98039215686274506</v>
      </c>
      <c r="J446" s="5">
        <v>0</v>
      </c>
      <c r="K446" s="70">
        <v>0</v>
      </c>
      <c r="L446" s="5">
        <v>0</v>
      </c>
      <c r="M446" s="80">
        <v>0</v>
      </c>
      <c r="N446" s="72">
        <v>0</v>
      </c>
      <c r="O446" s="180">
        <f t="shared" si="26"/>
        <v>0</v>
      </c>
      <c r="P446" s="72">
        <v>108</v>
      </c>
      <c r="Q446" s="73">
        <v>1.9607843137254902E-2</v>
      </c>
      <c r="R446" s="5">
        <v>0</v>
      </c>
      <c r="S446" s="70">
        <v>0</v>
      </c>
      <c r="T446" s="10">
        <v>0</v>
      </c>
      <c r="U446" s="74">
        <v>0</v>
      </c>
      <c r="V446" s="75">
        <v>1.9607843137254902E-2</v>
      </c>
      <c r="W446" s="168" t="s">
        <v>2107</v>
      </c>
    </row>
    <row r="447" spans="1:23">
      <c r="A447" s="67" t="s">
        <v>1643</v>
      </c>
      <c r="B447" s="10" t="s">
        <v>1530</v>
      </c>
      <c r="C447" s="76" t="s">
        <v>29</v>
      </c>
      <c r="D447" s="10" t="s">
        <v>1550</v>
      </c>
      <c r="E447" s="10" t="s">
        <v>22</v>
      </c>
      <c r="F447" s="10">
        <v>5245</v>
      </c>
      <c r="G447" s="10" t="s">
        <v>1545</v>
      </c>
      <c r="H447" s="5">
        <v>5180</v>
      </c>
      <c r="I447" s="69">
        <v>0.98760724499523356</v>
      </c>
      <c r="J447" s="5">
        <v>0</v>
      </c>
      <c r="K447" s="70">
        <v>0</v>
      </c>
      <c r="L447" s="5">
        <v>0</v>
      </c>
      <c r="M447" s="80">
        <v>0</v>
      </c>
      <c r="N447" s="72">
        <v>0</v>
      </c>
      <c r="O447" s="180">
        <f t="shared" si="26"/>
        <v>0</v>
      </c>
      <c r="P447" s="72">
        <v>65</v>
      </c>
      <c r="Q447" s="73">
        <v>1.2392755004766444E-2</v>
      </c>
      <c r="R447" s="5">
        <v>0</v>
      </c>
      <c r="S447" s="70">
        <v>0</v>
      </c>
      <c r="T447" s="10">
        <v>0</v>
      </c>
      <c r="U447" s="74">
        <v>0</v>
      </c>
      <c r="V447" s="75">
        <v>1.2392755004766444E-2</v>
      </c>
      <c r="W447" s="168" t="s">
        <v>2104</v>
      </c>
    </row>
    <row r="448" spans="1:23">
      <c r="A448" s="67" t="s">
        <v>1643</v>
      </c>
      <c r="B448" s="10" t="s">
        <v>1538</v>
      </c>
      <c r="C448" s="10" t="s">
        <v>31</v>
      </c>
      <c r="D448" s="10" t="s">
        <v>1536</v>
      </c>
      <c r="E448" s="10" t="s">
        <v>22</v>
      </c>
      <c r="F448" s="10">
        <v>9085</v>
      </c>
      <c r="G448" s="77" t="s">
        <v>1540</v>
      </c>
      <c r="H448" s="5">
        <v>842</v>
      </c>
      <c r="I448" s="69">
        <v>9.2680242157402309E-2</v>
      </c>
      <c r="J448" s="5">
        <v>6622</v>
      </c>
      <c r="K448" s="70">
        <v>0.72889378095762247</v>
      </c>
      <c r="L448" s="5">
        <v>428</v>
      </c>
      <c r="M448" s="80">
        <v>4.7110621904237752E-2</v>
      </c>
      <c r="N448" s="72">
        <v>1028</v>
      </c>
      <c r="O448" s="180">
        <f t="shared" si="26"/>
        <v>11.31535498073748</v>
      </c>
      <c r="P448" s="72">
        <v>0</v>
      </c>
      <c r="Q448" s="73">
        <v>0</v>
      </c>
      <c r="R448" s="5">
        <v>0</v>
      </c>
      <c r="S448" s="70">
        <v>0</v>
      </c>
      <c r="T448" s="10">
        <v>165</v>
      </c>
      <c r="U448" s="74">
        <v>1.8161805173362685E-2</v>
      </c>
      <c r="V448" s="75">
        <v>0.13131535498073749</v>
      </c>
      <c r="W448" s="168" t="s">
        <v>1195</v>
      </c>
    </row>
    <row r="449" spans="1:23">
      <c r="A449" s="67" t="s">
        <v>1643</v>
      </c>
      <c r="B449" s="10" t="s">
        <v>1538</v>
      </c>
      <c r="C449" s="76" t="s">
        <v>29</v>
      </c>
      <c r="D449" s="10" t="s">
        <v>1536</v>
      </c>
      <c r="E449" s="10" t="s">
        <v>22</v>
      </c>
      <c r="F449" s="10">
        <v>1900</v>
      </c>
      <c r="G449" s="10" t="s">
        <v>1551</v>
      </c>
      <c r="H449" s="5">
        <v>1147</v>
      </c>
      <c r="I449" s="69">
        <v>0.60368421052631582</v>
      </c>
      <c r="J449" s="5">
        <v>360</v>
      </c>
      <c r="K449" s="70">
        <v>0.18947368421052632</v>
      </c>
      <c r="L449" s="5">
        <v>139</v>
      </c>
      <c r="M449" s="80">
        <v>7.3157894736842102E-2</v>
      </c>
      <c r="N449" s="72">
        <v>134</v>
      </c>
      <c r="O449" s="180">
        <f t="shared" si="26"/>
        <v>7.052631578947369</v>
      </c>
      <c r="P449" s="72">
        <v>0</v>
      </c>
      <c r="Q449" s="73">
        <v>0</v>
      </c>
      <c r="R449" s="5">
        <v>0</v>
      </c>
      <c r="S449" s="70">
        <v>0</v>
      </c>
      <c r="T449" s="10">
        <v>120</v>
      </c>
      <c r="U449" s="74">
        <v>6.3157894736842107E-2</v>
      </c>
      <c r="V449" s="75">
        <v>0.13368421052631579</v>
      </c>
      <c r="W449" s="168" t="s">
        <v>2107</v>
      </c>
    </row>
    <row r="450" spans="1:23">
      <c r="A450" s="67" t="s">
        <v>1644</v>
      </c>
      <c r="B450" s="10" t="s">
        <v>1530</v>
      </c>
      <c r="C450" s="10" t="s">
        <v>24</v>
      </c>
      <c r="D450" s="10" t="s">
        <v>1534</v>
      </c>
      <c r="E450" s="10" t="s">
        <v>22</v>
      </c>
      <c r="F450" s="10">
        <v>1989</v>
      </c>
      <c r="G450" s="10" t="s">
        <v>1544</v>
      </c>
      <c r="H450" s="5">
        <v>1780</v>
      </c>
      <c r="I450" s="69">
        <v>0.89492207139265967</v>
      </c>
      <c r="J450" s="5">
        <v>55</v>
      </c>
      <c r="K450" s="70">
        <v>2.7652086475615886E-2</v>
      </c>
      <c r="L450" s="5">
        <v>0</v>
      </c>
      <c r="M450" s="80">
        <v>0</v>
      </c>
      <c r="N450" s="72">
        <v>42</v>
      </c>
      <c r="O450" s="180">
        <f t="shared" si="26"/>
        <v>2.1116138763197587</v>
      </c>
      <c r="P450" s="72">
        <v>70</v>
      </c>
      <c r="Q450" s="73">
        <v>3.5193564605329311E-2</v>
      </c>
      <c r="R450" s="10">
        <v>42</v>
      </c>
      <c r="S450" s="70">
        <v>2.1116138763197588E-2</v>
      </c>
      <c r="T450" s="10">
        <v>0</v>
      </c>
      <c r="U450" s="74">
        <v>0</v>
      </c>
      <c r="V450" s="75">
        <v>7.7425842131724487E-2</v>
      </c>
      <c r="W450" s="168" t="s">
        <v>2104</v>
      </c>
    </row>
    <row r="451" spans="1:23">
      <c r="A451" s="67" t="s">
        <v>1644</v>
      </c>
      <c r="B451" s="10" t="s">
        <v>1530</v>
      </c>
      <c r="C451" s="76" t="s">
        <v>27</v>
      </c>
      <c r="D451" s="10" t="s">
        <v>1534</v>
      </c>
      <c r="E451" s="10" t="s">
        <v>22</v>
      </c>
      <c r="F451" s="10">
        <v>5922</v>
      </c>
      <c r="G451" s="10" t="s">
        <v>1554</v>
      </c>
      <c r="H451" s="5">
        <v>4634</v>
      </c>
      <c r="I451" s="69">
        <v>0.78250591016548465</v>
      </c>
      <c r="J451" s="5">
        <v>485</v>
      </c>
      <c r="K451" s="70">
        <v>8.1898007429922329E-2</v>
      </c>
      <c r="L451" s="5">
        <v>156</v>
      </c>
      <c r="M451" s="80">
        <v>2.6342451874366769E-2</v>
      </c>
      <c r="N451" s="72">
        <v>200</v>
      </c>
      <c r="O451" s="180">
        <f t="shared" ref="O451:O514" si="33">N451/F451*100</f>
        <v>3.3772374197906116</v>
      </c>
      <c r="P451" s="72">
        <v>131</v>
      </c>
      <c r="Q451" s="73">
        <v>2.2120905099628503E-2</v>
      </c>
      <c r="R451" s="5">
        <v>162</v>
      </c>
      <c r="S451" s="70">
        <v>2.7355623100303952E-2</v>
      </c>
      <c r="T451" s="10">
        <v>154</v>
      </c>
      <c r="U451" s="74">
        <v>2.6004728132387706E-2</v>
      </c>
      <c r="V451" s="75">
        <v>0.10925363053022627</v>
      </c>
      <c r="W451" s="168" t="s">
        <v>2107</v>
      </c>
    </row>
    <row r="452" spans="1:23">
      <c r="A452" s="67" t="s">
        <v>1644</v>
      </c>
      <c r="B452" s="10" t="s">
        <v>1530</v>
      </c>
      <c r="C452" s="10" t="s">
        <v>31</v>
      </c>
      <c r="D452" s="10" t="s">
        <v>1536</v>
      </c>
      <c r="E452" s="10" t="s">
        <v>22</v>
      </c>
      <c r="F452" s="10">
        <v>4131</v>
      </c>
      <c r="G452" s="77" t="s">
        <v>1540</v>
      </c>
      <c r="H452" s="5">
        <v>1510</v>
      </c>
      <c r="I452" s="69">
        <v>0.36552892762043088</v>
      </c>
      <c r="J452" s="5">
        <v>181</v>
      </c>
      <c r="K452" s="70">
        <v>4.3815056886952315E-2</v>
      </c>
      <c r="L452" s="5">
        <v>1897</v>
      </c>
      <c r="M452" s="80">
        <v>0.45921084483175989</v>
      </c>
      <c r="N452" s="72">
        <v>200</v>
      </c>
      <c r="O452" s="180">
        <f t="shared" si="33"/>
        <v>4.8414427499394819</v>
      </c>
      <c r="P452" s="72">
        <v>94</v>
      </c>
      <c r="Q452" s="73">
        <v>2.2754780924715567E-2</v>
      </c>
      <c r="R452" s="5">
        <v>249</v>
      </c>
      <c r="S452" s="70">
        <v>6.0275962236746548E-2</v>
      </c>
      <c r="T452" s="10">
        <v>0</v>
      </c>
      <c r="U452" s="74">
        <v>0</v>
      </c>
      <c r="V452" s="75">
        <v>0.13144517066085692</v>
      </c>
      <c r="W452" s="168" t="s">
        <v>1195</v>
      </c>
    </row>
    <row r="453" spans="1:23">
      <c r="A453" s="67" t="s">
        <v>1644</v>
      </c>
      <c r="B453" s="10" t="s">
        <v>1530</v>
      </c>
      <c r="C453" s="10" t="s">
        <v>24</v>
      </c>
      <c r="D453" s="10" t="s">
        <v>1536</v>
      </c>
      <c r="E453" s="10" t="s">
        <v>22</v>
      </c>
      <c r="F453" s="10">
        <v>2180</v>
      </c>
      <c r="G453" s="10" t="s">
        <v>1544</v>
      </c>
      <c r="H453" s="5">
        <v>1762</v>
      </c>
      <c r="I453" s="69">
        <v>0.80825688073394497</v>
      </c>
      <c r="J453" s="5">
        <v>26</v>
      </c>
      <c r="K453" s="70">
        <v>1.1926605504587157E-2</v>
      </c>
      <c r="L453" s="5">
        <v>290</v>
      </c>
      <c r="M453" s="80">
        <v>0.13302752293577982</v>
      </c>
      <c r="N453" s="72">
        <v>89</v>
      </c>
      <c r="O453" s="180">
        <f t="shared" si="33"/>
        <v>4.0825688073394497</v>
      </c>
      <c r="P453" s="72">
        <v>3</v>
      </c>
      <c r="Q453" s="73">
        <v>1.3761467889908258E-3</v>
      </c>
      <c r="R453" s="5">
        <v>0</v>
      </c>
      <c r="S453" s="70">
        <v>0</v>
      </c>
      <c r="T453" s="10">
        <v>10</v>
      </c>
      <c r="U453" s="74">
        <v>4.5871559633027525E-3</v>
      </c>
      <c r="V453" s="75">
        <v>4.6788990825688076E-2</v>
      </c>
      <c r="W453" s="168" t="s">
        <v>2104</v>
      </c>
    </row>
    <row r="454" spans="1:23">
      <c r="A454" s="67" t="s">
        <v>1644</v>
      </c>
      <c r="B454" s="10" t="s">
        <v>1538</v>
      </c>
      <c r="C454" s="10" t="s">
        <v>31</v>
      </c>
      <c r="D454" s="10" t="s">
        <v>1536</v>
      </c>
      <c r="E454" s="10" t="s">
        <v>22</v>
      </c>
      <c r="F454" s="10">
        <v>7390</v>
      </c>
      <c r="G454" s="77" t="s">
        <v>1540</v>
      </c>
      <c r="H454" s="5">
        <v>5798</v>
      </c>
      <c r="I454" s="69">
        <v>0.784573748308525</v>
      </c>
      <c r="J454" s="5">
        <v>0</v>
      </c>
      <c r="K454" s="70">
        <v>0</v>
      </c>
      <c r="L454" s="5">
        <v>564</v>
      </c>
      <c r="M454" s="80">
        <v>7.631935047361299E-2</v>
      </c>
      <c r="N454" s="72">
        <v>932</v>
      </c>
      <c r="O454" s="180">
        <f t="shared" si="33"/>
        <v>12.611637347767255</v>
      </c>
      <c r="P454" s="72">
        <v>0</v>
      </c>
      <c r="Q454" s="73">
        <v>0</v>
      </c>
      <c r="R454" s="5">
        <v>0</v>
      </c>
      <c r="S454" s="70">
        <v>0</v>
      </c>
      <c r="T454" s="5">
        <v>96</v>
      </c>
      <c r="U454" s="74">
        <v>1.2990527740189444E-2</v>
      </c>
      <c r="V454" s="75">
        <v>0.13910690121786198</v>
      </c>
      <c r="W454" s="168" t="s">
        <v>1195</v>
      </c>
    </row>
    <row r="455" spans="1:23">
      <c r="A455" s="67" t="s">
        <v>1645</v>
      </c>
      <c r="B455" s="10" t="s">
        <v>1530</v>
      </c>
      <c r="C455" s="10" t="s">
        <v>31</v>
      </c>
      <c r="D455" s="10" t="s">
        <v>1536</v>
      </c>
      <c r="E455" s="10" t="s">
        <v>22</v>
      </c>
      <c r="F455" s="10">
        <v>5202</v>
      </c>
      <c r="G455" s="77" t="s">
        <v>1540</v>
      </c>
      <c r="H455" s="5">
        <v>2395</v>
      </c>
      <c r="I455" s="69">
        <v>0.46039984621299501</v>
      </c>
      <c r="J455" s="5">
        <v>602</v>
      </c>
      <c r="K455" s="70">
        <v>0.11572472126105345</v>
      </c>
      <c r="L455" s="5">
        <v>1338</v>
      </c>
      <c r="M455" s="80">
        <v>0.25720876585928487</v>
      </c>
      <c r="N455" s="72">
        <v>288</v>
      </c>
      <c r="O455" s="180">
        <f t="shared" si="33"/>
        <v>5.5363321799307963</v>
      </c>
      <c r="P455" s="72">
        <v>175</v>
      </c>
      <c r="Q455" s="73">
        <v>3.3640907343329488E-2</v>
      </c>
      <c r="R455" s="5">
        <v>404</v>
      </c>
      <c r="S455" s="70">
        <v>7.7662437524029224E-2</v>
      </c>
      <c r="T455" s="10">
        <v>0</v>
      </c>
      <c r="U455" s="74">
        <v>0</v>
      </c>
      <c r="V455" s="75">
        <v>0.16666666666666669</v>
      </c>
      <c r="W455" s="168" t="s">
        <v>1195</v>
      </c>
    </row>
    <row r="456" spans="1:23">
      <c r="A456" s="67" t="s">
        <v>1645</v>
      </c>
      <c r="B456" s="10" t="s">
        <v>1538</v>
      </c>
      <c r="C456" s="10" t="s">
        <v>31</v>
      </c>
      <c r="D456" s="10" t="s">
        <v>1611</v>
      </c>
      <c r="E456" s="10" t="s">
        <v>22</v>
      </c>
      <c r="F456" s="10">
        <v>3960</v>
      </c>
      <c r="G456" s="77" t="s">
        <v>1540</v>
      </c>
      <c r="H456" s="5">
        <v>3780</v>
      </c>
      <c r="I456" s="69">
        <v>0.95454545454545459</v>
      </c>
      <c r="J456" s="5">
        <v>0</v>
      </c>
      <c r="K456" s="70">
        <v>0</v>
      </c>
      <c r="L456" s="5">
        <v>0</v>
      </c>
      <c r="M456" s="80">
        <v>0</v>
      </c>
      <c r="N456" s="72">
        <v>180</v>
      </c>
      <c r="O456" s="180">
        <f t="shared" si="33"/>
        <v>4.5454545454545459</v>
      </c>
      <c r="P456" s="72">
        <v>0</v>
      </c>
      <c r="Q456" s="73">
        <v>0</v>
      </c>
      <c r="R456" s="5">
        <v>0</v>
      </c>
      <c r="S456" s="70">
        <v>0</v>
      </c>
      <c r="T456" s="10">
        <v>0</v>
      </c>
      <c r="U456" s="74">
        <v>0</v>
      </c>
      <c r="V456" s="75">
        <v>4.5454545454545456E-2</v>
      </c>
      <c r="W456" s="168" t="s">
        <v>1195</v>
      </c>
    </row>
    <row r="457" spans="1:23">
      <c r="A457" s="67" t="s">
        <v>1645</v>
      </c>
      <c r="B457" s="10" t="s">
        <v>1538</v>
      </c>
      <c r="C457" s="176" t="s">
        <v>31</v>
      </c>
      <c r="D457" s="10" t="s">
        <v>1611</v>
      </c>
      <c r="E457" s="10" t="s">
        <v>1539</v>
      </c>
      <c r="F457" s="10">
        <v>1800</v>
      </c>
      <c r="G457" s="77" t="s">
        <v>1540</v>
      </c>
      <c r="H457" s="5">
        <v>1800</v>
      </c>
      <c r="I457" s="69">
        <v>1</v>
      </c>
      <c r="J457" s="10">
        <v>0</v>
      </c>
      <c r="K457" s="70">
        <v>0</v>
      </c>
      <c r="L457" s="5">
        <v>0</v>
      </c>
      <c r="M457" s="80">
        <v>0</v>
      </c>
      <c r="N457" s="72">
        <v>0</v>
      </c>
      <c r="O457" s="180">
        <f t="shared" si="33"/>
        <v>0</v>
      </c>
      <c r="P457" s="72">
        <v>0</v>
      </c>
      <c r="Q457" s="73">
        <v>0</v>
      </c>
      <c r="R457" s="10">
        <v>0</v>
      </c>
      <c r="S457" s="70">
        <v>0</v>
      </c>
      <c r="T457" s="10">
        <v>0</v>
      </c>
      <c r="U457" s="74">
        <v>0</v>
      </c>
      <c r="V457" s="75">
        <v>0</v>
      </c>
      <c r="W457" s="168" t="s">
        <v>1109</v>
      </c>
    </row>
    <row r="458" spans="1:23">
      <c r="A458" s="67" t="s">
        <v>1645</v>
      </c>
      <c r="B458" s="10" t="s">
        <v>1530</v>
      </c>
      <c r="C458" s="10" t="s">
        <v>24</v>
      </c>
      <c r="D458" s="10" t="s">
        <v>1536</v>
      </c>
      <c r="E458" s="10" t="s">
        <v>22</v>
      </c>
      <c r="F458" s="10">
        <v>2587</v>
      </c>
      <c r="G458" s="10" t="s">
        <v>1544</v>
      </c>
      <c r="H458" s="5">
        <v>1475</v>
      </c>
      <c r="I458" s="69">
        <v>0.570158484731349</v>
      </c>
      <c r="J458" s="5">
        <v>273</v>
      </c>
      <c r="K458" s="70">
        <v>0.10552763819095477</v>
      </c>
      <c r="L458" s="5">
        <v>571</v>
      </c>
      <c r="M458" s="80">
        <v>0.22071897951294936</v>
      </c>
      <c r="N458" s="72">
        <v>136</v>
      </c>
      <c r="O458" s="180">
        <f t="shared" si="33"/>
        <v>5.2570545032856586</v>
      </c>
      <c r="P458" s="72">
        <v>100</v>
      </c>
      <c r="Q458" s="73">
        <v>3.8654812524159254E-2</v>
      </c>
      <c r="R458" s="10">
        <v>0</v>
      </c>
      <c r="S458" s="70">
        <v>0</v>
      </c>
      <c r="T458" s="10">
        <v>32</v>
      </c>
      <c r="U458" s="74">
        <v>1.2369540007730962E-2</v>
      </c>
      <c r="V458" s="75">
        <v>0.10359489756474681</v>
      </c>
      <c r="W458" s="168" t="s">
        <v>2104</v>
      </c>
    </row>
    <row r="459" spans="1:23">
      <c r="A459" s="67" t="s">
        <v>1645</v>
      </c>
      <c r="B459" s="10" t="s">
        <v>1530</v>
      </c>
      <c r="C459" s="10" t="s">
        <v>24</v>
      </c>
      <c r="D459" s="10" t="s">
        <v>1534</v>
      </c>
      <c r="E459" s="10" t="s">
        <v>22</v>
      </c>
      <c r="F459" s="10">
        <v>1708</v>
      </c>
      <c r="G459" s="10" t="s">
        <v>1544</v>
      </c>
      <c r="H459" s="5">
        <v>1609</v>
      </c>
      <c r="I459" s="69">
        <v>0.94203747072599531</v>
      </c>
      <c r="J459" s="5">
        <v>47</v>
      </c>
      <c r="K459" s="70">
        <v>2.7517564402810304E-2</v>
      </c>
      <c r="L459" s="5">
        <v>0</v>
      </c>
      <c r="M459" s="80">
        <v>0</v>
      </c>
      <c r="N459" s="72">
        <v>28</v>
      </c>
      <c r="O459" s="180">
        <f t="shared" si="33"/>
        <v>1.639344262295082</v>
      </c>
      <c r="P459" s="72">
        <v>7</v>
      </c>
      <c r="Q459" s="73">
        <v>4.0983606557377051E-3</v>
      </c>
      <c r="R459" s="10">
        <v>0</v>
      </c>
      <c r="S459" s="70">
        <v>0</v>
      </c>
      <c r="T459" s="10">
        <v>17</v>
      </c>
      <c r="U459" s="74">
        <v>9.9531615925058554E-3</v>
      </c>
      <c r="V459" s="75">
        <v>3.0444964871194382E-2</v>
      </c>
      <c r="W459" s="168" t="s">
        <v>2104</v>
      </c>
    </row>
    <row r="460" spans="1:23">
      <c r="A460" s="67" t="s">
        <v>1645</v>
      </c>
      <c r="B460" s="10" t="s">
        <v>1530</v>
      </c>
      <c r="C460" s="76" t="s">
        <v>27</v>
      </c>
      <c r="D460" s="10" t="s">
        <v>1534</v>
      </c>
      <c r="E460" s="10" t="s">
        <v>22</v>
      </c>
      <c r="F460" s="10">
        <v>4131</v>
      </c>
      <c r="G460" s="10" t="s">
        <v>1554</v>
      </c>
      <c r="H460" s="5">
        <v>3313</v>
      </c>
      <c r="I460" s="69">
        <v>0.80198499152747516</v>
      </c>
      <c r="J460" s="5">
        <v>281</v>
      </c>
      <c r="K460" s="70">
        <v>6.8022270636649715E-2</v>
      </c>
      <c r="L460" s="5">
        <v>62</v>
      </c>
      <c r="M460" s="80">
        <v>1.5008472524812393E-2</v>
      </c>
      <c r="N460" s="72">
        <v>105</v>
      </c>
      <c r="O460" s="180">
        <f t="shared" si="33"/>
        <v>2.541757443718228</v>
      </c>
      <c r="P460" s="72">
        <v>74</v>
      </c>
      <c r="Q460" s="73">
        <v>1.7913338174776083E-2</v>
      </c>
      <c r="R460" s="10">
        <v>13</v>
      </c>
      <c r="S460" s="70">
        <v>3.1469377874606633E-3</v>
      </c>
      <c r="T460" s="5">
        <v>283</v>
      </c>
      <c r="U460" s="74">
        <v>6.8506414911643665E-2</v>
      </c>
      <c r="V460" s="75">
        <v>0.11498426531106269</v>
      </c>
      <c r="W460" s="168" t="s">
        <v>2107</v>
      </c>
    </row>
    <row r="461" spans="1:23">
      <c r="A461" s="67" t="s">
        <v>1645</v>
      </c>
      <c r="B461" s="10" t="s">
        <v>1530</v>
      </c>
      <c r="C461" s="68" t="s">
        <v>1533</v>
      </c>
      <c r="D461" s="10" t="s">
        <v>1534</v>
      </c>
      <c r="E461" s="10" t="s">
        <v>22</v>
      </c>
      <c r="F461" s="10">
        <v>1694</v>
      </c>
      <c r="G461" s="10" t="s">
        <v>1533</v>
      </c>
      <c r="H461" s="5">
        <v>1532</v>
      </c>
      <c r="I461" s="69">
        <v>0.90436835891381351</v>
      </c>
      <c r="J461" s="5">
        <v>74</v>
      </c>
      <c r="K461" s="70">
        <v>4.3683589138134596E-2</v>
      </c>
      <c r="L461" s="5">
        <v>66</v>
      </c>
      <c r="M461" s="80">
        <v>3.896103896103896E-2</v>
      </c>
      <c r="N461" s="72">
        <v>10</v>
      </c>
      <c r="O461" s="180">
        <f t="shared" si="33"/>
        <v>0.59031877213695394</v>
      </c>
      <c r="P461" s="72">
        <v>12</v>
      </c>
      <c r="Q461" s="73">
        <v>7.0838252656434475E-3</v>
      </c>
      <c r="R461" s="10">
        <v>0</v>
      </c>
      <c r="S461" s="70">
        <v>0</v>
      </c>
      <c r="T461" s="10">
        <v>0</v>
      </c>
      <c r="U461" s="74">
        <v>0</v>
      </c>
      <c r="V461" s="75">
        <v>1.2987012987012988E-2</v>
      </c>
      <c r="W461" s="168" t="s">
        <v>2104</v>
      </c>
    </row>
    <row r="462" spans="1:23">
      <c r="A462" s="67" t="s">
        <v>1645</v>
      </c>
      <c r="B462" s="10" t="s">
        <v>1538</v>
      </c>
      <c r="C462" s="10" t="s">
        <v>31</v>
      </c>
      <c r="D462" s="10" t="s">
        <v>1536</v>
      </c>
      <c r="E462" s="10" t="s">
        <v>22</v>
      </c>
      <c r="F462" s="10">
        <v>11930</v>
      </c>
      <c r="G462" s="77" t="s">
        <v>1540</v>
      </c>
      <c r="H462" s="5">
        <v>8470</v>
      </c>
      <c r="I462" s="69">
        <v>0.70997485331098076</v>
      </c>
      <c r="J462" s="5">
        <v>0</v>
      </c>
      <c r="K462" s="70">
        <v>0</v>
      </c>
      <c r="L462" s="5">
        <v>735</v>
      </c>
      <c r="M462" s="80">
        <v>6.1609388097233861E-2</v>
      </c>
      <c r="N462" s="72">
        <v>2551</v>
      </c>
      <c r="O462" s="180">
        <f t="shared" si="33"/>
        <v>21.38306789606035</v>
      </c>
      <c r="P462" s="72">
        <v>0</v>
      </c>
      <c r="Q462" s="73">
        <v>0</v>
      </c>
      <c r="R462" s="10">
        <v>0</v>
      </c>
      <c r="S462" s="70">
        <v>0</v>
      </c>
      <c r="T462" s="5">
        <v>174</v>
      </c>
      <c r="U462" s="74">
        <v>1.4585079631181894E-2</v>
      </c>
      <c r="V462" s="75">
        <v>0.22841575859178539</v>
      </c>
      <c r="W462" s="168" t="s">
        <v>1195</v>
      </c>
    </row>
    <row r="463" spans="1:23">
      <c r="A463" s="67" t="s">
        <v>1646</v>
      </c>
      <c r="B463" s="10" t="s">
        <v>1530</v>
      </c>
      <c r="C463" s="10" t="s">
        <v>24</v>
      </c>
      <c r="D463" s="10" t="s">
        <v>1536</v>
      </c>
      <c r="E463" s="10" t="s">
        <v>22</v>
      </c>
      <c r="F463" s="10">
        <v>720</v>
      </c>
      <c r="G463" s="10" t="s">
        <v>1544</v>
      </c>
      <c r="H463" s="5">
        <v>711</v>
      </c>
      <c r="I463" s="69">
        <v>0.98750000000000004</v>
      </c>
      <c r="J463" s="10">
        <v>0</v>
      </c>
      <c r="K463" s="70">
        <v>0</v>
      </c>
      <c r="L463" s="10">
        <v>0</v>
      </c>
      <c r="M463" s="80">
        <v>0</v>
      </c>
      <c r="N463" s="72">
        <v>7</v>
      </c>
      <c r="O463" s="180">
        <f t="shared" si="33"/>
        <v>0.97222222222222221</v>
      </c>
      <c r="P463" s="72">
        <v>2</v>
      </c>
      <c r="Q463" s="73">
        <v>2.7777777777777779E-3</v>
      </c>
      <c r="R463" s="10">
        <v>0</v>
      </c>
      <c r="S463" s="70">
        <v>0</v>
      </c>
      <c r="T463" s="10">
        <v>0</v>
      </c>
      <c r="U463" s="74">
        <v>0</v>
      </c>
      <c r="V463" s="75">
        <v>1.2500000000000001E-2</v>
      </c>
      <c r="W463" s="168" t="s">
        <v>2104</v>
      </c>
    </row>
    <row r="464" spans="1:23">
      <c r="A464" s="67" t="s">
        <v>1646</v>
      </c>
      <c r="B464" s="10" t="s">
        <v>1530</v>
      </c>
      <c r="C464" s="76" t="s">
        <v>27</v>
      </c>
      <c r="D464" s="10" t="s">
        <v>1534</v>
      </c>
      <c r="E464" s="10" t="s">
        <v>22</v>
      </c>
      <c r="F464" s="10">
        <v>8703</v>
      </c>
      <c r="G464" s="10" t="s">
        <v>1554</v>
      </c>
      <c r="H464" s="5">
        <v>6790</v>
      </c>
      <c r="I464" s="69">
        <v>0.78019073882569234</v>
      </c>
      <c r="J464" s="5">
        <v>563</v>
      </c>
      <c r="K464" s="70">
        <v>6.4690336665517642E-2</v>
      </c>
      <c r="L464" s="5">
        <v>336</v>
      </c>
      <c r="M464" s="80">
        <v>3.8607376766632194E-2</v>
      </c>
      <c r="N464" s="72">
        <v>192</v>
      </c>
      <c r="O464" s="180">
        <f t="shared" si="33"/>
        <v>2.2061358152361255</v>
      </c>
      <c r="P464" s="72">
        <v>134</v>
      </c>
      <c r="Q464" s="73">
        <v>1.5396989543835459E-2</v>
      </c>
      <c r="R464" s="5">
        <v>81</v>
      </c>
      <c r="S464" s="70">
        <v>9.3071354705274046E-3</v>
      </c>
      <c r="T464" s="5">
        <v>607</v>
      </c>
      <c r="U464" s="74">
        <v>6.9746064575433753E-2</v>
      </c>
      <c r="V464" s="75">
        <v>0.11651154774215787</v>
      </c>
      <c r="W464" s="168" t="s">
        <v>2107</v>
      </c>
    </row>
    <row r="465" spans="1:23">
      <c r="A465" s="67" t="s">
        <v>1646</v>
      </c>
      <c r="B465" s="10" t="s">
        <v>1530</v>
      </c>
      <c r="C465" s="10" t="s">
        <v>31</v>
      </c>
      <c r="D465" s="10" t="s">
        <v>1536</v>
      </c>
      <c r="E465" s="10" t="s">
        <v>22</v>
      </c>
      <c r="F465" s="10">
        <v>3978</v>
      </c>
      <c r="G465" s="77" t="s">
        <v>1540</v>
      </c>
      <c r="H465" s="5">
        <v>1651</v>
      </c>
      <c r="I465" s="69">
        <v>0.41503267973856212</v>
      </c>
      <c r="J465" s="5">
        <v>249</v>
      </c>
      <c r="K465" s="70">
        <v>6.2594268476621417E-2</v>
      </c>
      <c r="L465" s="5">
        <v>1480</v>
      </c>
      <c r="M465" s="80">
        <v>0.37204625439919559</v>
      </c>
      <c r="N465" s="72">
        <v>179</v>
      </c>
      <c r="O465" s="180">
        <f t="shared" si="33"/>
        <v>4.4997486173956762</v>
      </c>
      <c r="P465" s="72">
        <v>52</v>
      </c>
      <c r="Q465" s="73">
        <v>1.3071895424836602E-2</v>
      </c>
      <c r="R465" s="5">
        <v>367</v>
      </c>
      <c r="S465" s="70">
        <v>9.2257415786827557E-2</v>
      </c>
      <c r="T465" s="5">
        <v>0</v>
      </c>
      <c r="U465" s="74">
        <v>0</v>
      </c>
      <c r="V465" s="75">
        <v>0.15032679738562094</v>
      </c>
      <c r="W465" s="168" t="s">
        <v>1195</v>
      </c>
    </row>
    <row r="466" spans="1:23">
      <c r="A466" s="67" t="s">
        <v>1646</v>
      </c>
      <c r="B466" s="10" t="s">
        <v>1538</v>
      </c>
      <c r="C466" s="10" t="s">
        <v>31</v>
      </c>
      <c r="D466" s="10" t="s">
        <v>1536</v>
      </c>
      <c r="E466" s="10" t="s">
        <v>22</v>
      </c>
      <c r="F466" s="10">
        <v>16565</v>
      </c>
      <c r="G466" s="77" t="s">
        <v>1540</v>
      </c>
      <c r="H466" s="5">
        <v>13079</v>
      </c>
      <c r="I466" s="69">
        <v>0.78955629338967703</v>
      </c>
      <c r="J466" s="5">
        <v>0</v>
      </c>
      <c r="K466" s="70">
        <v>0</v>
      </c>
      <c r="L466" s="5">
        <v>701</v>
      </c>
      <c r="M466" s="70">
        <v>5.3597369829497671E-2</v>
      </c>
      <c r="N466" s="72">
        <v>2655</v>
      </c>
      <c r="O466" s="180">
        <f t="shared" si="33"/>
        <v>16.027769393299124</v>
      </c>
      <c r="P466" s="72">
        <v>0</v>
      </c>
      <c r="Q466" s="73">
        <v>0</v>
      </c>
      <c r="R466" s="10">
        <v>0</v>
      </c>
      <c r="S466" s="70">
        <v>0</v>
      </c>
      <c r="T466" s="5">
        <v>130</v>
      </c>
      <c r="U466" s="74">
        <v>7.8478720193178395E-3</v>
      </c>
      <c r="V466" s="75">
        <v>0.16812556595230907</v>
      </c>
      <c r="W466" s="168" t="s">
        <v>1195</v>
      </c>
    </row>
    <row r="467" spans="1:23">
      <c r="A467" s="67" t="s">
        <v>1647</v>
      </c>
      <c r="B467" s="10" t="s">
        <v>1556</v>
      </c>
      <c r="C467" s="10" t="s">
        <v>24</v>
      </c>
      <c r="D467" s="10" t="s">
        <v>1611</v>
      </c>
      <c r="E467" s="10" t="s">
        <v>22</v>
      </c>
      <c r="F467" s="10">
        <v>7440</v>
      </c>
      <c r="G467" s="10" t="s">
        <v>1544</v>
      </c>
      <c r="H467" s="5">
        <v>7200</v>
      </c>
      <c r="I467" s="69">
        <v>0.967741935483871</v>
      </c>
      <c r="J467" s="5">
        <v>0</v>
      </c>
      <c r="K467" s="70">
        <v>0</v>
      </c>
      <c r="L467" s="5">
        <v>0</v>
      </c>
      <c r="M467" s="70">
        <v>0</v>
      </c>
      <c r="N467" s="72">
        <v>8</v>
      </c>
      <c r="O467" s="180">
        <f t="shared" si="33"/>
        <v>0.10752688172043011</v>
      </c>
      <c r="P467" s="72">
        <v>232</v>
      </c>
      <c r="Q467" s="73">
        <v>3.118279569892473E-2</v>
      </c>
      <c r="R467" s="10">
        <v>0</v>
      </c>
      <c r="S467" s="70">
        <v>0</v>
      </c>
      <c r="T467" s="10">
        <v>0</v>
      </c>
      <c r="U467" s="74">
        <v>0</v>
      </c>
      <c r="V467" s="75">
        <v>3.2258064516129031E-2</v>
      </c>
      <c r="W467" s="168" t="s">
        <v>2104</v>
      </c>
    </row>
    <row r="468" spans="1:23">
      <c r="A468" s="67" t="s">
        <v>1647</v>
      </c>
      <c r="B468" s="10" t="s">
        <v>1530</v>
      </c>
      <c r="C468" s="175" t="s">
        <v>27</v>
      </c>
      <c r="D468" s="10" t="s">
        <v>1550</v>
      </c>
      <c r="E468" s="10" t="s">
        <v>22</v>
      </c>
      <c r="F468" s="10">
        <v>1833</v>
      </c>
      <c r="G468" s="10" t="s">
        <v>1635</v>
      </c>
      <c r="H468" s="5">
        <v>1800</v>
      </c>
      <c r="I468" s="69">
        <v>0.98199672667757776</v>
      </c>
      <c r="J468" s="5">
        <v>0</v>
      </c>
      <c r="K468" s="70">
        <v>0</v>
      </c>
      <c r="L468" s="5">
        <v>0</v>
      </c>
      <c r="M468" s="70">
        <v>0</v>
      </c>
      <c r="N468" s="72">
        <v>0</v>
      </c>
      <c r="O468" s="180">
        <f t="shared" si="33"/>
        <v>0</v>
      </c>
      <c r="P468" s="72">
        <v>33</v>
      </c>
      <c r="Q468" s="73">
        <v>1.8003273322422259E-2</v>
      </c>
      <c r="R468" s="10">
        <v>0</v>
      </c>
      <c r="S468" s="70">
        <v>0</v>
      </c>
      <c r="T468" s="10">
        <v>0</v>
      </c>
      <c r="U468" s="74">
        <v>0</v>
      </c>
      <c r="V468" s="75">
        <v>1.8003273322422259E-2</v>
      </c>
      <c r="W468" s="168" t="s">
        <v>2104</v>
      </c>
    </row>
    <row r="469" spans="1:23">
      <c r="A469" s="67" t="s">
        <v>1647</v>
      </c>
      <c r="B469" s="10" t="s">
        <v>1530</v>
      </c>
      <c r="C469" s="76" t="s">
        <v>27</v>
      </c>
      <c r="D469" s="10" t="s">
        <v>1550</v>
      </c>
      <c r="E469" s="10" t="s">
        <v>22</v>
      </c>
      <c r="F469" s="10">
        <v>11934</v>
      </c>
      <c r="G469" s="10" t="s">
        <v>1535</v>
      </c>
      <c r="H469" s="5">
        <v>11700</v>
      </c>
      <c r="I469" s="69">
        <v>0.98039215686274506</v>
      </c>
      <c r="J469" s="5">
        <v>0</v>
      </c>
      <c r="K469" s="70">
        <v>0</v>
      </c>
      <c r="L469" s="5">
        <v>0</v>
      </c>
      <c r="M469" s="70">
        <v>0</v>
      </c>
      <c r="N469" s="72">
        <v>0</v>
      </c>
      <c r="O469" s="180">
        <f t="shared" si="33"/>
        <v>0</v>
      </c>
      <c r="P469" s="72">
        <v>234</v>
      </c>
      <c r="Q469" s="73">
        <v>1.9607843137254902E-2</v>
      </c>
      <c r="R469" s="10">
        <v>0</v>
      </c>
      <c r="S469" s="70">
        <v>0</v>
      </c>
      <c r="T469" s="10">
        <v>0</v>
      </c>
      <c r="U469" s="74">
        <v>0</v>
      </c>
      <c r="V469" s="75">
        <v>1.9607843137254902E-2</v>
      </c>
      <c r="W469" s="168" t="s">
        <v>2107</v>
      </c>
    </row>
    <row r="470" spans="1:23">
      <c r="A470" s="67" t="s">
        <v>1647</v>
      </c>
      <c r="B470" s="10" t="s">
        <v>1530</v>
      </c>
      <c r="C470" s="76" t="s">
        <v>27</v>
      </c>
      <c r="D470" s="10" t="s">
        <v>1534</v>
      </c>
      <c r="E470" s="10" t="s">
        <v>1539</v>
      </c>
      <c r="F470" s="10">
        <v>3420</v>
      </c>
      <c r="G470" s="10" t="s">
        <v>1554</v>
      </c>
      <c r="H470" s="5">
        <v>2975</v>
      </c>
      <c r="I470" s="69">
        <v>0.86988304093567248</v>
      </c>
      <c r="J470" s="5">
        <v>193</v>
      </c>
      <c r="K470" s="70">
        <v>5.6432748538011696E-2</v>
      </c>
      <c r="L470" s="5">
        <v>111</v>
      </c>
      <c r="M470" s="70">
        <v>3.7310924369747901E-2</v>
      </c>
      <c r="N470" s="72">
        <v>35</v>
      </c>
      <c r="O470" s="180">
        <f t="shared" si="33"/>
        <v>1.0233918128654971</v>
      </c>
      <c r="P470" s="72">
        <v>0</v>
      </c>
      <c r="Q470" s="73">
        <v>0</v>
      </c>
      <c r="R470" s="10">
        <v>76</v>
      </c>
      <c r="S470" s="70">
        <v>2.2222222222222223E-2</v>
      </c>
      <c r="T470" s="5">
        <v>153</v>
      </c>
      <c r="U470" s="74">
        <v>4.4736842105263158E-2</v>
      </c>
      <c r="V470" s="75">
        <v>7.7192982456140355E-2</v>
      </c>
      <c r="W470" s="168" t="s">
        <v>2107</v>
      </c>
    </row>
    <row r="471" spans="1:23">
      <c r="A471" s="67" t="s">
        <v>1647</v>
      </c>
      <c r="B471" s="10" t="s">
        <v>1530</v>
      </c>
      <c r="C471" s="76" t="s">
        <v>29</v>
      </c>
      <c r="D471" s="10" t="s">
        <v>1534</v>
      </c>
      <c r="E471" s="10" t="s">
        <v>22</v>
      </c>
      <c r="F471" s="10">
        <v>5899</v>
      </c>
      <c r="G471" s="10" t="s">
        <v>1551</v>
      </c>
      <c r="H471" s="5">
        <v>4556</v>
      </c>
      <c r="I471" s="69">
        <v>0.7723342939481268</v>
      </c>
      <c r="J471" s="5">
        <v>360</v>
      </c>
      <c r="K471" s="70">
        <v>6.1027292761484997E-2</v>
      </c>
      <c r="L471" s="5">
        <v>225</v>
      </c>
      <c r="M471" s="70">
        <v>4.9385425812115892E-2</v>
      </c>
      <c r="N471" s="72">
        <v>120</v>
      </c>
      <c r="O471" s="180">
        <f t="shared" si="33"/>
        <v>2.0342430920494996</v>
      </c>
      <c r="P471" s="72">
        <v>27</v>
      </c>
      <c r="Q471" s="73">
        <v>4.5770469571113749E-3</v>
      </c>
      <c r="R471" s="10">
        <v>30</v>
      </c>
      <c r="S471" s="70">
        <v>5.0856077301237495E-3</v>
      </c>
      <c r="T471" s="5">
        <v>581</v>
      </c>
      <c r="U471" s="74">
        <v>9.8491269706729959E-2</v>
      </c>
      <c r="V471" s="75">
        <v>0.12849635531446008</v>
      </c>
      <c r="W471" s="168" t="s">
        <v>2107</v>
      </c>
    </row>
    <row r="472" spans="1:23">
      <c r="A472" s="67" t="s">
        <v>1647</v>
      </c>
      <c r="B472" s="10" t="s">
        <v>1530</v>
      </c>
      <c r="C472" s="10" t="s">
        <v>24</v>
      </c>
      <c r="D472" s="10" t="s">
        <v>1536</v>
      </c>
      <c r="E472" s="10" t="s">
        <v>22</v>
      </c>
      <c r="F472" s="10">
        <v>3308</v>
      </c>
      <c r="G472" s="10" t="s">
        <v>1544</v>
      </c>
      <c r="H472" s="5">
        <v>2096</v>
      </c>
      <c r="I472" s="69">
        <v>0.63361547762998793</v>
      </c>
      <c r="J472" s="5">
        <v>134</v>
      </c>
      <c r="K472" s="70">
        <v>4.0507859733978233E-2</v>
      </c>
      <c r="L472" s="5">
        <v>781</v>
      </c>
      <c r="M472" s="70">
        <v>0.3726145038167939</v>
      </c>
      <c r="N472" s="72">
        <v>92</v>
      </c>
      <c r="O472" s="180">
        <f t="shared" si="33"/>
        <v>2.7811366384522369</v>
      </c>
      <c r="P472" s="72">
        <v>166</v>
      </c>
      <c r="Q472" s="73">
        <v>5.0181378476420797E-2</v>
      </c>
      <c r="R472" s="10">
        <v>0</v>
      </c>
      <c r="S472" s="70">
        <v>0</v>
      </c>
      <c r="T472" s="5">
        <v>39</v>
      </c>
      <c r="U472" s="74">
        <v>1.1789600967351875E-2</v>
      </c>
      <c r="V472" s="75">
        <v>8.9782345828295043E-2</v>
      </c>
      <c r="W472" s="168" t="s">
        <v>2104</v>
      </c>
    </row>
    <row r="473" spans="1:23">
      <c r="A473" s="67" t="s">
        <v>1647</v>
      </c>
      <c r="B473" s="10" t="s">
        <v>1538</v>
      </c>
      <c r="C473" s="10" t="s">
        <v>31</v>
      </c>
      <c r="D473" s="10" t="s">
        <v>1536</v>
      </c>
      <c r="E473" s="10" t="s">
        <v>22</v>
      </c>
      <c r="F473" s="10">
        <v>1595</v>
      </c>
      <c r="G473" s="77" t="s">
        <v>1540</v>
      </c>
      <c r="H473" s="5">
        <v>1280</v>
      </c>
      <c r="I473" s="69">
        <v>0.80250783699059558</v>
      </c>
      <c r="J473" s="5">
        <v>0</v>
      </c>
      <c r="K473" s="70">
        <v>0</v>
      </c>
      <c r="L473" s="5">
        <v>97</v>
      </c>
      <c r="M473" s="70">
        <v>7.5781249999999994E-2</v>
      </c>
      <c r="N473" s="72">
        <v>207</v>
      </c>
      <c r="O473" s="180">
        <f t="shared" si="33"/>
        <v>12.978056426332287</v>
      </c>
      <c r="P473" s="72">
        <v>0</v>
      </c>
      <c r="Q473" s="73">
        <v>0</v>
      </c>
      <c r="R473" s="10">
        <v>0</v>
      </c>
      <c r="S473" s="70">
        <v>0</v>
      </c>
      <c r="T473" s="5">
        <v>11</v>
      </c>
      <c r="U473" s="74">
        <v>6.8965517241379309E-3</v>
      </c>
      <c r="V473" s="75">
        <v>0.1366771159874608</v>
      </c>
      <c r="W473" s="168" t="s">
        <v>1195</v>
      </c>
    </row>
    <row r="474" spans="1:23">
      <c r="A474" s="67" t="s">
        <v>1647</v>
      </c>
      <c r="B474" s="10" t="s">
        <v>1538</v>
      </c>
      <c r="C474" s="76" t="s">
        <v>29</v>
      </c>
      <c r="D474" s="10" t="s">
        <v>1536</v>
      </c>
      <c r="E474" s="10" t="s">
        <v>22</v>
      </c>
      <c r="F474" s="10">
        <v>3385</v>
      </c>
      <c r="G474" s="10" t="s">
        <v>1551</v>
      </c>
      <c r="H474" s="5">
        <v>2160</v>
      </c>
      <c r="I474" s="69">
        <v>0.63810930576070901</v>
      </c>
      <c r="J474" s="5">
        <v>341</v>
      </c>
      <c r="K474" s="70">
        <v>0.10073855243722304</v>
      </c>
      <c r="L474" s="5">
        <v>427</v>
      </c>
      <c r="M474" s="70">
        <v>0.19768518518518519</v>
      </c>
      <c r="N474" s="72">
        <v>240</v>
      </c>
      <c r="O474" s="180">
        <f t="shared" si="33"/>
        <v>7.0901033973412115</v>
      </c>
      <c r="P474" s="72">
        <v>0</v>
      </c>
      <c r="Q474" s="73">
        <v>0</v>
      </c>
      <c r="R474" s="10">
        <v>0</v>
      </c>
      <c r="S474" s="70">
        <v>0</v>
      </c>
      <c r="T474" s="5">
        <v>217</v>
      </c>
      <c r="U474" s="74">
        <v>6.4106351550960117E-2</v>
      </c>
      <c r="V474" s="75">
        <v>0.13500738552437225</v>
      </c>
      <c r="W474" s="168" t="s">
        <v>2107</v>
      </c>
    </row>
    <row r="475" spans="1:23">
      <c r="A475" s="67" t="s">
        <v>1648</v>
      </c>
      <c r="B475" s="10" t="s">
        <v>1530</v>
      </c>
      <c r="C475" s="10" t="s">
        <v>24</v>
      </c>
      <c r="D475" s="10" t="s">
        <v>1536</v>
      </c>
      <c r="E475" s="10" t="s">
        <v>22</v>
      </c>
      <c r="F475" s="10">
        <v>2517</v>
      </c>
      <c r="G475" s="10" t="s">
        <v>1544</v>
      </c>
      <c r="H475" s="5">
        <v>1270</v>
      </c>
      <c r="I475" s="69">
        <v>0.50456893126738178</v>
      </c>
      <c r="J475" s="5">
        <v>56</v>
      </c>
      <c r="K475" s="70">
        <v>2.2248708780294002E-2</v>
      </c>
      <c r="L475" s="5">
        <v>906</v>
      </c>
      <c r="M475" s="70">
        <v>0.71338582677165352</v>
      </c>
      <c r="N475" s="72">
        <v>96</v>
      </c>
      <c r="O475" s="180">
        <f t="shared" si="33"/>
        <v>3.8140643623361141</v>
      </c>
      <c r="P475" s="72">
        <v>76</v>
      </c>
      <c r="Q475" s="73">
        <v>3.0194676201827572E-2</v>
      </c>
      <c r="R475" s="10">
        <v>0</v>
      </c>
      <c r="S475" s="70">
        <v>0</v>
      </c>
      <c r="T475" s="5">
        <v>113</v>
      </c>
      <c r="U475" s="74">
        <v>4.4894715931664678E-2</v>
      </c>
      <c r="V475" s="75">
        <v>0.11323003575685339</v>
      </c>
      <c r="W475" s="168" t="s">
        <v>2104</v>
      </c>
    </row>
    <row r="476" spans="1:23">
      <c r="A476" s="67" t="s">
        <v>1648</v>
      </c>
      <c r="B476" s="10" t="s">
        <v>1530</v>
      </c>
      <c r="C476" s="10" t="s">
        <v>31</v>
      </c>
      <c r="D476" s="10" t="s">
        <v>1536</v>
      </c>
      <c r="E476" s="10" t="s">
        <v>22</v>
      </c>
      <c r="F476" s="10">
        <v>4743</v>
      </c>
      <c r="G476" s="77" t="s">
        <v>1540</v>
      </c>
      <c r="H476" s="5">
        <v>1742</v>
      </c>
      <c r="I476" s="69">
        <v>0.36727809403331224</v>
      </c>
      <c r="J476" s="5">
        <v>319</v>
      </c>
      <c r="K476" s="70">
        <v>6.7257010331014125E-2</v>
      </c>
      <c r="L476" s="5">
        <v>1480</v>
      </c>
      <c r="M476" s="70">
        <v>0.84959816303099889</v>
      </c>
      <c r="N476" s="72">
        <v>306</v>
      </c>
      <c r="O476" s="180">
        <f t="shared" si="33"/>
        <v>6.4516129032258061</v>
      </c>
      <c r="P476" s="72">
        <v>125</v>
      </c>
      <c r="Q476" s="73">
        <v>2.6354627872654437E-2</v>
      </c>
      <c r="R476" s="5">
        <v>771</v>
      </c>
      <c r="S476" s="70">
        <v>0.16255534471853259</v>
      </c>
      <c r="T476" s="5">
        <v>0</v>
      </c>
      <c r="U476" s="74">
        <v>0</v>
      </c>
      <c r="V476" s="75">
        <v>0.25342610162344509</v>
      </c>
      <c r="W476" s="168" t="s">
        <v>1195</v>
      </c>
    </row>
    <row r="477" spans="1:23">
      <c r="A477" s="67" t="s">
        <v>1648</v>
      </c>
      <c r="B477" s="10" t="s">
        <v>1530</v>
      </c>
      <c r="C477" s="76" t="s">
        <v>29</v>
      </c>
      <c r="D477" s="10" t="s">
        <v>1534</v>
      </c>
      <c r="E477" s="10" t="s">
        <v>22</v>
      </c>
      <c r="F477" s="10">
        <v>10154</v>
      </c>
      <c r="G477" s="10" t="s">
        <v>1551</v>
      </c>
      <c r="H477" s="5">
        <v>8841</v>
      </c>
      <c r="I477" s="69">
        <v>0.87069135316131574</v>
      </c>
      <c r="J477" s="5">
        <v>313</v>
      </c>
      <c r="K477" s="70">
        <v>3.0825290525901123E-2</v>
      </c>
      <c r="L477" s="5">
        <v>190</v>
      </c>
      <c r="M477" s="70">
        <v>2.1490781585793463E-2</v>
      </c>
      <c r="N477" s="72">
        <v>217</v>
      </c>
      <c r="O477" s="180">
        <f t="shared" si="33"/>
        <v>2.137088831987394</v>
      </c>
      <c r="P477" s="72">
        <v>92</v>
      </c>
      <c r="Q477" s="73">
        <v>9.0604687807760483E-3</v>
      </c>
      <c r="R477" s="10">
        <v>0</v>
      </c>
      <c r="S477" s="70">
        <v>0</v>
      </c>
      <c r="T477" s="5">
        <v>501</v>
      </c>
      <c r="U477" s="74">
        <v>4.9340161512704352E-2</v>
      </c>
      <c r="V477" s="75">
        <v>7.9771518613354339E-2</v>
      </c>
      <c r="W477" s="168" t="s">
        <v>2107</v>
      </c>
    </row>
    <row r="478" spans="1:23">
      <c r="A478" s="67" t="s">
        <v>1648</v>
      </c>
      <c r="B478" s="10" t="s">
        <v>1530</v>
      </c>
      <c r="C478" s="76" t="s">
        <v>27</v>
      </c>
      <c r="D478" s="10" t="s">
        <v>1550</v>
      </c>
      <c r="E478" s="10" t="s">
        <v>22</v>
      </c>
      <c r="F478" s="10">
        <v>12676</v>
      </c>
      <c r="G478" s="10" t="s">
        <v>1535</v>
      </c>
      <c r="H478" s="5">
        <v>12420</v>
      </c>
      <c r="I478" s="69">
        <v>0.97980435468602078</v>
      </c>
      <c r="J478" s="5">
        <v>0</v>
      </c>
      <c r="K478" s="70">
        <v>0</v>
      </c>
      <c r="L478" s="5">
        <v>0</v>
      </c>
      <c r="M478" s="70">
        <v>0</v>
      </c>
      <c r="N478" s="72">
        <v>0</v>
      </c>
      <c r="O478" s="180">
        <f t="shared" si="33"/>
        <v>0</v>
      </c>
      <c r="P478" s="72">
        <v>256</v>
      </c>
      <c r="Q478" s="73">
        <v>2.0195645313979174E-2</v>
      </c>
      <c r="R478" s="10">
        <v>0</v>
      </c>
      <c r="S478" s="70">
        <v>0</v>
      </c>
      <c r="T478" s="5">
        <v>0</v>
      </c>
      <c r="U478" s="74">
        <v>0</v>
      </c>
      <c r="V478" s="75">
        <v>2.0195645313979174E-2</v>
      </c>
      <c r="W478" s="168" t="s">
        <v>2107</v>
      </c>
    </row>
    <row r="479" spans="1:23">
      <c r="A479" s="67" t="s">
        <v>1648</v>
      </c>
      <c r="B479" s="10" t="s">
        <v>1538</v>
      </c>
      <c r="C479" s="10" t="s">
        <v>31</v>
      </c>
      <c r="D479" s="10" t="s">
        <v>1536</v>
      </c>
      <c r="E479" s="10" t="s">
        <v>22</v>
      </c>
      <c r="F479" s="10">
        <v>2755</v>
      </c>
      <c r="G479" s="77" t="s">
        <v>1540</v>
      </c>
      <c r="H479" s="5">
        <v>2018</v>
      </c>
      <c r="I479" s="69">
        <v>0.73248638838475499</v>
      </c>
      <c r="J479" s="5">
        <v>71</v>
      </c>
      <c r="K479" s="70">
        <v>2.5771324863883848E-2</v>
      </c>
      <c r="L479" s="5">
        <v>348</v>
      </c>
      <c r="M479" s="70">
        <v>0.17244796828543113</v>
      </c>
      <c r="N479" s="72">
        <v>211</v>
      </c>
      <c r="O479" s="180">
        <f t="shared" si="33"/>
        <v>7.6588021778584396</v>
      </c>
      <c r="P479" s="72">
        <v>0</v>
      </c>
      <c r="Q479" s="73">
        <v>0</v>
      </c>
      <c r="R479" s="10">
        <v>0</v>
      </c>
      <c r="S479" s="70">
        <v>0</v>
      </c>
      <c r="T479" s="5">
        <v>107</v>
      </c>
      <c r="U479" s="74">
        <v>3.8838475499092556E-2</v>
      </c>
      <c r="V479" s="75">
        <v>0.11542649727767695</v>
      </c>
      <c r="W479" s="168" t="s">
        <v>1195</v>
      </c>
    </row>
    <row r="480" spans="1:23">
      <c r="A480" s="67" t="s">
        <v>1648</v>
      </c>
      <c r="B480" s="10" t="s">
        <v>1538</v>
      </c>
      <c r="C480" s="10" t="s">
        <v>31</v>
      </c>
      <c r="D480" s="10" t="s">
        <v>1536</v>
      </c>
      <c r="E480" s="10" t="s">
        <v>22</v>
      </c>
      <c r="F480" s="10">
        <v>3420</v>
      </c>
      <c r="G480" s="10" t="s">
        <v>1537</v>
      </c>
      <c r="H480" s="5">
        <v>2975</v>
      </c>
      <c r="I480" s="69">
        <v>0.86988304093567248</v>
      </c>
      <c r="J480" s="5">
        <v>338</v>
      </c>
      <c r="K480" s="70">
        <v>9.8830409356725143E-2</v>
      </c>
      <c r="L480" s="5">
        <v>0</v>
      </c>
      <c r="M480" s="70">
        <v>0</v>
      </c>
      <c r="N480" s="72">
        <v>64</v>
      </c>
      <c r="O480" s="180">
        <f t="shared" si="33"/>
        <v>1.8713450292397662</v>
      </c>
      <c r="P480" s="72">
        <v>43</v>
      </c>
      <c r="Q480" s="73">
        <v>1.2573099415204679E-2</v>
      </c>
      <c r="R480" s="10">
        <v>0</v>
      </c>
      <c r="S480" s="70">
        <v>0</v>
      </c>
      <c r="T480" s="5">
        <v>0</v>
      </c>
      <c r="U480" s="74">
        <v>0</v>
      </c>
      <c r="V480" s="75">
        <v>3.1286549707602342E-2</v>
      </c>
      <c r="W480" s="168" t="s">
        <v>1195</v>
      </c>
    </row>
    <row r="481" spans="1:23">
      <c r="A481" s="67" t="s">
        <v>1649</v>
      </c>
      <c r="B481" s="10" t="s">
        <v>1530</v>
      </c>
      <c r="C481" s="76" t="s">
        <v>29</v>
      </c>
      <c r="D481" s="10" t="s">
        <v>1536</v>
      </c>
      <c r="E481" s="10" t="s">
        <v>22</v>
      </c>
      <c r="F481" s="10">
        <v>6009</v>
      </c>
      <c r="G481" s="10" t="s">
        <v>1551</v>
      </c>
      <c r="H481" s="5">
        <v>5509</v>
      </c>
      <c r="I481" s="69">
        <v>0.91679147944749539</v>
      </c>
      <c r="J481" s="5">
        <v>75</v>
      </c>
      <c r="K481" s="70">
        <v>1.2481278082875686E-2</v>
      </c>
      <c r="L481" s="5">
        <v>87</v>
      </c>
      <c r="M481" s="70">
        <v>1.5792339807587583E-2</v>
      </c>
      <c r="N481" s="72">
        <v>140</v>
      </c>
      <c r="O481" s="180">
        <f t="shared" si="33"/>
        <v>2.3298385754701281</v>
      </c>
      <c r="P481" s="72">
        <v>20</v>
      </c>
      <c r="Q481" s="73">
        <v>3.328340822100183E-3</v>
      </c>
      <c r="R481" s="10">
        <v>0</v>
      </c>
      <c r="S481" s="70">
        <v>0</v>
      </c>
      <c r="T481" s="5">
        <v>178</v>
      </c>
      <c r="U481" s="74">
        <v>2.9622233316691629E-2</v>
      </c>
      <c r="V481" s="75">
        <v>5.6248959893493093E-2</v>
      </c>
      <c r="W481" s="168" t="s">
        <v>2107</v>
      </c>
    </row>
    <row r="482" spans="1:23">
      <c r="A482" s="67" t="s">
        <v>1649</v>
      </c>
      <c r="B482" s="10" t="s">
        <v>1556</v>
      </c>
      <c r="C482" s="76" t="s">
        <v>29</v>
      </c>
      <c r="D482" s="10" t="s">
        <v>1550</v>
      </c>
      <c r="E482" s="10" t="s">
        <v>22</v>
      </c>
      <c r="F482" s="10">
        <v>6053</v>
      </c>
      <c r="G482" s="10" t="s">
        <v>1551</v>
      </c>
      <c r="H482" s="5">
        <v>5950</v>
      </c>
      <c r="I482" s="69">
        <v>0.98298364447381459</v>
      </c>
      <c r="J482" s="5">
        <v>0</v>
      </c>
      <c r="K482" s="70">
        <v>0</v>
      </c>
      <c r="L482" s="5">
        <v>0</v>
      </c>
      <c r="M482" s="70">
        <v>0</v>
      </c>
      <c r="N482" s="72">
        <v>0</v>
      </c>
      <c r="O482" s="180">
        <f t="shared" si="33"/>
        <v>0</v>
      </c>
      <c r="P482" s="72">
        <v>103</v>
      </c>
      <c r="Q482" s="73">
        <v>1.7016355526185363E-2</v>
      </c>
      <c r="R482" s="10">
        <v>0</v>
      </c>
      <c r="S482" s="70">
        <v>0</v>
      </c>
      <c r="T482" s="5">
        <v>0</v>
      </c>
      <c r="U482" s="74">
        <v>0</v>
      </c>
      <c r="V482" s="75">
        <v>1.7016355526185363E-2</v>
      </c>
      <c r="W482" s="168" t="s">
        <v>2104</v>
      </c>
    </row>
    <row r="483" spans="1:23">
      <c r="A483" s="67" t="s">
        <v>1649</v>
      </c>
      <c r="B483" s="10" t="s">
        <v>1530</v>
      </c>
      <c r="C483" s="76" t="s">
        <v>27</v>
      </c>
      <c r="D483" s="10" t="s">
        <v>1550</v>
      </c>
      <c r="E483" s="10" t="s">
        <v>22</v>
      </c>
      <c r="F483" s="10">
        <v>2754</v>
      </c>
      <c r="G483" s="10" t="s">
        <v>1535</v>
      </c>
      <c r="H483" s="5">
        <v>2700</v>
      </c>
      <c r="I483" s="69">
        <v>0.98039215686274506</v>
      </c>
      <c r="J483" s="5">
        <v>0</v>
      </c>
      <c r="K483" s="70">
        <v>0</v>
      </c>
      <c r="L483" s="5">
        <v>0</v>
      </c>
      <c r="M483" s="70">
        <v>0</v>
      </c>
      <c r="N483" s="72">
        <v>0</v>
      </c>
      <c r="O483" s="180">
        <f t="shared" si="33"/>
        <v>0</v>
      </c>
      <c r="P483" s="72">
        <v>54</v>
      </c>
      <c r="Q483" s="73">
        <v>1.9607843137254902E-2</v>
      </c>
      <c r="R483" s="10">
        <v>0</v>
      </c>
      <c r="S483" s="70">
        <v>0</v>
      </c>
      <c r="T483" s="5">
        <v>0</v>
      </c>
      <c r="U483" s="74">
        <v>0</v>
      </c>
      <c r="V483" s="75">
        <v>1.9607843137254902E-2</v>
      </c>
      <c r="W483" s="168" t="s">
        <v>2107</v>
      </c>
    </row>
    <row r="484" spans="1:23">
      <c r="A484" s="67" t="s">
        <v>1649</v>
      </c>
      <c r="B484" s="10" t="s">
        <v>1530</v>
      </c>
      <c r="C484" s="10" t="s">
        <v>31</v>
      </c>
      <c r="D484" s="10" t="s">
        <v>1536</v>
      </c>
      <c r="E484" s="10" t="s">
        <v>22</v>
      </c>
      <c r="F484" s="10">
        <v>3366</v>
      </c>
      <c r="G484" s="77" t="s">
        <v>1540</v>
      </c>
      <c r="H484" s="5">
        <v>1099</v>
      </c>
      <c r="I484" s="69">
        <v>0.3265002970885324</v>
      </c>
      <c r="J484" s="5">
        <v>196</v>
      </c>
      <c r="K484" s="70">
        <v>5.8229352346999406E-2</v>
      </c>
      <c r="L484" s="5">
        <v>1057</v>
      </c>
      <c r="M484" s="70">
        <v>0.96178343949044587</v>
      </c>
      <c r="N484" s="72">
        <v>306</v>
      </c>
      <c r="O484" s="180">
        <f t="shared" si="33"/>
        <v>9.0909090909090917</v>
      </c>
      <c r="P484" s="72">
        <v>149</v>
      </c>
      <c r="Q484" s="73">
        <v>4.4266191325014852E-2</v>
      </c>
      <c r="R484" s="5">
        <v>559</v>
      </c>
      <c r="S484" s="70">
        <v>0.16607248960190138</v>
      </c>
      <c r="T484" s="5">
        <v>0</v>
      </c>
      <c r="U484" s="74">
        <v>0</v>
      </c>
      <c r="V484" s="75">
        <v>0.30124777183600715</v>
      </c>
      <c r="W484" s="168" t="s">
        <v>1195</v>
      </c>
    </row>
    <row r="485" spans="1:23">
      <c r="A485" s="67" t="s">
        <v>1649</v>
      </c>
      <c r="B485" s="10" t="s">
        <v>1530</v>
      </c>
      <c r="C485" s="10" t="s">
        <v>24</v>
      </c>
      <c r="D485" s="10" t="s">
        <v>1536</v>
      </c>
      <c r="E485" s="10" t="s">
        <v>22</v>
      </c>
      <c r="F485" s="10">
        <v>1958</v>
      </c>
      <c r="G485" s="10" t="s">
        <v>1544</v>
      </c>
      <c r="H485" s="5">
        <v>1450</v>
      </c>
      <c r="I485" s="69">
        <v>0.74055158324821246</v>
      </c>
      <c r="J485" s="5">
        <v>172</v>
      </c>
      <c r="K485" s="70">
        <v>8.784473953013279E-2</v>
      </c>
      <c r="L485" s="5">
        <v>227</v>
      </c>
      <c r="M485" s="70">
        <v>0.15655172413793103</v>
      </c>
      <c r="N485" s="72">
        <v>59</v>
      </c>
      <c r="O485" s="180">
        <f t="shared" si="33"/>
        <v>3.0132788559754853</v>
      </c>
      <c r="P485" s="72">
        <v>32</v>
      </c>
      <c r="Q485" s="73">
        <v>1.634320735444331E-2</v>
      </c>
      <c r="R485" s="10">
        <v>0</v>
      </c>
      <c r="S485" s="70">
        <v>0</v>
      </c>
      <c r="T485" s="5">
        <v>18</v>
      </c>
      <c r="U485" s="74">
        <v>9.1930541368743617E-3</v>
      </c>
      <c r="V485" s="75">
        <v>5.5669050051072519E-2</v>
      </c>
      <c r="W485" s="168" t="s">
        <v>2104</v>
      </c>
    </row>
    <row r="486" spans="1:23">
      <c r="A486" s="67" t="s">
        <v>1649</v>
      </c>
      <c r="B486" s="10" t="s">
        <v>1538</v>
      </c>
      <c r="C486" s="10" t="s">
        <v>31</v>
      </c>
      <c r="D486" s="10" t="s">
        <v>1536</v>
      </c>
      <c r="E486" s="10" t="s">
        <v>22</v>
      </c>
      <c r="F486" s="10">
        <v>5028</v>
      </c>
      <c r="G486" s="77" t="s">
        <v>1540</v>
      </c>
      <c r="H486" s="5">
        <v>2519</v>
      </c>
      <c r="I486" s="69">
        <v>0.50099443118536202</v>
      </c>
      <c r="J486" s="5">
        <v>473</v>
      </c>
      <c r="K486" s="70">
        <v>9.4073190135242638E-2</v>
      </c>
      <c r="L486" s="5">
        <v>460</v>
      </c>
      <c r="M486" s="70">
        <v>0.18261214767764986</v>
      </c>
      <c r="N486" s="72">
        <v>1441</v>
      </c>
      <c r="O486" s="180">
        <f t="shared" si="33"/>
        <v>28.659506762132057</v>
      </c>
      <c r="P486" s="72">
        <v>0</v>
      </c>
      <c r="Q486" s="73">
        <v>0</v>
      </c>
      <c r="R486" s="10">
        <v>0</v>
      </c>
      <c r="S486" s="70">
        <v>0</v>
      </c>
      <c r="T486" s="5">
        <v>135</v>
      </c>
      <c r="U486" s="74">
        <v>2.6849642004773269E-2</v>
      </c>
      <c r="V486" s="75">
        <v>0.31344470962609383</v>
      </c>
      <c r="W486" s="168" t="s">
        <v>1195</v>
      </c>
    </row>
    <row r="487" spans="1:23">
      <c r="A487" s="67" t="s">
        <v>1649</v>
      </c>
      <c r="B487" s="10" t="s">
        <v>1538</v>
      </c>
      <c r="C487" s="10" t="s">
        <v>31</v>
      </c>
      <c r="D487" s="10" t="s">
        <v>1611</v>
      </c>
      <c r="E487" s="10" t="s">
        <v>1650</v>
      </c>
      <c r="F487" s="10">
        <v>4320</v>
      </c>
      <c r="G487" s="10" t="s">
        <v>1537</v>
      </c>
      <c r="H487" s="5">
        <v>3675</v>
      </c>
      <c r="I487" s="69">
        <v>0.85069444444444442</v>
      </c>
      <c r="J487" s="5">
        <v>540</v>
      </c>
      <c r="K487" s="70">
        <v>0.125</v>
      </c>
      <c r="L487" s="5">
        <v>0</v>
      </c>
      <c r="M487" s="70">
        <v>0</v>
      </c>
      <c r="N487" s="72">
        <v>62</v>
      </c>
      <c r="O487" s="180">
        <f t="shared" si="33"/>
        <v>1.4351851851851851</v>
      </c>
      <c r="P487" s="72">
        <v>43</v>
      </c>
      <c r="Q487" s="73">
        <v>9.9537037037037042E-3</v>
      </c>
      <c r="R487" s="10">
        <v>0</v>
      </c>
      <c r="S487" s="70">
        <v>0</v>
      </c>
      <c r="T487" s="5">
        <v>0</v>
      </c>
      <c r="U487" s="74">
        <v>0</v>
      </c>
      <c r="V487" s="75">
        <v>2.4305555555555556E-2</v>
      </c>
      <c r="W487" s="168" t="s">
        <v>1195</v>
      </c>
    </row>
    <row r="488" spans="1:23">
      <c r="A488" s="67" t="s">
        <v>1651</v>
      </c>
      <c r="B488" s="10" t="s">
        <v>1530</v>
      </c>
      <c r="C488" s="10" t="s">
        <v>31</v>
      </c>
      <c r="D488" s="10" t="s">
        <v>1536</v>
      </c>
      <c r="E488" s="5" t="s">
        <v>1650</v>
      </c>
      <c r="F488" s="10">
        <v>9270</v>
      </c>
      <c r="G488" s="10" t="s">
        <v>1537</v>
      </c>
      <c r="H488" s="5">
        <v>7984</v>
      </c>
      <c r="I488" s="69">
        <v>0.86127292340884576</v>
      </c>
      <c r="J488" s="5">
        <v>1298</v>
      </c>
      <c r="K488" s="70">
        <v>0.14002157497303128</v>
      </c>
      <c r="L488" s="5">
        <v>81</v>
      </c>
      <c r="M488" s="70">
        <v>1.0145290581162324E-2</v>
      </c>
      <c r="N488" s="78">
        <v>195</v>
      </c>
      <c r="O488" s="180">
        <f t="shared" si="33"/>
        <v>2.1035598705501619</v>
      </c>
      <c r="P488" s="78">
        <v>0</v>
      </c>
      <c r="Q488" s="73">
        <v>0</v>
      </c>
      <c r="R488" s="5">
        <v>0</v>
      </c>
      <c r="S488" s="70">
        <v>0</v>
      </c>
      <c r="T488" s="5">
        <v>48</v>
      </c>
      <c r="U488" s="74">
        <v>5.1779935275080907E-3</v>
      </c>
      <c r="V488" s="75">
        <v>2.621359223300971E-2</v>
      </c>
      <c r="W488" s="168" t="s">
        <v>1195</v>
      </c>
    </row>
    <row r="489" spans="1:23">
      <c r="A489" s="67" t="s">
        <v>1652</v>
      </c>
      <c r="B489" s="10" t="s">
        <v>1530</v>
      </c>
      <c r="C489" s="10" t="s">
        <v>24</v>
      </c>
      <c r="D489" s="10" t="s">
        <v>1536</v>
      </c>
      <c r="E489" s="10" t="s">
        <v>22</v>
      </c>
      <c r="F489" s="10">
        <v>2192</v>
      </c>
      <c r="G489" s="10" t="s">
        <v>1544</v>
      </c>
      <c r="H489" s="5">
        <v>1345</v>
      </c>
      <c r="I489" s="69">
        <v>0.61359489051094895</v>
      </c>
      <c r="J489" s="5">
        <v>314</v>
      </c>
      <c r="K489" s="70">
        <v>0.14324817518248176</v>
      </c>
      <c r="L489" s="5">
        <v>209</v>
      </c>
      <c r="M489" s="70">
        <v>0.15539033457249071</v>
      </c>
      <c r="N489" s="72">
        <v>48</v>
      </c>
      <c r="O489" s="180">
        <f t="shared" si="33"/>
        <v>2.1897810218978102</v>
      </c>
      <c r="P489" s="72">
        <v>258</v>
      </c>
      <c r="Q489" s="73">
        <v>0.11770072992700729</v>
      </c>
      <c r="R489" s="10">
        <v>0</v>
      </c>
      <c r="S489" s="70">
        <v>0</v>
      </c>
      <c r="T489" s="10">
        <v>18</v>
      </c>
      <c r="U489" s="74">
        <v>8.2116788321167887E-3</v>
      </c>
      <c r="V489" s="75">
        <v>0.14781021897810218</v>
      </c>
      <c r="W489" s="168" t="s">
        <v>2104</v>
      </c>
    </row>
    <row r="490" spans="1:23">
      <c r="A490" s="67" t="s">
        <v>1652</v>
      </c>
      <c r="B490" s="10" t="s">
        <v>1530</v>
      </c>
      <c r="C490" s="10" t="s">
        <v>31</v>
      </c>
      <c r="D490" s="10" t="s">
        <v>1536</v>
      </c>
      <c r="E490" s="10" t="s">
        <v>22</v>
      </c>
      <c r="F490" s="10">
        <v>5831</v>
      </c>
      <c r="G490" s="77" t="s">
        <v>1540</v>
      </c>
      <c r="H490" s="5">
        <v>2110</v>
      </c>
      <c r="I490" s="69">
        <v>0.3618590293260161</v>
      </c>
      <c r="J490" s="5">
        <v>136</v>
      </c>
      <c r="K490" s="70">
        <v>2.3323615160349854E-2</v>
      </c>
      <c r="L490" s="5">
        <v>1428</v>
      </c>
      <c r="M490" s="70">
        <v>0.67677725118483412</v>
      </c>
      <c r="N490" s="72">
        <v>614</v>
      </c>
      <c r="O490" s="180">
        <f t="shared" si="33"/>
        <v>10.529926256216772</v>
      </c>
      <c r="P490" s="72">
        <v>259</v>
      </c>
      <c r="Q490" s="73">
        <v>4.441776710684274E-2</v>
      </c>
      <c r="R490" s="5">
        <v>1284</v>
      </c>
      <c r="S490" s="70">
        <v>0.22020236666095008</v>
      </c>
      <c r="T490" s="10">
        <v>0</v>
      </c>
      <c r="U490" s="74">
        <v>0</v>
      </c>
      <c r="V490" s="75">
        <v>0.36991939632996051</v>
      </c>
      <c r="W490" s="168" t="s">
        <v>1195</v>
      </c>
    </row>
    <row r="491" spans="1:23">
      <c r="A491" s="67" t="s">
        <v>1652</v>
      </c>
      <c r="B491" s="10" t="s">
        <v>1530</v>
      </c>
      <c r="C491" s="76" t="s">
        <v>29</v>
      </c>
      <c r="D491" s="10" t="s">
        <v>1534</v>
      </c>
      <c r="E491" s="10" t="s">
        <v>22</v>
      </c>
      <c r="F491" s="10">
        <v>5650</v>
      </c>
      <c r="G491" s="10" t="s">
        <v>1551</v>
      </c>
      <c r="H491" s="5">
        <v>4840</v>
      </c>
      <c r="I491" s="69">
        <v>0.85663716814159296</v>
      </c>
      <c r="J491" s="5">
        <v>153</v>
      </c>
      <c r="K491" s="70">
        <v>2.7079646017699115E-2</v>
      </c>
      <c r="L491" s="5">
        <v>293</v>
      </c>
      <c r="M491" s="70">
        <v>6.0537190082644625E-2</v>
      </c>
      <c r="N491" s="72">
        <v>95</v>
      </c>
      <c r="O491" s="180">
        <f t="shared" si="33"/>
        <v>1.6814159292035398</v>
      </c>
      <c r="P491" s="72">
        <v>7</v>
      </c>
      <c r="Q491" s="73">
        <v>1.2389380530973451E-3</v>
      </c>
      <c r="R491" s="10">
        <v>0</v>
      </c>
      <c r="S491" s="70">
        <v>0</v>
      </c>
      <c r="T491" s="5">
        <v>262</v>
      </c>
      <c r="U491" s="74">
        <v>4.6371681415929206E-2</v>
      </c>
      <c r="V491" s="75">
        <v>6.4424778761061952E-2</v>
      </c>
      <c r="W491" s="168" t="s">
        <v>2107</v>
      </c>
    </row>
    <row r="492" spans="1:23">
      <c r="A492" s="67" t="s">
        <v>1652</v>
      </c>
      <c r="B492" s="10" t="s">
        <v>1538</v>
      </c>
      <c r="C492" s="177" t="s">
        <v>29</v>
      </c>
      <c r="D492" s="10" t="s">
        <v>1536</v>
      </c>
      <c r="E492" s="10" t="s">
        <v>22</v>
      </c>
      <c r="F492" s="10">
        <v>4949</v>
      </c>
      <c r="G492" s="10" t="s">
        <v>1551</v>
      </c>
      <c r="H492" s="5">
        <v>2560</v>
      </c>
      <c r="I492" s="69">
        <v>0.51727621741766017</v>
      </c>
      <c r="J492" s="5">
        <v>1292</v>
      </c>
      <c r="K492" s="70">
        <v>0.26106284097797533</v>
      </c>
      <c r="L492" s="5">
        <v>806</v>
      </c>
      <c r="M492" s="70">
        <v>0.31484374999999998</v>
      </c>
      <c r="N492" s="72">
        <v>200</v>
      </c>
      <c r="O492" s="180">
        <f t="shared" si="33"/>
        <v>4.0412204485754701</v>
      </c>
      <c r="P492" s="72">
        <v>0</v>
      </c>
      <c r="Q492" s="73">
        <v>0</v>
      </c>
      <c r="R492" s="5">
        <v>0</v>
      </c>
      <c r="S492" s="70">
        <v>0</v>
      </c>
      <c r="T492" s="5">
        <v>91</v>
      </c>
      <c r="U492" s="74">
        <v>1.8387553041018388E-2</v>
      </c>
      <c r="V492" s="75">
        <v>5.8799757526773092E-2</v>
      </c>
      <c r="W492" s="168" t="s">
        <v>1195</v>
      </c>
    </row>
    <row r="493" spans="1:23">
      <c r="A493" s="67" t="s">
        <v>1652</v>
      </c>
      <c r="B493" s="10" t="s">
        <v>1538</v>
      </c>
      <c r="C493" s="177" t="s">
        <v>29</v>
      </c>
      <c r="D493" s="10" t="s">
        <v>1536</v>
      </c>
      <c r="E493" s="10" t="s">
        <v>1650</v>
      </c>
      <c r="F493" s="10">
        <v>2040</v>
      </c>
      <c r="G493" s="10" t="s">
        <v>1551</v>
      </c>
      <c r="H493" s="5">
        <v>628</v>
      </c>
      <c r="I493" s="69">
        <v>0.30784313725490198</v>
      </c>
      <c r="J493" s="5">
        <v>876</v>
      </c>
      <c r="K493" s="70">
        <v>0.42941176470588233</v>
      </c>
      <c r="L493" s="5">
        <v>309</v>
      </c>
      <c r="M493" s="70">
        <v>0.49203821656050956</v>
      </c>
      <c r="N493" s="72">
        <v>195</v>
      </c>
      <c r="O493" s="180">
        <f t="shared" si="33"/>
        <v>9.5588235294117645</v>
      </c>
      <c r="P493" s="72">
        <v>0</v>
      </c>
      <c r="Q493" s="73">
        <v>0</v>
      </c>
      <c r="R493" s="10">
        <v>0</v>
      </c>
      <c r="S493" s="70">
        <v>0</v>
      </c>
      <c r="T493" s="5">
        <v>32</v>
      </c>
      <c r="U493" s="74">
        <v>1.5686274509803921E-2</v>
      </c>
      <c r="V493" s="75">
        <v>0.11127450980392156</v>
      </c>
      <c r="W493" s="168" t="s">
        <v>1195</v>
      </c>
    </row>
    <row r="494" spans="1:23">
      <c r="A494" s="67" t="s">
        <v>1653</v>
      </c>
      <c r="B494" s="10" t="s">
        <v>1556</v>
      </c>
      <c r="C494" s="10" t="s">
        <v>24</v>
      </c>
      <c r="D494" s="10" t="s">
        <v>1611</v>
      </c>
      <c r="E494" s="10" t="s">
        <v>22</v>
      </c>
      <c r="F494" s="10">
        <v>8360</v>
      </c>
      <c r="G494" s="10" t="s">
        <v>1544</v>
      </c>
      <c r="H494" s="5">
        <v>8100</v>
      </c>
      <c r="I494" s="69">
        <v>0.96889952153110048</v>
      </c>
      <c r="J494" s="5">
        <v>0</v>
      </c>
      <c r="K494" s="70">
        <v>0</v>
      </c>
      <c r="L494" s="5">
        <v>0</v>
      </c>
      <c r="M494" s="70">
        <v>0</v>
      </c>
      <c r="N494" s="72">
        <v>27</v>
      </c>
      <c r="O494" s="180">
        <f t="shared" si="33"/>
        <v>0.32296650717703351</v>
      </c>
      <c r="P494" s="72">
        <v>233</v>
      </c>
      <c r="Q494" s="73">
        <v>2.7870813397129185E-2</v>
      </c>
      <c r="R494" s="10">
        <v>0</v>
      </c>
      <c r="S494" s="70">
        <v>0</v>
      </c>
      <c r="T494" s="5">
        <v>0</v>
      </c>
      <c r="U494" s="74">
        <v>0</v>
      </c>
      <c r="V494" s="75">
        <v>3.1100478468899521E-2</v>
      </c>
      <c r="W494" s="168" t="s">
        <v>2104</v>
      </c>
    </row>
    <row r="495" spans="1:23">
      <c r="A495" s="67" t="s">
        <v>1653</v>
      </c>
      <c r="B495" s="10" t="s">
        <v>1530</v>
      </c>
      <c r="C495" s="10" t="s">
        <v>31</v>
      </c>
      <c r="D495" s="10" t="s">
        <v>1536</v>
      </c>
      <c r="E495" s="10" t="s">
        <v>22</v>
      </c>
      <c r="F495" s="10">
        <v>4950</v>
      </c>
      <c r="G495" s="77" t="s">
        <v>1540</v>
      </c>
      <c r="H495" s="5">
        <v>1214</v>
      </c>
      <c r="I495" s="69">
        <v>0.24525252525252525</v>
      </c>
      <c r="J495" s="5">
        <v>135</v>
      </c>
      <c r="K495" s="70">
        <v>2.7272727272727271E-2</v>
      </c>
      <c r="L495" s="5">
        <v>1882</v>
      </c>
      <c r="M495" s="70">
        <v>0.38020202020202021</v>
      </c>
      <c r="N495" s="72">
        <v>345</v>
      </c>
      <c r="O495" s="180">
        <f t="shared" si="33"/>
        <v>6.9696969696969706</v>
      </c>
      <c r="P495" s="72">
        <v>246</v>
      </c>
      <c r="Q495" s="73">
        <v>4.9696969696969698E-2</v>
      </c>
      <c r="R495" s="10">
        <v>1128</v>
      </c>
      <c r="S495" s="70">
        <v>0.22787878787878788</v>
      </c>
      <c r="T495" s="5">
        <v>0</v>
      </c>
      <c r="U495" s="74">
        <v>0</v>
      </c>
      <c r="V495" s="75">
        <v>0.34727272727272729</v>
      </c>
      <c r="W495" s="168" t="s">
        <v>1195</v>
      </c>
    </row>
    <row r="496" spans="1:23">
      <c r="A496" s="67" t="s">
        <v>1653</v>
      </c>
      <c r="B496" s="10" t="s">
        <v>1530</v>
      </c>
      <c r="C496" s="76" t="s">
        <v>29</v>
      </c>
      <c r="D496" s="10" t="s">
        <v>1536</v>
      </c>
      <c r="E496" s="10" t="s">
        <v>22</v>
      </c>
      <c r="F496" s="10">
        <v>2169</v>
      </c>
      <c r="G496" s="10" t="s">
        <v>1551</v>
      </c>
      <c r="H496" s="5">
        <v>1683</v>
      </c>
      <c r="I496" s="69">
        <v>0.77593360995850624</v>
      </c>
      <c r="J496" s="5">
        <v>17</v>
      </c>
      <c r="K496" s="70">
        <v>7.8377132319041032E-3</v>
      </c>
      <c r="L496" s="5">
        <v>60</v>
      </c>
      <c r="M496" s="70">
        <v>2.7662517289073305E-2</v>
      </c>
      <c r="N496" s="72">
        <v>157</v>
      </c>
      <c r="O496" s="180">
        <f t="shared" si="33"/>
        <v>7.2383586906408492</v>
      </c>
      <c r="P496" s="72">
        <v>18</v>
      </c>
      <c r="Q496" s="73">
        <v>8.2987551867219917E-3</v>
      </c>
      <c r="R496" s="10">
        <v>0</v>
      </c>
      <c r="S496" s="70">
        <v>0</v>
      </c>
      <c r="T496" s="5">
        <v>234</v>
      </c>
      <c r="U496" s="74">
        <v>0.1078838174273859</v>
      </c>
      <c r="V496" s="75">
        <v>0.18856615952051636</v>
      </c>
      <c r="W496" s="168" t="s">
        <v>2107</v>
      </c>
    </row>
    <row r="497" spans="1:23">
      <c r="A497" s="67" t="s">
        <v>1653</v>
      </c>
      <c r="B497" s="10" t="s">
        <v>1530</v>
      </c>
      <c r="C497" s="76" t="s">
        <v>29</v>
      </c>
      <c r="D497" s="10" t="s">
        <v>1534</v>
      </c>
      <c r="E497" s="10" t="s">
        <v>22</v>
      </c>
      <c r="F497" s="10">
        <v>3614</v>
      </c>
      <c r="G497" s="10" t="s">
        <v>1551</v>
      </c>
      <c r="H497" s="5">
        <v>3254</v>
      </c>
      <c r="I497" s="69">
        <v>0.90038738240177085</v>
      </c>
      <c r="J497" s="5">
        <v>82</v>
      </c>
      <c r="K497" s="70">
        <v>2.2689540675152185E-2</v>
      </c>
      <c r="L497" s="5">
        <v>36</v>
      </c>
      <c r="M497" s="70">
        <v>9.9612617598229102E-3</v>
      </c>
      <c r="N497" s="72">
        <v>85</v>
      </c>
      <c r="O497" s="180">
        <f t="shared" si="33"/>
        <v>2.3519645821804094</v>
      </c>
      <c r="P497" s="72">
        <v>16</v>
      </c>
      <c r="Q497" s="73">
        <v>4.4272274488101823E-3</v>
      </c>
      <c r="R497" s="10">
        <v>0</v>
      </c>
      <c r="S497" s="70">
        <v>0</v>
      </c>
      <c r="T497" s="5">
        <v>141</v>
      </c>
      <c r="U497" s="74">
        <v>3.9014941892639737E-2</v>
      </c>
      <c r="V497" s="75">
        <v>6.6961815163254015E-2</v>
      </c>
      <c r="W497" s="168" t="s">
        <v>2107</v>
      </c>
    </row>
    <row r="498" spans="1:23">
      <c r="A498" s="67" t="s">
        <v>1653</v>
      </c>
      <c r="B498" s="10" t="s">
        <v>1538</v>
      </c>
      <c r="C498" s="177" t="s">
        <v>29</v>
      </c>
      <c r="D498" s="10" t="s">
        <v>1536</v>
      </c>
      <c r="E498" s="10" t="s">
        <v>22</v>
      </c>
      <c r="F498" s="10">
        <v>6915</v>
      </c>
      <c r="G498" s="10" t="s">
        <v>1551</v>
      </c>
      <c r="H498" s="5">
        <v>2264</v>
      </c>
      <c r="I498" s="69">
        <v>0.32740419378163416</v>
      </c>
      <c r="J498" s="5">
        <v>1954</v>
      </c>
      <c r="K498" s="70">
        <v>0.28257411424439621</v>
      </c>
      <c r="L498" s="5">
        <v>1840</v>
      </c>
      <c r="M498" s="70">
        <v>0.26608821402747651</v>
      </c>
      <c r="N498" s="72">
        <v>737</v>
      </c>
      <c r="O498" s="180">
        <f t="shared" si="33"/>
        <v>10.657989877078816</v>
      </c>
      <c r="P498" s="72">
        <v>0</v>
      </c>
      <c r="Q498" s="73">
        <v>0</v>
      </c>
      <c r="R498" s="10">
        <v>0</v>
      </c>
      <c r="S498" s="70">
        <v>0</v>
      </c>
      <c r="T498" s="5">
        <v>120</v>
      </c>
      <c r="U498" s="74">
        <v>1.735357917570499E-2</v>
      </c>
      <c r="V498" s="75">
        <v>0.12393347794649313</v>
      </c>
      <c r="W498" s="168" t="s">
        <v>1195</v>
      </c>
    </row>
    <row r="499" spans="1:23">
      <c r="A499" s="67" t="s">
        <v>1653</v>
      </c>
      <c r="B499" s="10" t="s">
        <v>1538</v>
      </c>
      <c r="C499" s="177" t="s">
        <v>29</v>
      </c>
      <c r="D499" s="10" t="s">
        <v>1536</v>
      </c>
      <c r="E499" s="10" t="s">
        <v>1650</v>
      </c>
      <c r="F499" s="10">
        <v>510</v>
      </c>
      <c r="G499" s="10" t="s">
        <v>1551</v>
      </c>
      <c r="H499" s="5">
        <v>490</v>
      </c>
      <c r="I499" s="69">
        <v>0.96078431372549022</v>
      </c>
      <c r="J499" s="5">
        <v>0</v>
      </c>
      <c r="K499" s="70">
        <v>0</v>
      </c>
      <c r="L499" s="5">
        <v>0</v>
      </c>
      <c r="M499" s="70">
        <v>0</v>
      </c>
      <c r="N499" s="72">
        <v>20</v>
      </c>
      <c r="O499" s="180">
        <f t="shared" si="33"/>
        <v>3.9215686274509802</v>
      </c>
      <c r="P499" s="72">
        <v>0</v>
      </c>
      <c r="Q499" s="73">
        <v>0</v>
      </c>
      <c r="R499" s="10">
        <v>0</v>
      </c>
      <c r="S499" s="70">
        <v>0</v>
      </c>
      <c r="T499" s="5">
        <v>0</v>
      </c>
      <c r="U499" s="74">
        <v>0</v>
      </c>
      <c r="V499" s="75">
        <v>3.9215686274509803E-2</v>
      </c>
      <c r="W499" s="168" t="s">
        <v>1195</v>
      </c>
    </row>
    <row r="500" spans="1:23">
      <c r="A500" s="67" t="s">
        <v>1654</v>
      </c>
      <c r="B500" s="10" t="s">
        <v>1530</v>
      </c>
      <c r="C500" s="10" t="s">
        <v>31</v>
      </c>
      <c r="D500" s="10" t="s">
        <v>1536</v>
      </c>
      <c r="E500" s="10" t="s">
        <v>22</v>
      </c>
      <c r="F500" s="10">
        <v>4131</v>
      </c>
      <c r="G500" s="77" t="s">
        <v>1540</v>
      </c>
      <c r="H500" s="5">
        <v>1015</v>
      </c>
      <c r="I500" s="69">
        <v>0.2457032195594287</v>
      </c>
      <c r="J500" s="5">
        <v>126</v>
      </c>
      <c r="K500" s="70">
        <v>3.0501089324618737E-2</v>
      </c>
      <c r="L500" s="5">
        <v>1892</v>
      </c>
      <c r="M500" s="70">
        <v>0.45800048414427497</v>
      </c>
      <c r="N500" s="72">
        <v>450</v>
      </c>
      <c r="O500" s="180">
        <f t="shared" si="33"/>
        <v>10.893246187363834</v>
      </c>
      <c r="P500" s="72">
        <v>233</v>
      </c>
      <c r="Q500" s="73">
        <v>5.6402808036794962E-2</v>
      </c>
      <c r="R500" s="5">
        <v>415</v>
      </c>
      <c r="S500" s="70">
        <v>0.10045993706124424</v>
      </c>
      <c r="T500" s="5">
        <v>0</v>
      </c>
      <c r="U500" s="74">
        <v>0</v>
      </c>
      <c r="V500" s="75">
        <v>0.26579520697167758</v>
      </c>
      <c r="W500" s="168" t="s">
        <v>1195</v>
      </c>
    </row>
    <row r="501" spans="1:23">
      <c r="A501" s="67" t="s">
        <v>1654</v>
      </c>
      <c r="B501" s="10" t="s">
        <v>1530</v>
      </c>
      <c r="C501" s="76" t="s">
        <v>29</v>
      </c>
      <c r="D501" s="10" t="s">
        <v>1536</v>
      </c>
      <c r="E501" s="10" t="s">
        <v>22</v>
      </c>
      <c r="F501" s="10">
        <v>3354</v>
      </c>
      <c r="G501" s="10" t="s">
        <v>1551</v>
      </c>
      <c r="H501" s="5">
        <v>2425</v>
      </c>
      <c r="I501" s="69">
        <v>0.7230172927847347</v>
      </c>
      <c r="J501" s="5">
        <v>17</v>
      </c>
      <c r="K501" s="70">
        <v>5.0685748360166961E-3</v>
      </c>
      <c r="L501" s="5">
        <v>122</v>
      </c>
      <c r="M501" s="70">
        <v>3.6374478234943351E-2</v>
      </c>
      <c r="N501" s="72">
        <v>408</v>
      </c>
      <c r="O501" s="180">
        <f t="shared" si="33"/>
        <v>12.164579606440071</v>
      </c>
      <c r="P501" s="72">
        <v>95</v>
      </c>
      <c r="Q501" s="73">
        <v>2.8324388789505068E-2</v>
      </c>
      <c r="R501" s="10">
        <v>0</v>
      </c>
      <c r="S501" s="70">
        <v>0</v>
      </c>
      <c r="T501" s="5">
        <v>287</v>
      </c>
      <c r="U501" s="74">
        <v>8.5569469290399519E-2</v>
      </c>
      <c r="V501" s="75">
        <v>0.2355396541443053</v>
      </c>
      <c r="W501" s="168" t="s">
        <v>2107</v>
      </c>
    </row>
    <row r="502" spans="1:23">
      <c r="A502" s="67" t="s">
        <v>1654</v>
      </c>
      <c r="B502" s="10" t="s">
        <v>1530</v>
      </c>
      <c r="C502" s="76" t="s">
        <v>29</v>
      </c>
      <c r="D502" s="10" t="s">
        <v>1534</v>
      </c>
      <c r="E502" s="10" t="s">
        <v>22</v>
      </c>
      <c r="F502" s="10">
        <v>7203</v>
      </c>
      <c r="G502" s="10" t="s">
        <v>1545</v>
      </c>
      <c r="H502" s="5">
        <v>6398</v>
      </c>
      <c r="I502" s="69">
        <v>0.88824101068999028</v>
      </c>
      <c r="J502" s="5">
        <v>276</v>
      </c>
      <c r="K502" s="70">
        <v>3.8317367763431906E-2</v>
      </c>
      <c r="L502" s="5">
        <v>29</v>
      </c>
      <c r="M502" s="70">
        <v>4.0261002360127722E-3</v>
      </c>
      <c r="N502" s="72">
        <v>95</v>
      </c>
      <c r="O502" s="180">
        <f t="shared" si="33"/>
        <v>1.3188949049007357</v>
      </c>
      <c r="P502" s="72">
        <v>33</v>
      </c>
      <c r="Q502" s="73">
        <v>4.581424406497293E-3</v>
      </c>
      <c r="R502" s="5">
        <v>70</v>
      </c>
      <c r="S502" s="70">
        <v>9.7181729834791061E-3</v>
      </c>
      <c r="T502" s="5">
        <v>302</v>
      </c>
      <c r="U502" s="74">
        <v>4.1926974871581285E-2</v>
      </c>
      <c r="V502" s="75">
        <v>6.941552131056504E-2</v>
      </c>
      <c r="W502" s="168" t="s">
        <v>2107</v>
      </c>
    </row>
    <row r="503" spans="1:23">
      <c r="A503" s="67" t="s">
        <v>1654</v>
      </c>
      <c r="B503" s="10" t="s">
        <v>1556</v>
      </c>
      <c r="C503" s="10" t="s">
        <v>24</v>
      </c>
      <c r="D503" s="10" t="s">
        <v>1611</v>
      </c>
      <c r="E503" s="10" t="s">
        <v>22</v>
      </c>
      <c r="F503" s="10">
        <v>9485</v>
      </c>
      <c r="G503" s="10" t="s">
        <v>1544</v>
      </c>
      <c r="H503" s="5">
        <v>9180</v>
      </c>
      <c r="I503" s="69">
        <v>0.96784396415392726</v>
      </c>
      <c r="J503" s="5">
        <v>0</v>
      </c>
      <c r="K503" s="70">
        <v>0</v>
      </c>
      <c r="L503" s="5">
        <v>0</v>
      </c>
      <c r="M503" s="70">
        <v>0</v>
      </c>
      <c r="N503" s="72">
        <v>29</v>
      </c>
      <c r="O503" s="180">
        <f t="shared" si="33"/>
        <v>0.30574591460200318</v>
      </c>
      <c r="P503" s="72">
        <v>276</v>
      </c>
      <c r="Q503" s="73">
        <v>2.9098576700052715E-2</v>
      </c>
      <c r="R503" s="10">
        <v>0</v>
      </c>
      <c r="S503" s="70">
        <v>0</v>
      </c>
      <c r="T503" s="5">
        <v>0</v>
      </c>
      <c r="U503" s="74">
        <v>0</v>
      </c>
      <c r="V503" s="75">
        <v>3.2156035846072746E-2</v>
      </c>
      <c r="W503" s="168" t="s">
        <v>2104</v>
      </c>
    </row>
    <row r="504" spans="1:23">
      <c r="A504" s="67" t="s">
        <v>1654</v>
      </c>
      <c r="B504" s="10" t="s">
        <v>1530</v>
      </c>
      <c r="C504" s="76" t="s">
        <v>29</v>
      </c>
      <c r="D504" s="10" t="s">
        <v>1611</v>
      </c>
      <c r="E504" s="10" t="s">
        <v>22</v>
      </c>
      <c r="F504" s="10">
        <v>1464</v>
      </c>
      <c r="G504" s="10" t="s">
        <v>1545</v>
      </c>
      <c r="H504" s="5">
        <v>1440</v>
      </c>
      <c r="I504" s="69">
        <v>0.98360655737704916</v>
      </c>
      <c r="J504" s="5">
        <v>0</v>
      </c>
      <c r="K504" s="70">
        <v>0</v>
      </c>
      <c r="L504" s="5">
        <v>0</v>
      </c>
      <c r="M504" s="70">
        <v>0</v>
      </c>
      <c r="N504" s="72">
        <v>8</v>
      </c>
      <c r="O504" s="180">
        <f t="shared" si="33"/>
        <v>0.54644808743169404</v>
      </c>
      <c r="P504" s="72">
        <v>16</v>
      </c>
      <c r="Q504" s="73">
        <v>1.092896174863388E-2</v>
      </c>
      <c r="R504" s="5">
        <v>0</v>
      </c>
      <c r="S504" s="70">
        <v>0</v>
      </c>
      <c r="T504" s="5">
        <v>0</v>
      </c>
      <c r="U504" s="74">
        <v>0</v>
      </c>
      <c r="V504" s="75">
        <v>1.6393442622950821E-2</v>
      </c>
      <c r="W504" s="168" t="s">
        <v>2107</v>
      </c>
    </row>
    <row r="505" spans="1:23">
      <c r="A505" s="67" t="s">
        <v>1654</v>
      </c>
      <c r="B505" s="10" t="s">
        <v>1538</v>
      </c>
      <c r="C505" s="10" t="s">
        <v>31</v>
      </c>
      <c r="D505" s="10" t="s">
        <v>1536</v>
      </c>
      <c r="E505" s="10" t="s">
        <v>22</v>
      </c>
      <c r="F505" s="10">
        <v>5392</v>
      </c>
      <c r="G505" s="77" t="s">
        <v>1540</v>
      </c>
      <c r="H505" s="5">
        <v>3080</v>
      </c>
      <c r="I505" s="69">
        <v>0.57121661721068251</v>
      </c>
      <c r="J505" s="5">
        <v>711</v>
      </c>
      <c r="K505" s="70">
        <v>0.1318620178041543</v>
      </c>
      <c r="L505" s="5">
        <v>779</v>
      </c>
      <c r="M505" s="70">
        <v>0.14447329376854601</v>
      </c>
      <c r="N505" s="72">
        <v>764</v>
      </c>
      <c r="O505" s="180">
        <f t="shared" si="33"/>
        <v>14.169139465875372</v>
      </c>
      <c r="P505" s="72">
        <v>0</v>
      </c>
      <c r="Q505" s="73">
        <v>0</v>
      </c>
      <c r="R505" s="10">
        <v>0</v>
      </c>
      <c r="S505" s="70">
        <v>0</v>
      </c>
      <c r="T505" s="5">
        <v>58</v>
      </c>
      <c r="U505" s="74">
        <v>1.0756676557863502E-2</v>
      </c>
      <c r="V505" s="75">
        <v>0.15244807121661721</v>
      </c>
      <c r="W505" s="168" t="s">
        <v>1195</v>
      </c>
    </row>
    <row r="506" spans="1:23">
      <c r="A506" s="67" t="s">
        <v>1655</v>
      </c>
      <c r="B506" s="10" t="s">
        <v>1530</v>
      </c>
      <c r="C506" s="76" t="s">
        <v>29</v>
      </c>
      <c r="D506" s="10" t="s">
        <v>1536</v>
      </c>
      <c r="E506" s="10" t="s">
        <v>22</v>
      </c>
      <c r="F506" s="10">
        <v>6506</v>
      </c>
      <c r="G506" s="10" t="s">
        <v>1551</v>
      </c>
      <c r="H506" s="5">
        <v>4024</v>
      </c>
      <c r="I506" s="69">
        <v>0.61850599446664623</v>
      </c>
      <c r="J506" s="10">
        <v>8</v>
      </c>
      <c r="K506" s="70">
        <v>1.2296341838303104E-3</v>
      </c>
      <c r="L506" s="5">
        <v>42</v>
      </c>
      <c r="M506" s="70">
        <v>6.4555794651091304E-3</v>
      </c>
      <c r="N506" s="72">
        <v>1417</v>
      </c>
      <c r="O506" s="180">
        <f t="shared" si="33"/>
        <v>21.779895481094375</v>
      </c>
      <c r="P506" s="72">
        <v>298</v>
      </c>
      <c r="Q506" s="73">
        <v>4.5803873347679068E-2</v>
      </c>
      <c r="R506" s="10">
        <v>0</v>
      </c>
      <c r="S506" s="70">
        <v>0</v>
      </c>
      <c r="T506" s="5">
        <v>717</v>
      </c>
      <c r="U506" s="74">
        <v>0.11020596372579158</v>
      </c>
      <c r="V506" s="75">
        <v>0.3738087918844144</v>
      </c>
      <c r="W506" s="168" t="s">
        <v>2107</v>
      </c>
    </row>
    <row r="507" spans="1:23">
      <c r="A507" s="67" t="s">
        <v>1655</v>
      </c>
      <c r="B507" s="10" t="s">
        <v>1530</v>
      </c>
      <c r="C507" s="10" t="s">
        <v>31</v>
      </c>
      <c r="D507" s="10" t="s">
        <v>1536</v>
      </c>
      <c r="E507" s="10" t="s">
        <v>22</v>
      </c>
      <c r="F507" s="10">
        <v>4131</v>
      </c>
      <c r="G507" s="77" t="s">
        <v>1540</v>
      </c>
      <c r="H507" s="5">
        <v>814</v>
      </c>
      <c r="I507" s="69">
        <v>0.19704671992253692</v>
      </c>
      <c r="J507" s="10">
        <v>88</v>
      </c>
      <c r="K507" s="70">
        <v>2.130234809973372E-2</v>
      </c>
      <c r="L507" s="5">
        <v>2088</v>
      </c>
      <c r="M507" s="70">
        <v>0.50544662309368193</v>
      </c>
      <c r="N507" s="72">
        <v>432</v>
      </c>
      <c r="O507" s="180">
        <f t="shared" si="33"/>
        <v>10.457516339869281</v>
      </c>
      <c r="P507" s="72">
        <v>282</v>
      </c>
      <c r="Q507" s="73">
        <v>6.8264342774146697E-2</v>
      </c>
      <c r="R507" s="5">
        <v>427</v>
      </c>
      <c r="S507" s="70">
        <v>0.10336480271120795</v>
      </c>
      <c r="T507" s="5">
        <v>0</v>
      </c>
      <c r="U507" s="74">
        <v>0</v>
      </c>
      <c r="V507" s="75">
        <v>0.27620430888404746</v>
      </c>
      <c r="W507" s="168" t="s">
        <v>1195</v>
      </c>
    </row>
    <row r="508" spans="1:23">
      <c r="A508" s="67" t="s">
        <v>1655</v>
      </c>
      <c r="B508" s="10" t="s">
        <v>1530</v>
      </c>
      <c r="C508" s="76" t="s">
        <v>29</v>
      </c>
      <c r="D508" s="10" t="s">
        <v>1534</v>
      </c>
      <c r="E508" s="10" t="s">
        <v>22</v>
      </c>
      <c r="F508" s="10">
        <v>6133</v>
      </c>
      <c r="G508" s="10" t="s">
        <v>1545</v>
      </c>
      <c r="H508" s="5">
        <v>5302</v>
      </c>
      <c r="I508" s="69">
        <v>0.86450350562530576</v>
      </c>
      <c r="J508" s="5">
        <v>424</v>
      </c>
      <c r="K508" s="70">
        <v>6.9134192075656284E-2</v>
      </c>
      <c r="L508" s="5">
        <v>19</v>
      </c>
      <c r="M508" s="70">
        <v>3.0979944562204466E-3</v>
      </c>
      <c r="N508" s="72">
        <v>110</v>
      </c>
      <c r="O508" s="180">
        <f t="shared" si="33"/>
        <v>1.7935757378118378</v>
      </c>
      <c r="P508" s="72">
        <v>105</v>
      </c>
      <c r="Q508" s="73">
        <v>1.7120495679112994E-2</v>
      </c>
      <c r="R508" s="5">
        <v>47</v>
      </c>
      <c r="S508" s="70">
        <v>7.6634599706505791E-3</v>
      </c>
      <c r="T508" s="5">
        <v>126</v>
      </c>
      <c r="U508" s="74">
        <v>2.0544594814935594E-2</v>
      </c>
      <c r="V508" s="75">
        <v>6.3264307842817544E-2</v>
      </c>
      <c r="W508" s="168" t="s">
        <v>2107</v>
      </c>
    </row>
    <row r="509" spans="1:23">
      <c r="A509" s="67" t="s">
        <v>1655</v>
      </c>
      <c r="B509" s="10" t="s">
        <v>1530</v>
      </c>
      <c r="C509" s="76" t="s">
        <v>27</v>
      </c>
      <c r="D509" s="10" t="s">
        <v>1534</v>
      </c>
      <c r="E509" s="10" t="s">
        <v>22</v>
      </c>
      <c r="F509" s="10">
        <v>2106</v>
      </c>
      <c r="G509" s="10" t="s">
        <v>1635</v>
      </c>
      <c r="H509" s="5">
        <v>1931</v>
      </c>
      <c r="I509" s="69">
        <v>0.91690408357075026</v>
      </c>
      <c r="J509" s="5">
        <v>9</v>
      </c>
      <c r="K509" s="70">
        <v>4.2735042735042739E-3</v>
      </c>
      <c r="L509" s="5">
        <v>139</v>
      </c>
      <c r="M509" s="70">
        <v>6.6001899335232664E-2</v>
      </c>
      <c r="N509" s="72">
        <v>15</v>
      </c>
      <c r="O509" s="180">
        <f t="shared" si="33"/>
        <v>0.71225071225071224</v>
      </c>
      <c r="P509" s="72">
        <v>12</v>
      </c>
      <c r="Q509" s="73">
        <v>5.6980056980056983E-3</v>
      </c>
      <c r="R509" s="5">
        <v>0</v>
      </c>
      <c r="S509" s="70">
        <v>0</v>
      </c>
      <c r="T509" s="5">
        <v>0</v>
      </c>
      <c r="U509" s="74">
        <v>0</v>
      </c>
      <c r="V509" s="75">
        <v>1.282051282051282E-2</v>
      </c>
      <c r="W509" s="168" t="s">
        <v>2107</v>
      </c>
    </row>
    <row r="510" spans="1:23">
      <c r="A510" s="67" t="s">
        <v>1655</v>
      </c>
      <c r="B510" s="10" t="s">
        <v>1538</v>
      </c>
      <c r="C510" s="10" t="s">
        <v>31</v>
      </c>
      <c r="D510" s="10" t="s">
        <v>1536</v>
      </c>
      <c r="E510" s="10" t="s">
        <v>22</v>
      </c>
      <c r="F510" s="10">
        <v>6616</v>
      </c>
      <c r="G510" s="77" t="s">
        <v>1540</v>
      </c>
      <c r="H510" s="5">
        <v>4611</v>
      </c>
      <c r="I510" s="69">
        <v>0.69694679564691653</v>
      </c>
      <c r="J510" s="5">
        <v>343</v>
      </c>
      <c r="K510" s="70">
        <v>5.1844014510278112E-2</v>
      </c>
      <c r="L510" s="5">
        <v>747</v>
      </c>
      <c r="M510" s="70">
        <v>0.11290810157194679</v>
      </c>
      <c r="N510" s="72">
        <v>871</v>
      </c>
      <c r="O510" s="180">
        <f t="shared" si="33"/>
        <v>13.165054413542926</v>
      </c>
      <c r="P510" s="72">
        <v>0</v>
      </c>
      <c r="Q510" s="73">
        <v>0</v>
      </c>
      <c r="R510" s="5">
        <v>0</v>
      </c>
      <c r="S510" s="70">
        <v>0</v>
      </c>
      <c r="T510" s="5">
        <v>44</v>
      </c>
      <c r="U510" s="74">
        <v>6.650544135429262E-3</v>
      </c>
      <c r="V510" s="75">
        <v>0.13830108827085852</v>
      </c>
      <c r="W510" s="168" t="s">
        <v>1195</v>
      </c>
    </row>
    <row r="511" spans="1:23">
      <c r="A511" s="84" t="s">
        <v>1656</v>
      </c>
      <c r="B511" s="10" t="s">
        <v>1530</v>
      </c>
      <c r="C511" s="10" t="s">
        <v>31</v>
      </c>
      <c r="D511" s="10" t="s">
        <v>1536</v>
      </c>
      <c r="E511" s="10" t="s">
        <v>22</v>
      </c>
      <c r="F511" s="10">
        <v>4590</v>
      </c>
      <c r="G511" s="77" t="s">
        <v>1540</v>
      </c>
      <c r="H511" s="5">
        <v>826</v>
      </c>
      <c r="I511" s="69">
        <v>0.17995642701525055</v>
      </c>
      <c r="J511" s="5">
        <v>82</v>
      </c>
      <c r="K511" s="70">
        <v>1.786492374727669E-2</v>
      </c>
      <c r="L511" s="5">
        <v>2523</v>
      </c>
      <c r="M511" s="70">
        <v>0.54967320261437913</v>
      </c>
      <c r="N511" s="72">
        <v>452</v>
      </c>
      <c r="O511" s="180">
        <f t="shared" si="33"/>
        <v>9.8474945533769063</v>
      </c>
      <c r="P511" s="72">
        <v>311</v>
      </c>
      <c r="Q511" s="73">
        <v>6.775599128540305E-2</v>
      </c>
      <c r="R511" s="5">
        <v>396</v>
      </c>
      <c r="S511" s="70">
        <v>8.6274509803921567E-2</v>
      </c>
      <c r="T511" s="10">
        <v>0</v>
      </c>
      <c r="U511" s="74">
        <v>0</v>
      </c>
      <c r="V511" s="75">
        <v>0.25250544662309371</v>
      </c>
      <c r="W511" s="168" t="s">
        <v>1195</v>
      </c>
    </row>
    <row r="512" spans="1:23">
      <c r="A512" s="84" t="s">
        <v>1656</v>
      </c>
      <c r="B512" s="10" t="s">
        <v>1530</v>
      </c>
      <c r="C512" s="76" t="s">
        <v>29</v>
      </c>
      <c r="D512" s="10" t="s">
        <v>1534</v>
      </c>
      <c r="E512" s="10" t="s">
        <v>22</v>
      </c>
      <c r="F512" s="10">
        <v>1530</v>
      </c>
      <c r="G512" s="10" t="s">
        <v>1545</v>
      </c>
      <c r="H512" s="5">
        <v>1221</v>
      </c>
      <c r="I512" s="69">
        <v>0.79803921568627456</v>
      </c>
      <c r="J512" s="5">
        <v>22</v>
      </c>
      <c r="K512" s="70">
        <v>1.4379084967320261E-2</v>
      </c>
      <c r="L512" s="5">
        <v>43</v>
      </c>
      <c r="M512" s="70">
        <v>2.8104575163398694E-2</v>
      </c>
      <c r="N512" s="72">
        <v>58</v>
      </c>
      <c r="O512" s="180">
        <f t="shared" si="33"/>
        <v>3.7908496732026142</v>
      </c>
      <c r="P512" s="72">
        <v>49</v>
      </c>
      <c r="Q512" s="73">
        <v>3.202614379084967E-2</v>
      </c>
      <c r="R512" s="5">
        <v>25</v>
      </c>
      <c r="S512" s="70">
        <v>1.6339869281045753E-2</v>
      </c>
      <c r="T512" s="5">
        <v>112</v>
      </c>
      <c r="U512" s="74">
        <v>7.3202614379084971E-2</v>
      </c>
      <c r="V512" s="75">
        <v>0.15947712418300652</v>
      </c>
      <c r="W512" s="168" t="s">
        <v>2107</v>
      </c>
    </row>
    <row r="513" spans="1:23">
      <c r="A513" s="84" t="s">
        <v>1656</v>
      </c>
      <c r="B513" s="10" t="s">
        <v>1530</v>
      </c>
      <c r="C513" s="10" t="s">
        <v>24</v>
      </c>
      <c r="D513" s="10" t="s">
        <v>1534</v>
      </c>
      <c r="E513" s="10" t="s">
        <v>22</v>
      </c>
      <c r="F513" s="10">
        <v>4427</v>
      </c>
      <c r="G513" s="10" t="s">
        <v>1532</v>
      </c>
      <c r="H513" s="5">
        <v>4338</v>
      </c>
      <c r="I513" s="69">
        <v>0.97989609216173479</v>
      </c>
      <c r="J513" s="5">
        <v>11</v>
      </c>
      <c r="K513" s="70">
        <v>2.4847526541676079E-3</v>
      </c>
      <c r="L513" s="5">
        <v>0</v>
      </c>
      <c r="M513" s="70">
        <v>0</v>
      </c>
      <c r="N513" s="72">
        <v>55</v>
      </c>
      <c r="O513" s="180">
        <f t="shared" si="33"/>
        <v>1.242376327083804</v>
      </c>
      <c r="P513" s="72">
        <v>23</v>
      </c>
      <c r="Q513" s="73">
        <v>5.1953919132595441E-3</v>
      </c>
      <c r="R513" s="5">
        <v>0</v>
      </c>
      <c r="S513" s="70">
        <v>0</v>
      </c>
      <c r="T513" s="5">
        <v>0</v>
      </c>
      <c r="U513" s="74">
        <v>0</v>
      </c>
      <c r="V513" s="75">
        <v>1.7619155184097582E-2</v>
      </c>
      <c r="W513" s="168" t="s">
        <v>2104</v>
      </c>
    </row>
    <row r="514" spans="1:23">
      <c r="A514" s="84" t="s">
        <v>1656</v>
      </c>
      <c r="B514" s="10" t="s">
        <v>1530</v>
      </c>
      <c r="C514" s="76" t="s">
        <v>27</v>
      </c>
      <c r="D514" s="10" t="s">
        <v>1536</v>
      </c>
      <c r="E514" s="10" t="s">
        <v>22</v>
      </c>
      <c r="F514" s="10">
        <v>5732</v>
      </c>
      <c r="G514" s="10" t="s">
        <v>1535</v>
      </c>
      <c r="H514" s="5">
        <v>4539</v>
      </c>
      <c r="I514" s="69">
        <v>0.79187020237264483</v>
      </c>
      <c r="J514" s="5">
        <v>369</v>
      </c>
      <c r="K514" s="70">
        <v>6.4375436147941376E-2</v>
      </c>
      <c r="L514" s="5">
        <v>118</v>
      </c>
      <c r="M514" s="70">
        <v>2.0586182833217028E-2</v>
      </c>
      <c r="N514" s="72">
        <v>256</v>
      </c>
      <c r="O514" s="180">
        <f t="shared" si="33"/>
        <v>4.4661549197487789</v>
      </c>
      <c r="P514" s="72">
        <v>185</v>
      </c>
      <c r="Q514" s="73">
        <v>3.2274947662247033E-2</v>
      </c>
      <c r="R514" s="5">
        <v>0</v>
      </c>
      <c r="S514" s="70">
        <v>0</v>
      </c>
      <c r="T514" s="5">
        <v>265</v>
      </c>
      <c r="U514" s="74">
        <v>4.6231681786461969E-2</v>
      </c>
      <c r="V514" s="75">
        <v>0.12316817864619678</v>
      </c>
      <c r="W514" s="168" t="s">
        <v>2107</v>
      </c>
    </row>
    <row r="515" spans="1:23">
      <c r="A515" s="84" t="s">
        <v>1656</v>
      </c>
      <c r="B515" s="10" t="s">
        <v>1538</v>
      </c>
      <c r="C515" s="76" t="s">
        <v>29</v>
      </c>
      <c r="D515" s="10" t="s">
        <v>1536</v>
      </c>
      <c r="E515" s="10" t="s">
        <v>1650</v>
      </c>
      <c r="F515" s="10">
        <v>4320</v>
      </c>
      <c r="G515" s="10" t="s">
        <v>1551</v>
      </c>
      <c r="H515" s="5">
        <v>3293</v>
      </c>
      <c r="I515" s="69">
        <v>0.76226851851851851</v>
      </c>
      <c r="J515" s="5">
        <v>728</v>
      </c>
      <c r="K515" s="70">
        <v>0.16851851851851851</v>
      </c>
      <c r="L515" s="5">
        <v>25</v>
      </c>
      <c r="M515" s="70">
        <v>5.7870370370370367E-3</v>
      </c>
      <c r="N515" s="78">
        <v>220</v>
      </c>
      <c r="O515" s="180">
        <f t="shared" ref="O515:O578" si="34">N515/F515*100</f>
        <v>5.0925925925925926</v>
      </c>
      <c r="P515" s="78">
        <v>0</v>
      </c>
      <c r="Q515" s="73">
        <v>0</v>
      </c>
      <c r="R515" s="5">
        <v>0</v>
      </c>
      <c r="S515" s="70">
        <v>0</v>
      </c>
      <c r="T515" s="5">
        <v>54</v>
      </c>
      <c r="U515" s="74">
        <v>1.2500000000000001E-2</v>
      </c>
      <c r="V515" s="75">
        <v>6.3425925925925927E-2</v>
      </c>
      <c r="W515" s="168" t="s">
        <v>2107</v>
      </c>
    </row>
    <row r="516" spans="1:23">
      <c r="A516" s="84" t="s">
        <v>1656</v>
      </c>
      <c r="B516" s="10" t="s">
        <v>1538</v>
      </c>
      <c r="C516" s="10" t="s">
        <v>31</v>
      </c>
      <c r="D516" s="10" t="s">
        <v>1536</v>
      </c>
      <c r="E516" s="10" t="s">
        <v>22</v>
      </c>
      <c r="F516" s="10">
        <v>1245</v>
      </c>
      <c r="G516" s="77" t="s">
        <v>1540</v>
      </c>
      <c r="H516" s="5">
        <v>790</v>
      </c>
      <c r="I516" s="69">
        <v>0.63453815261044177</v>
      </c>
      <c r="J516" s="5">
        <v>26</v>
      </c>
      <c r="K516" s="70">
        <v>2.0883534136546186E-2</v>
      </c>
      <c r="L516" s="5">
        <v>152</v>
      </c>
      <c r="M516" s="70">
        <v>0.12208835341365462</v>
      </c>
      <c r="N516" s="72">
        <v>242</v>
      </c>
      <c r="O516" s="180">
        <f t="shared" si="34"/>
        <v>19.437751004016064</v>
      </c>
      <c r="P516" s="72">
        <v>0</v>
      </c>
      <c r="Q516" s="73">
        <v>0</v>
      </c>
      <c r="R516" s="5">
        <v>0</v>
      </c>
      <c r="S516" s="70">
        <v>0</v>
      </c>
      <c r="T516" s="5">
        <v>35</v>
      </c>
      <c r="U516" s="74">
        <v>2.8112449799196786E-2</v>
      </c>
      <c r="V516" s="75">
        <v>0.22248995983935743</v>
      </c>
      <c r="W516" s="168" t="s">
        <v>1195</v>
      </c>
    </row>
    <row r="517" spans="1:23">
      <c r="A517" s="84" t="s">
        <v>1657</v>
      </c>
      <c r="B517" s="10" t="s">
        <v>1530</v>
      </c>
      <c r="C517" s="76" t="s">
        <v>29</v>
      </c>
      <c r="D517" s="10" t="s">
        <v>1536</v>
      </c>
      <c r="E517" s="10" t="s">
        <v>22</v>
      </c>
      <c r="F517" s="10">
        <v>3325</v>
      </c>
      <c r="G517" s="10" t="s">
        <v>1551</v>
      </c>
      <c r="H517" s="5">
        <v>2565</v>
      </c>
      <c r="I517" s="69">
        <v>0.77142857142857146</v>
      </c>
      <c r="J517" s="5">
        <v>84</v>
      </c>
      <c r="K517" s="70">
        <v>2.5263157894736842E-2</v>
      </c>
      <c r="L517" s="5">
        <v>52</v>
      </c>
      <c r="M517" s="70">
        <v>1.5639097744360904E-2</v>
      </c>
      <c r="N517" s="72">
        <v>318</v>
      </c>
      <c r="O517" s="180">
        <f t="shared" si="34"/>
        <v>9.5639097744360893</v>
      </c>
      <c r="P517" s="72">
        <v>218</v>
      </c>
      <c r="Q517" s="73">
        <v>6.5563909774436088E-2</v>
      </c>
      <c r="R517" s="10">
        <v>88</v>
      </c>
      <c r="S517" s="70">
        <v>2.6466165413533835E-2</v>
      </c>
      <c r="T517" s="10">
        <v>0</v>
      </c>
      <c r="U517" s="74">
        <v>0</v>
      </c>
      <c r="V517" s="75">
        <v>0.18766917293233082</v>
      </c>
      <c r="W517" s="168" t="s">
        <v>2107</v>
      </c>
    </row>
    <row r="518" spans="1:23">
      <c r="A518" s="84" t="s">
        <v>1657</v>
      </c>
      <c r="B518" s="10" t="s">
        <v>1530</v>
      </c>
      <c r="C518" s="10" t="s">
        <v>31</v>
      </c>
      <c r="D518" s="10" t="s">
        <v>1536</v>
      </c>
      <c r="E518" s="10" t="s">
        <v>22</v>
      </c>
      <c r="F518" s="10">
        <v>459</v>
      </c>
      <c r="G518" s="10" t="s">
        <v>1537</v>
      </c>
      <c r="H518" s="5">
        <v>188</v>
      </c>
      <c r="I518" s="69">
        <v>0.40958605664488018</v>
      </c>
      <c r="J518" s="5">
        <v>109</v>
      </c>
      <c r="K518" s="70">
        <v>0.23747276688453159</v>
      </c>
      <c r="L518" s="5">
        <v>84</v>
      </c>
      <c r="M518" s="70">
        <v>0.18300653594771241</v>
      </c>
      <c r="N518" s="72">
        <v>32</v>
      </c>
      <c r="O518" s="180">
        <f t="shared" si="34"/>
        <v>6.9716775599128544</v>
      </c>
      <c r="P518" s="72">
        <v>8</v>
      </c>
      <c r="Q518" s="73">
        <v>1.7429193899782137E-2</v>
      </c>
      <c r="R518" s="10">
        <v>38</v>
      </c>
      <c r="S518" s="70">
        <v>8.2788671023965144E-2</v>
      </c>
      <c r="T518" s="10">
        <v>0</v>
      </c>
      <c r="U518" s="74">
        <v>0</v>
      </c>
      <c r="V518" s="75">
        <v>0.16993464052287582</v>
      </c>
      <c r="W518" s="168" t="s">
        <v>1195</v>
      </c>
    </row>
    <row r="519" spans="1:23">
      <c r="A519" s="84" t="s">
        <v>1657</v>
      </c>
      <c r="B519" s="10" t="s">
        <v>1530</v>
      </c>
      <c r="C519" s="10" t="s">
        <v>31</v>
      </c>
      <c r="D519" s="10" t="s">
        <v>1536</v>
      </c>
      <c r="E519" s="10" t="s">
        <v>22</v>
      </c>
      <c r="F519" s="10">
        <v>1980</v>
      </c>
      <c r="G519" s="10" t="s">
        <v>1537</v>
      </c>
      <c r="H519" s="5">
        <v>1800</v>
      </c>
      <c r="I519" s="69">
        <v>0.90909090909090906</v>
      </c>
      <c r="J519" s="5">
        <v>86</v>
      </c>
      <c r="K519" s="70">
        <v>4.3434343434343436E-2</v>
      </c>
      <c r="L519" s="5">
        <v>0</v>
      </c>
      <c r="M519" s="70">
        <v>0</v>
      </c>
      <c r="N519" s="72">
        <v>72</v>
      </c>
      <c r="O519" s="180">
        <f t="shared" si="34"/>
        <v>3.6363636363636362</v>
      </c>
      <c r="P519" s="72">
        <v>22</v>
      </c>
      <c r="Q519" s="73">
        <v>1.1111111111111112E-2</v>
      </c>
      <c r="R519" s="10">
        <v>0</v>
      </c>
      <c r="S519" s="70">
        <v>0</v>
      </c>
      <c r="T519" s="10">
        <v>0</v>
      </c>
      <c r="U519" s="74">
        <v>0</v>
      </c>
      <c r="V519" s="75">
        <v>4.7474747474747475E-2</v>
      </c>
      <c r="W519" s="168" t="s">
        <v>1195</v>
      </c>
    </row>
    <row r="520" spans="1:23">
      <c r="A520" s="84" t="s">
        <v>1657</v>
      </c>
      <c r="B520" s="10" t="s">
        <v>1530</v>
      </c>
      <c r="C520" s="10" t="s">
        <v>24</v>
      </c>
      <c r="D520" s="10" t="s">
        <v>1534</v>
      </c>
      <c r="E520" s="10" t="s">
        <v>22</v>
      </c>
      <c r="F520" s="10">
        <v>5198</v>
      </c>
      <c r="G520" s="10" t="s">
        <v>1532</v>
      </c>
      <c r="H520" s="5">
        <v>4980</v>
      </c>
      <c r="I520" s="69">
        <v>0.95806079261254329</v>
      </c>
      <c r="J520" s="5">
        <v>7</v>
      </c>
      <c r="K520" s="70">
        <v>1.3466717968449403E-3</v>
      </c>
      <c r="L520" s="5">
        <v>0</v>
      </c>
      <c r="M520" s="70">
        <v>0</v>
      </c>
      <c r="N520" s="72">
        <v>125</v>
      </c>
      <c r="O520" s="180">
        <f t="shared" si="34"/>
        <v>2.4047710657945363</v>
      </c>
      <c r="P520" s="72">
        <v>86</v>
      </c>
      <c r="Q520" s="73">
        <v>1.6544824932666409E-2</v>
      </c>
      <c r="R520" s="10">
        <v>0</v>
      </c>
      <c r="S520" s="70">
        <v>0</v>
      </c>
      <c r="T520" s="10">
        <v>0</v>
      </c>
      <c r="U520" s="74">
        <v>0</v>
      </c>
      <c r="V520" s="75">
        <v>4.0592535590611774E-2</v>
      </c>
      <c r="W520" s="168" t="s">
        <v>2104</v>
      </c>
    </row>
    <row r="521" spans="1:23">
      <c r="A521" s="84" t="s">
        <v>1657</v>
      </c>
      <c r="B521" s="10" t="s">
        <v>1530</v>
      </c>
      <c r="C521" s="10" t="s">
        <v>31</v>
      </c>
      <c r="D521" s="10" t="s">
        <v>1611</v>
      </c>
      <c r="E521" s="10" t="s">
        <v>22</v>
      </c>
      <c r="F521" s="10">
        <v>906</v>
      </c>
      <c r="G521" s="10" t="s">
        <v>1537</v>
      </c>
      <c r="H521" s="5">
        <v>854</v>
      </c>
      <c r="I521" s="69">
        <v>0.94260485651214132</v>
      </c>
      <c r="J521" s="5">
        <v>0</v>
      </c>
      <c r="K521" s="70">
        <v>0</v>
      </c>
      <c r="L521" s="5">
        <v>0</v>
      </c>
      <c r="M521" s="70">
        <v>0</v>
      </c>
      <c r="N521" s="72">
        <v>52</v>
      </c>
      <c r="O521" s="180">
        <f t="shared" si="34"/>
        <v>5.739514348785872</v>
      </c>
      <c r="P521" s="72">
        <v>0</v>
      </c>
      <c r="Q521" s="73">
        <v>0</v>
      </c>
      <c r="R521" s="10">
        <v>0</v>
      </c>
      <c r="S521" s="70">
        <v>0</v>
      </c>
      <c r="T521" s="10">
        <v>0</v>
      </c>
      <c r="U521" s="74">
        <v>0</v>
      </c>
      <c r="V521" s="75">
        <v>5.7395143487858721E-2</v>
      </c>
      <c r="W521" s="168" t="s">
        <v>1195</v>
      </c>
    </row>
    <row r="522" spans="1:23">
      <c r="A522" s="84" t="s">
        <v>1657</v>
      </c>
      <c r="B522" s="10" t="s">
        <v>1538</v>
      </c>
      <c r="C522" s="76" t="s">
        <v>29</v>
      </c>
      <c r="D522" s="10" t="s">
        <v>1536</v>
      </c>
      <c r="E522" s="10" t="s">
        <v>1650</v>
      </c>
      <c r="F522" s="10">
        <v>10080</v>
      </c>
      <c r="G522" s="10" t="s">
        <v>1551</v>
      </c>
      <c r="H522" s="5">
        <v>6774</v>
      </c>
      <c r="I522" s="69">
        <v>0.67202380952380958</v>
      </c>
      <c r="J522" s="5">
        <v>2548</v>
      </c>
      <c r="K522" s="70">
        <v>0.25277777777777777</v>
      </c>
      <c r="L522" s="5">
        <v>19</v>
      </c>
      <c r="M522" s="70">
        <v>1.8849206349206349E-3</v>
      </c>
      <c r="N522" s="72">
        <v>673</v>
      </c>
      <c r="O522" s="180">
        <f t="shared" si="34"/>
        <v>6.6765873015873014</v>
      </c>
      <c r="P522" s="72">
        <v>0</v>
      </c>
      <c r="Q522" s="73">
        <v>0</v>
      </c>
      <c r="R522" s="10">
        <v>0</v>
      </c>
      <c r="S522" s="70">
        <v>0</v>
      </c>
      <c r="T522" s="10">
        <v>66</v>
      </c>
      <c r="U522" s="74">
        <v>6.5476190476190478E-3</v>
      </c>
      <c r="V522" s="75">
        <v>7.3313492063492067E-2</v>
      </c>
      <c r="W522" s="168" t="s">
        <v>2107</v>
      </c>
    </row>
    <row r="523" spans="1:23">
      <c r="A523" s="84" t="s">
        <v>1657</v>
      </c>
      <c r="B523" s="10" t="s">
        <v>1538</v>
      </c>
      <c r="C523" s="10" t="s">
        <v>31</v>
      </c>
      <c r="D523" s="10" t="s">
        <v>1536</v>
      </c>
      <c r="E523" s="10" t="s">
        <v>22</v>
      </c>
      <c r="F523" s="10">
        <v>1580</v>
      </c>
      <c r="G523" s="77" t="s">
        <v>1540</v>
      </c>
      <c r="H523" s="5">
        <v>1083</v>
      </c>
      <c r="I523" s="69">
        <v>0.68544303797468353</v>
      </c>
      <c r="J523" s="5">
        <v>37</v>
      </c>
      <c r="K523" s="70">
        <v>2.3417721518987342E-2</v>
      </c>
      <c r="L523" s="5">
        <v>65</v>
      </c>
      <c r="M523" s="70">
        <v>4.1139240506329111E-2</v>
      </c>
      <c r="N523" s="72">
        <v>369</v>
      </c>
      <c r="O523" s="180">
        <f t="shared" si="34"/>
        <v>23.354430379746834</v>
      </c>
      <c r="P523" s="72">
        <v>0</v>
      </c>
      <c r="Q523" s="73">
        <v>0</v>
      </c>
      <c r="R523" s="10">
        <v>0</v>
      </c>
      <c r="S523" s="70">
        <v>0</v>
      </c>
      <c r="T523" s="5">
        <v>26</v>
      </c>
      <c r="U523" s="74">
        <v>1.6455696202531647E-2</v>
      </c>
      <c r="V523" s="75">
        <v>0.25</v>
      </c>
      <c r="W523" s="168" t="s">
        <v>1195</v>
      </c>
    </row>
    <row r="524" spans="1:23">
      <c r="A524" s="84" t="s">
        <v>1658</v>
      </c>
      <c r="B524" s="10" t="s">
        <v>1530</v>
      </c>
      <c r="C524" s="10" t="s">
        <v>31</v>
      </c>
      <c r="D524" s="10" t="s">
        <v>1536</v>
      </c>
      <c r="E524" s="10" t="s">
        <v>22</v>
      </c>
      <c r="F524" s="10">
        <v>4038</v>
      </c>
      <c r="G524" s="10" t="s">
        <v>1537</v>
      </c>
      <c r="H524" s="5">
        <v>3388</v>
      </c>
      <c r="I524" s="69">
        <v>0.83902922238732047</v>
      </c>
      <c r="J524" s="5">
        <v>180</v>
      </c>
      <c r="K524" s="70">
        <v>4.4576523031203567E-2</v>
      </c>
      <c r="L524" s="10">
        <v>9</v>
      </c>
      <c r="M524" s="70">
        <v>2.2288261515601782E-3</v>
      </c>
      <c r="N524" s="72">
        <v>249</v>
      </c>
      <c r="O524" s="180">
        <f t="shared" si="34"/>
        <v>6.1664190193164936</v>
      </c>
      <c r="P524" s="72">
        <v>66</v>
      </c>
      <c r="Q524" s="73">
        <v>1.6344725111441308E-2</v>
      </c>
      <c r="R524" s="10">
        <v>0</v>
      </c>
      <c r="S524" s="70">
        <v>0</v>
      </c>
      <c r="T524" s="10">
        <v>146</v>
      </c>
      <c r="U524" s="74">
        <v>3.6156513125309563E-2</v>
      </c>
      <c r="V524" s="75">
        <v>0.11416542842991581</v>
      </c>
      <c r="W524" s="168" t="s">
        <v>1195</v>
      </c>
    </row>
    <row r="525" spans="1:23">
      <c r="A525" s="84" t="s">
        <v>1658</v>
      </c>
      <c r="B525" s="10" t="s">
        <v>1530</v>
      </c>
      <c r="C525" s="10" t="s">
        <v>31</v>
      </c>
      <c r="D525" s="10" t="s">
        <v>1536</v>
      </c>
      <c r="E525" s="10" t="s">
        <v>22</v>
      </c>
      <c r="F525" s="10">
        <v>5319</v>
      </c>
      <c r="G525" s="10" t="s">
        <v>1537</v>
      </c>
      <c r="H525" s="5">
        <v>4679</v>
      </c>
      <c r="I525" s="69">
        <v>0.8796766309456665</v>
      </c>
      <c r="J525" s="5">
        <v>194</v>
      </c>
      <c r="K525" s="70">
        <v>3.6473021244594846E-2</v>
      </c>
      <c r="L525" s="10">
        <v>0</v>
      </c>
      <c r="M525" s="70">
        <v>0</v>
      </c>
      <c r="N525" s="72">
        <v>228</v>
      </c>
      <c r="O525" s="180">
        <f t="shared" si="34"/>
        <v>4.2865200225606319</v>
      </c>
      <c r="P525" s="72">
        <v>218</v>
      </c>
      <c r="Q525" s="73">
        <v>4.0985147584132353E-2</v>
      </c>
      <c r="R525" s="10">
        <v>0</v>
      </c>
      <c r="S525" s="70">
        <v>0</v>
      </c>
      <c r="T525" s="10">
        <v>0</v>
      </c>
      <c r="U525" s="74">
        <v>0</v>
      </c>
      <c r="V525" s="75">
        <v>8.3850347809738671E-2</v>
      </c>
      <c r="W525" s="168" t="s">
        <v>1195</v>
      </c>
    </row>
    <row r="526" spans="1:23">
      <c r="A526" s="84" t="s">
        <v>1658</v>
      </c>
      <c r="B526" s="10" t="s">
        <v>1530</v>
      </c>
      <c r="C526" s="76" t="s">
        <v>29</v>
      </c>
      <c r="D526" s="10" t="s">
        <v>1536</v>
      </c>
      <c r="E526" s="10" t="s">
        <v>22</v>
      </c>
      <c r="F526" s="10">
        <v>3140</v>
      </c>
      <c r="G526" s="10" t="s">
        <v>1551</v>
      </c>
      <c r="H526" s="5">
        <v>2246</v>
      </c>
      <c r="I526" s="69">
        <v>0.71528662420382161</v>
      </c>
      <c r="J526" s="5">
        <v>0</v>
      </c>
      <c r="K526" s="70">
        <v>0</v>
      </c>
      <c r="L526" s="10">
        <v>0</v>
      </c>
      <c r="M526" s="70">
        <v>0</v>
      </c>
      <c r="N526" s="72">
        <v>797</v>
      </c>
      <c r="O526" s="180">
        <f t="shared" si="34"/>
        <v>25.38216560509554</v>
      </c>
      <c r="P526" s="72">
        <v>61</v>
      </c>
      <c r="Q526" s="73">
        <v>1.9426751592356687E-2</v>
      </c>
      <c r="R526" s="10">
        <v>0</v>
      </c>
      <c r="S526" s="70">
        <v>0</v>
      </c>
      <c r="T526" s="10">
        <v>36</v>
      </c>
      <c r="U526" s="74">
        <v>1.1464968152866241E-2</v>
      </c>
      <c r="V526" s="75">
        <v>0.28471337579617834</v>
      </c>
      <c r="W526" s="168" t="s">
        <v>2107</v>
      </c>
    </row>
    <row r="527" spans="1:23">
      <c r="A527" s="84" t="s">
        <v>1658</v>
      </c>
      <c r="B527" s="10" t="s">
        <v>1530</v>
      </c>
      <c r="C527" s="10" t="s">
        <v>24</v>
      </c>
      <c r="D527" s="10" t="s">
        <v>1534</v>
      </c>
      <c r="E527" s="10" t="s">
        <v>22</v>
      </c>
      <c r="F527" s="10">
        <v>900</v>
      </c>
      <c r="G527" s="10" t="s">
        <v>1532</v>
      </c>
      <c r="H527" s="5">
        <v>812</v>
      </c>
      <c r="I527" s="69">
        <v>0.90222222222222226</v>
      </c>
      <c r="J527" s="5">
        <v>5</v>
      </c>
      <c r="K527" s="70">
        <v>5.5555555555555558E-3</v>
      </c>
      <c r="L527" s="10">
        <v>0</v>
      </c>
      <c r="M527" s="70">
        <v>0</v>
      </c>
      <c r="N527" s="72">
        <v>25</v>
      </c>
      <c r="O527" s="180">
        <f t="shared" si="34"/>
        <v>2.7777777777777777</v>
      </c>
      <c r="P527" s="72">
        <v>58</v>
      </c>
      <c r="Q527" s="73">
        <v>6.4444444444444443E-2</v>
      </c>
      <c r="R527" s="10">
        <v>0</v>
      </c>
      <c r="S527" s="70">
        <v>0</v>
      </c>
      <c r="T527" s="10">
        <v>0</v>
      </c>
      <c r="U527" s="74">
        <v>0</v>
      </c>
      <c r="V527" s="75">
        <v>9.2222222222222219E-2</v>
      </c>
      <c r="W527" s="168" t="s">
        <v>2104</v>
      </c>
    </row>
    <row r="528" spans="1:23">
      <c r="A528" s="84" t="s">
        <v>1659</v>
      </c>
      <c r="B528" s="10" t="s">
        <v>1530</v>
      </c>
      <c r="C528" s="76" t="s">
        <v>29</v>
      </c>
      <c r="D528" s="10" t="s">
        <v>1536</v>
      </c>
      <c r="E528" s="10" t="s">
        <v>22</v>
      </c>
      <c r="F528" s="10">
        <v>6609</v>
      </c>
      <c r="G528" s="10" t="s">
        <v>1551</v>
      </c>
      <c r="H528" s="5">
        <v>3764</v>
      </c>
      <c r="I528" s="69">
        <v>0.56952640338931759</v>
      </c>
      <c r="J528" s="5">
        <v>709</v>
      </c>
      <c r="K528" s="70">
        <v>0.10727795430473597</v>
      </c>
      <c r="L528" s="5">
        <v>170</v>
      </c>
      <c r="M528" s="70">
        <v>2.5722499621727946E-2</v>
      </c>
      <c r="N528" s="72">
        <v>1036</v>
      </c>
      <c r="O528" s="180">
        <f t="shared" si="34"/>
        <v>15.67559388712362</v>
      </c>
      <c r="P528" s="72">
        <v>215</v>
      </c>
      <c r="Q528" s="73">
        <v>3.2531396580420639E-2</v>
      </c>
      <c r="R528" s="10">
        <v>0</v>
      </c>
      <c r="S528" s="70">
        <v>0</v>
      </c>
      <c r="T528" s="5">
        <v>715</v>
      </c>
      <c r="U528" s="74">
        <v>0.10818580723256166</v>
      </c>
      <c r="V528" s="75">
        <v>0.29747314268421854</v>
      </c>
      <c r="W528" s="168" t="s">
        <v>2107</v>
      </c>
    </row>
    <row r="529" spans="1:23">
      <c r="A529" s="84" t="s">
        <v>1659</v>
      </c>
      <c r="B529" s="10" t="s">
        <v>1530</v>
      </c>
      <c r="C529" s="10" t="s">
        <v>31</v>
      </c>
      <c r="D529" s="10" t="s">
        <v>1536</v>
      </c>
      <c r="E529" s="10" t="s">
        <v>22</v>
      </c>
      <c r="F529" s="10">
        <v>6129</v>
      </c>
      <c r="G529" s="10" t="s">
        <v>1537</v>
      </c>
      <c r="H529" s="5">
        <v>4990</v>
      </c>
      <c r="I529" s="69">
        <v>0.8141621798009463</v>
      </c>
      <c r="J529" s="5">
        <v>594</v>
      </c>
      <c r="K529" s="70">
        <v>9.6916299559471369E-2</v>
      </c>
      <c r="L529" s="10">
        <v>0</v>
      </c>
      <c r="M529" s="70">
        <v>0</v>
      </c>
      <c r="N529" s="72">
        <v>225</v>
      </c>
      <c r="O529" s="180">
        <f t="shared" si="34"/>
        <v>3.6710719530102791</v>
      </c>
      <c r="P529" s="72">
        <v>153</v>
      </c>
      <c r="Q529" s="73">
        <v>2.4963289280469897E-2</v>
      </c>
      <c r="R529" s="5">
        <v>167</v>
      </c>
      <c r="S529" s="70">
        <v>2.7247511829009627E-2</v>
      </c>
      <c r="T529" s="10">
        <v>0</v>
      </c>
      <c r="U529" s="74">
        <v>0</v>
      </c>
      <c r="V529" s="75">
        <v>8.8921520639582308E-2</v>
      </c>
      <c r="W529" s="168" t="s">
        <v>1195</v>
      </c>
    </row>
    <row r="530" spans="1:23">
      <c r="A530" s="84" t="s">
        <v>1659</v>
      </c>
      <c r="B530" s="10" t="s">
        <v>1530</v>
      </c>
      <c r="C530" s="10" t="s">
        <v>24</v>
      </c>
      <c r="D530" s="10" t="s">
        <v>1534</v>
      </c>
      <c r="E530" s="10" t="s">
        <v>22</v>
      </c>
      <c r="F530" s="10">
        <v>5720</v>
      </c>
      <c r="G530" s="10" t="s">
        <v>1532</v>
      </c>
      <c r="H530" s="5">
        <v>5479</v>
      </c>
      <c r="I530" s="69">
        <v>0.95786713286713288</v>
      </c>
      <c r="J530" s="5">
        <v>18</v>
      </c>
      <c r="K530" s="70">
        <v>3.1468531468531471E-3</v>
      </c>
      <c r="L530" s="10">
        <v>0</v>
      </c>
      <c r="M530" s="70">
        <v>0</v>
      </c>
      <c r="N530" s="72">
        <v>150</v>
      </c>
      <c r="O530" s="180">
        <f t="shared" si="34"/>
        <v>2.6223776223776225</v>
      </c>
      <c r="P530" s="72">
        <v>73</v>
      </c>
      <c r="Q530" s="73">
        <v>1.2762237762237762E-2</v>
      </c>
      <c r="R530" s="10">
        <v>0</v>
      </c>
      <c r="S530" s="70">
        <v>0</v>
      </c>
      <c r="T530" s="10">
        <v>0</v>
      </c>
      <c r="U530" s="74">
        <v>0</v>
      </c>
      <c r="V530" s="75">
        <v>3.8986013986013986E-2</v>
      </c>
      <c r="W530" s="168" t="s">
        <v>2104</v>
      </c>
    </row>
    <row r="531" spans="1:23">
      <c r="A531" s="84" t="s">
        <v>1659</v>
      </c>
      <c r="B531" s="10" t="s">
        <v>1538</v>
      </c>
      <c r="C531" s="10" t="s">
        <v>31</v>
      </c>
      <c r="D531" s="10" t="s">
        <v>1536</v>
      </c>
      <c r="E531" s="10" t="s">
        <v>22</v>
      </c>
      <c r="F531" s="10">
        <v>6705</v>
      </c>
      <c r="G531" s="77" t="s">
        <v>1540</v>
      </c>
      <c r="H531" s="5">
        <v>4528</v>
      </c>
      <c r="I531" s="69">
        <v>0.675316927665921</v>
      </c>
      <c r="J531" s="5">
        <v>31</v>
      </c>
      <c r="K531" s="70">
        <v>4.6234153616703955E-3</v>
      </c>
      <c r="L531" s="5">
        <v>1141</v>
      </c>
      <c r="M531" s="70">
        <v>0.17017151379567486</v>
      </c>
      <c r="N531" s="72">
        <v>975</v>
      </c>
      <c r="O531" s="180">
        <f t="shared" si="34"/>
        <v>14.541387024608502</v>
      </c>
      <c r="P531" s="72">
        <v>0</v>
      </c>
      <c r="Q531" s="73">
        <v>0</v>
      </c>
      <c r="R531" s="10">
        <v>0</v>
      </c>
      <c r="S531" s="70">
        <v>0</v>
      </c>
      <c r="T531" s="5">
        <v>30</v>
      </c>
      <c r="U531" s="74">
        <v>4.4742729306487695E-3</v>
      </c>
      <c r="V531" s="75">
        <v>0.1498881431767338</v>
      </c>
      <c r="W531" s="168" t="s">
        <v>1195</v>
      </c>
    </row>
    <row r="532" spans="1:23">
      <c r="A532" s="84" t="s">
        <v>1660</v>
      </c>
      <c r="B532" s="10" t="s">
        <v>1530</v>
      </c>
      <c r="C532" s="76" t="s">
        <v>27</v>
      </c>
      <c r="D532" s="10" t="s">
        <v>1534</v>
      </c>
      <c r="E532" s="10" t="s">
        <v>22</v>
      </c>
      <c r="F532" s="10">
        <v>10713</v>
      </c>
      <c r="G532" s="10" t="s">
        <v>1635</v>
      </c>
      <c r="H532" s="5">
        <v>9230</v>
      </c>
      <c r="I532" s="69">
        <v>0.86157005507327544</v>
      </c>
      <c r="J532" s="5">
        <v>501</v>
      </c>
      <c r="K532" s="70">
        <v>4.676561187342481E-2</v>
      </c>
      <c r="L532" s="5">
        <v>210</v>
      </c>
      <c r="M532" s="70">
        <v>1.9602352282273874E-2</v>
      </c>
      <c r="N532" s="72">
        <v>362</v>
      </c>
      <c r="O532" s="180">
        <f t="shared" si="34"/>
        <v>3.3790721553253058</v>
      </c>
      <c r="P532" s="72">
        <v>230</v>
      </c>
      <c r="Q532" s="73">
        <v>2.1469242975823765E-2</v>
      </c>
      <c r="R532" s="10">
        <v>0</v>
      </c>
      <c r="S532" s="70">
        <v>0</v>
      </c>
      <c r="T532" s="5">
        <v>180</v>
      </c>
      <c r="U532" s="74">
        <v>1.6802016241949033E-2</v>
      </c>
      <c r="V532" s="75">
        <v>7.2061980771025852E-2</v>
      </c>
      <c r="W532" s="168" t="s">
        <v>2107</v>
      </c>
    </row>
    <row r="533" spans="1:23">
      <c r="A533" s="84" t="s">
        <v>1660</v>
      </c>
      <c r="B533" s="10" t="s">
        <v>1530</v>
      </c>
      <c r="C533" s="10" t="s">
        <v>31</v>
      </c>
      <c r="D533" s="10" t="s">
        <v>1536</v>
      </c>
      <c r="E533" s="10" t="s">
        <v>22</v>
      </c>
      <c r="F533" s="10">
        <v>360</v>
      </c>
      <c r="G533" s="10" t="s">
        <v>1537</v>
      </c>
      <c r="H533" s="5">
        <v>331</v>
      </c>
      <c r="I533" s="69">
        <v>0.9194444444444444</v>
      </c>
      <c r="J533" s="5">
        <v>13</v>
      </c>
      <c r="K533" s="70">
        <v>3.6111111111111108E-2</v>
      </c>
      <c r="L533" s="5">
        <v>0</v>
      </c>
      <c r="M533" s="70">
        <v>0</v>
      </c>
      <c r="N533" s="72">
        <v>13</v>
      </c>
      <c r="O533" s="180">
        <f t="shared" si="34"/>
        <v>3.6111111111111107</v>
      </c>
      <c r="P533" s="72">
        <v>3</v>
      </c>
      <c r="Q533" s="73">
        <v>8.3333333333333332E-3</v>
      </c>
      <c r="R533" s="10">
        <v>0</v>
      </c>
      <c r="S533" s="70">
        <v>0</v>
      </c>
      <c r="T533" s="5">
        <v>0</v>
      </c>
      <c r="U533" s="74">
        <v>0</v>
      </c>
      <c r="V533" s="75">
        <v>4.4444444444444439E-2</v>
      </c>
      <c r="W533" s="168" t="s">
        <v>1195</v>
      </c>
    </row>
    <row r="534" spans="1:23">
      <c r="A534" s="84" t="s">
        <v>1660</v>
      </c>
      <c r="B534" s="10" t="s">
        <v>1530</v>
      </c>
      <c r="C534" s="10" t="s">
        <v>24</v>
      </c>
      <c r="D534" s="10" t="s">
        <v>1536</v>
      </c>
      <c r="E534" s="10" t="s">
        <v>1539</v>
      </c>
      <c r="F534" s="10">
        <v>918</v>
      </c>
      <c r="G534" s="10" t="s">
        <v>1544</v>
      </c>
      <c r="H534" s="5">
        <v>850</v>
      </c>
      <c r="I534" s="69">
        <v>0.92592592592592593</v>
      </c>
      <c r="J534" s="10">
        <v>13</v>
      </c>
      <c r="K534" s="70">
        <v>1.4161220043572984E-2</v>
      </c>
      <c r="L534" s="10">
        <v>9</v>
      </c>
      <c r="M534" s="70">
        <v>9.8039215686274508E-3</v>
      </c>
      <c r="N534" s="72">
        <v>15</v>
      </c>
      <c r="O534" s="180">
        <f t="shared" si="34"/>
        <v>1.6339869281045754</v>
      </c>
      <c r="P534" s="72">
        <v>31</v>
      </c>
      <c r="Q534" s="73">
        <v>3.3769063180827889E-2</v>
      </c>
      <c r="R534" s="10">
        <v>0</v>
      </c>
      <c r="S534" s="70">
        <v>0</v>
      </c>
      <c r="T534" s="10">
        <v>0</v>
      </c>
      <c r="U534" s="74">
        <v>0</v>
      </c>
      <c r="V534" s="75">
        <v>5.0108932461873645E-2</v>
      </c>
      <c r="W534" s="168" t="s">
        <v>2104</v>
      </c>
    </row>
    <row r="535" spans="1:23">
      <c r="A535" s="84" t="s">
        <v>1660</v>
      </c>
      <c r="B535" s="10" t="s">
        <v>1530</v>
      </c>
      <c r="C535" s="76" t="s">
        <v>27</v>
      </c>
      <c r="D535" s="10" t="s">
        <v>1550</v>
      </c>
      <c r="E535" s="10" t="s">
        <v>22</v>
      </c>
      <c r="F535" s="10">
        <v>13584</v>
      </c>
      <c r="G535" s="10" t="s">
        <v>1635</v>
      </c>
      <c r="H535" s="5">
        <v>13320</v>
      </c>
      <c r="I535" s="69">
        <v>0.98056537102473496</v>
      </c>
      <c r="J535" s="10">
        <v>0</v>
      </c>
      <c r="K535" s="70">
        <v>0</v>
      </c>
      <c r="L535" s="10">
        <v>0</v>
      </c>
      <c r="M535" s="70">
        <v>0</v>
      </c>
      <c r="N535" s="72">
        <v>0</v>
      </c>
      <c r="O535" s="180">
        <f t="shared" si="34"/>
        <v>0</v>
      </c>
      <c r="P535" s="72">
        <v>264</v>
      </c>
      <c r="Q535" s="73">
        <v>1.9434628975265017E-2</v>
      </c>
      <c r="R535" s="10">
        <v>0</v>
      </c>
      <c r="S535" s="70">
        <v>0</v>
      </c>
      <c r="T535" s="10">
        <v>0</v>
      </c>
      <c r="U535" s="74">
        <v>0</v>
      </c>
      <c r="V535" s="75">
        <v>1.9434628975265017E-2</v>
      </c>
      <c r="W535" s="168" t="s">
        <v>2107</v>
      </c>
    </row>
    <row r="536" spans="1:23">
      <c r="A536" s="84" t="s">
        <v>1660</v>
      </c>
      <c r="B536" s="10" t="s">
        <v>1556</v>
      </c>
      <c r="C536" s="10" t="s">
        <v>24</v>
      </c>
      <c r="D536" s="10" t="s">
        <v>1550</v>
      </c>
      <c r="E536" s="10" t="s">
        <v>22</v>
      </c>
      <c r="F536" s="10">
        <v>8180</v>
      </c>
      <c r="G536" s="10" t="s">
        <v>1544</v>
      </c>
      <c r="H536" s="5">
        <v>7920</v>
      </c>
      <c r="I536" s="69">
        <v>0.9682151589242054</v>
      </c>
      <c r="J536" s="10">
        <v>0</v>
      </c>
      <c r="K536" s="70">
        <v>0</v>
      </c>
      <c r="L536" s="10">
        <v>0</v>
      </c>
      <c r="M536" s="70">
        <v>0</v>
      </c>
      <c r="N536" s="72">
        <v>0</v>
      </c>
      <c r="O536" s="180">
        <f t="shared" si="34"/>
        <v>0</v>
      </c>
      <c r="P536" s="72">
        <v>260</v>
      </c>
      <c r="Q536" s="73">
        <v>3.1784841075794622E-2</v>
      </c>
      <c r="R536" s="10">
        <v>0</v>
      </c>
      <c r="S536" s="70">
        <v>0</v>
      </c>
      <c r="T536" s="10">
        <v>0</v>
      </c>
      <c r="U536" s="74">
        <v>0</v>
      </c>
      <c r="V536" s="75">
        <v>3.1784841075794622E-2</v>
      </c>
      <c r="W536" s="168" t="s">
        <v>2104</v>
      </c>
    </row>
    <row r="537" spans="1:23">
      <c r="A537" s="84" t="s">
        <v>1660</v>
      </c>
      <c r="B537" s="10" t="s">
        <v>1530</v>
      </c>
      <c r="C537" s="10" t="s">
        <v>24</v>
      </c>
      <c r="D537" s="10" t="s">
        <v>1611</v>
      </c>
      <c r="E537" s="10" t="s">
        <v>22</v>
      </c>
      <c r="F537" s="10">
        <v>5874</v>
      </c>
      <c r="G537" s="10" t="s">
        <v>1544</v>
      </c>
      <c r="H537" s="5">
        <v>5760</v>
      </c>
      <c r="I537" s="69">
        <v>0.98059244126659861</v>
      </c>
      <c r="J537" s="10">
        <v>0</v>
      </c>
      <c r="K537" s="70">
        <v>0</v>
      </c>
      <c r="L537" s="10">
        <v>0</v>
      </c>
      <c r="M537" s="70">
        <v>0</v>
      </c>
      <c r="N537" s="72">
        <v>0</v>
      </c>
      <c r="O537" s="180">
        <f t="shared" si="34"/>
        <v>0</v>
      </c>
      <c r="P537" s="72">
        <v>20</v>
      </c>
      <c r="Q537" s="73">
        <v>3.4048348655090228E-3</v>
      </c>
      <c r="R537" s="10">
        <v>94</v>
      </c>
      <c r="S537" s="70">
        <v>1.6002723867892407E-2</v>
      </c>
      <c r="T537" s="10">
        <v>0</v>
      </c>
      <c r="U537" s="74">
        <v>0</v>
      </c>
      <c r="V537" s="75">
        <v>1.9407558733401428E-2</v>
      </c>
      <c r="W537" s="168" t="s">
        <v>2104</v>
      </c>
    </row>
    <row r="538" spans="1:23">
      <c r="A538" s="84" t="s">
        <v>1660</v>
      </c>
      <c r="B538" s="10" t="s">
        <v>1538</v>
      </c>
      <c r="C538" s="10" t="s">
        <v>31</v>
      </c>
      <c r="D538" s="10" t="s">
        <v>1536</v>
      </c>
      <c r="E538" s="10" t="s">
        <v>22</v>
      </c>
      <c r="F538" s="10">
        <v>12043</v>
      </c>
      <c r="G538" s="77" t="s">
        <v>1540</v>
      </c>
      <c r="H538" s="5">
        <v>7655</v>
      </c>
      <c r="I538" s="69">
        <v>0.63563896039192891</v>
      </c>
      <c r="J538" s="5">
        <v>0</v>
      </c>
      <c r="K538" s="70">
        <v>0</v>
      </c>
      <c r="L538" s="5">
        <v>1173</v>
      </c>
      <c r="M538" s="70">
        <v>9.7400979822303418E-2</v>
      </c>
      <c r="N538" s="72">
        <v>3081</v>
      </c>
      <c r="O538" s="180">
        <f t="shared" si="34"/>
        <v>25.583326413684297</v>
      </c>
      <c r="P538" s="72">
        <v>0</v>
      </c>
      <c r="Q538" s="73">
        <v>0</v>
      </c>
      <c r="R538" s="10">
        <v>0</v>
      </c>
      <c r="S538" s="70">
        <v>0</v>
      </c>
      <c r="T538" s="10">
        <v>134</v>
      </c>
      <c r="U538" s="74">
        <v>1.1126795648924687E-2</v>
      </c>
      <c r="V538" s="75">
        <v>0.26696005978576764</v>
      </c>
      <c r="W538" s="168" t="s">
        <v>1195</v>
      </c>
    </row>
    <row r="539" spans="1:23">
      <c r="A539" s="84" t="s">
        <v>1661</v>
      </c>
      <c r="B539" s="10" t="s">
        <v>1530</v>
      </c>
      <c r="C539" s="10" t="s">
        <v>24</v>
      </c>
      <c r="D539" s="10" t="s">
        <v>1550</v>
      </c>
      <c r="E539" s="10" t="s">
        <v>22</v>
      </c>
      <c r="F539" s="10">
        <v>3366</v>
      </c>
      <c r="G539" s="10" t="s">
        <v>1544</v>
      </c>
      <c r="H539" s="5">
        <v>3107</v>
      </c>
      <c r="I539" s="69">
        <v>0.92305407011289364</v>
      </c>
      <c r="J539" s="10">
        <v>24</v>
      </c>
      <c r="K539" s="70">
        <v>7.1301247771836003E-3</v>
      </c>
      <c r="L539" s="10">
        <v>0</v>
      </c>
      <c r="M539" s="70">
        <v>0</v>
      </c>
      <c r="N539" s="72">
        <v>25</v>
      </c>
      <c r="O539" s="180">
        <f t="shared" si="34"/>
        <v>0.74272133095662507</v>
      </c>
      <c r="P539" s="72">
        <v>210</v>
      </c>
      <c r="Q539" s="73">
        <v>6.2388591800356503E-2</v>
      </c>
      <c r="R539" s="10">
        <v>0</v>
      </c>
      <c r="S539" s="70">
        <v>0</v>
      </c>
      <c r="T539" s="10">
        <v>0</v>
      </c>
      <c r="U539" s="74">
        <v>0</v>
      </c>
      <c r="V539" s="75">
        <v>6.981580510992276E-2</v>
      </c>
      <c r="W539" s="168" t="s">
        <v>2104</v>
      </c>
    </row>
    <row r="540" spans="1:23">
      <c r="A540" s="84" t="s">
        <v>1661</v>
      </c>
      <c r="B540" s="10" t="s">
        <v>1530</v>
      </c>
      <c r="C540" s="76" t="s">
        <v>29</v>
      </c>
      <c r="D540" s="10" t="s">
        <v>1536</v>
      </c>
      <c r="E540" s="10" t="s">
        <v>22</v>
      </c>
      <c r="F540" s="10">
        <v>1810</v>
      </c>
      <c r="G540" s="10" t="s">
        <v>1551</v>
      </c>
      <c r="H540" s="5">
        <v>1590</v>
      </c>
      <c r="I540" s="69">
        <v>0.87845303867403313</v>
      </c>
      <c r="J540" s="10">
        <v>5</v>
      </c>
      <c r="K540" s="70">
        <v>2.7624309392265192E-3</v>
      </c>
      <c r="L540" s="10">
        <v>70</v>
      </c>
      <c r="M540" s="70">
        <v>3.8674033149171269E-2</v>
      </c>
      <c r="N540" s="72">
        <v>99</v>
      </c>
      <c r="O540" s="180">
        <f t="shared" si="34"/>
        <v>5.4696132596685088</v>
      </c>
      <c r="P540" s="72">
        <v>46</v>
      </c>
      <c r="Q540" s="73">
        <v>2.541436464088398E-2</v>
      </c>
      <c r="R540" s="10">
        <v>0</v>
      </c>
      <c r="S540" s="70">
        <v>0</v>
      </c>
      <c r="T540" s="10">
        <v>0</v>
      </c>
      <c r="U540" s="74">
        <v>0</v>
      </c>
      <c r="V540" s="75">
        <v>8.0110497237569064E-2</v>
      </c>
      <c r="W540" s="168" t="s">
        <v>2107</v>
      </c>
    </row>
    <row r="541" spans="1:23">
      <c r="A541" s="84" t="s">
        <v>1661</v>
      </c>
      <c r="B541" s="10" t="s">
        <v>1530</v>
      </c>
      <c r="C541" s="10" t="s">
        <v>24</v>
      </c>
      <c r="D541" s="10" t="s">
        <v>1611</v>
      </c>
      <c r="E541" s="10" t="s">
        <v>1539</v>
      </c>
      <c r="F541" s="10">
        <v>4587</v>
      </c>
      <c r="G541" s="10" t="s">
        <v>1544</v>
      </c>
      <c r="H541" s="5">
        <v>4500</v>
      </c>
      <c r="I541" s="69">
        <v>0.98103335513407453</v>
      </c>
      <c r="J541" s="10">
        <v>0</v>
      </c>
      <c r="K541" s="70">
        <v>0</v>
      </c>
      <c r="L541" s="10">
        <v>0</v>
      </c>
      <c r="M541" s="70">
        <v>0</v>
      </c>
      <c r="N541" s="72">
        <v>0</v>
      </c>
      <c r="O541" s="180">
        <f t="shared" si="34"/>
        <v>0</v>
      </c>
      <c r="P541" s="72">
        <v>87</v>
      </c>
      <c r="Q541" s="73">
        <v>1.896664486592544E-2</v>
      </c>
      <c r="R541" s="10">
        <v>0</v>
      </c>
      <c r="S541" s="70">
        <v>0</v>
      </c>
      <c r="T541" s="10">
        <v>0</v>
      </c>
      <c r="U541" s="74">
        <v>0</v>
      </c>
      <c r="V541" s="75">
        <v>1.896664486592544E-2</v>
      </c>
      <c r="W541" s="168" t="s">
        <v>2104</v>
      </c>
    </row>
    <row r="542" spans="1:23">
      <c r="A542" s="84" t="s">
        <v>1661</v>
      </c>
      <c r="B542" s="10" t="s">
        <v>1530</v>
      </c>
      <c r="C542" s="76" t="s">
        <v>27</v>
      </c>
      <c r="D542" s="10" t="s">
        <v>1550</v>
      </c>
      <c r="E542" s="10" t="s">
        <v>22</v>
      </c>
      <c r="F542" s="10">
        <v>3486</v>
      </c>
      <c r="G542" s="10" t="s">
        <v>1635</v>
      </c>
      <c r="H542" s="5">
        <v>3420</v>
      </c>
      <c r="I542" s="69">
        <v>0.98106712564543885</v>
      </c>
      <c r="J542" s="10">
        <v>0</v>
      </c>
      <c r="K542" s="70">
        <v>0</v>
      </c>
      <c r="L542" s="10">
        <v>0</v>
      </c>
      <c r="M542" s="70">
        <v>0</v>
      </c>
      <c r="N542" s="72">
        <v>0</v>
      </c>
      <c r="O542" s="180">
        <f t="shared" si="34"/>
        <v>0</v>
      </c>
      <c r="P542" s="72">
        <v>66</v>
      </c>
      <c r="Q542" s="73">
        <v>1.8932874354561102E-2</v>
      </c>
      <c r="R542" s="10">
        <v>0</v>
      </c>
      <c r="S542" s="70">
        <v>0</v>
      </c>
      <c r="T542" s="10">
        <v>0</v>
      </c>
      <c r="U542" s="74">
        <v>0</v>
      </c>
      <c r="V542" s="75">
        <v>1.8932874354561102E-2</v>
      </c>
      <c r="W542" s="168" t="s">
        <v>2107</v>
      </c>
    </row>
    <row r="543" spans="1:23">
      <c r="A543" s="84" t="s">
        <v>1661</v>
      </c>
      <c r="B543" s="10" t="s">
        <v>1556</v>
      </c>
      <c r="C543" s="10" t="s">
        <v>24</v>
      </c>
      <c r="D543" s="10" t="s">
        <v>1550</v>
      </c>
      <c r="E543" s="10" t="s">
        <v>22</v>
      </c>
      <c r="F543" s="10">
        <v>9300</v>
      </c>
      <c r="G543" s="10" t="s">
        <v>1544</v>
      </c>
      <c r="H543" s="5">
        <v>9000</v>
      </c>
      <c r="I543" s="69">
        <v>0.967741935483871</v>
      </c>
      <c r="J543" s="10">
        <v>0</v>
      </c>
      <c r="K543" s="70">
        <v>0</v>
      </c>
      <c r="L543" s="10">
        <v>0</v>
      </c>
      <c r="M543" s="70">
        <v>0</v>
      </c>
      <c r="N543" s="72">
        <v>0</v>
      </c>
      <c r="O543" s="180">
        <f t="shared" si="34"/>
        <v>0</v>
      </c>
      <c r="P543" s="72">
        <v>300</v>
      </c>
      <c r="Q543" s="73">
        <v>3.2258064516129031E-2</v>
      </c>
      <c r="R543" s="10">
        <v>0</v>
      </c>
      <c r="S543" s="70">
        <v>0</v>
      </c>
      <c r="T543" s="10">
        <v>0</v>
      </c>
      <c r="U543" s="74">
        <v>0</v>
      </c>
      <c r="V543" s="75">
        <v>3.2258064516129031E-2</v>
      </c>
      <c r="W543" s="168" t="s">
        <v>2104</v>
      </c>
    </row>
    <row r="544" spans="1:23">
      <c r="A544" s="84" t="s">
        <v>1661</v>
      </c>
      <c r="B544" s="10" t="s">
        <v>1530</v>
      </c>
      <c r="C544" s="10" t="s">
        <v>24</v>
      </c>
      <c r="D544" s="10" t="s">
        <v>1534</v>
      </c>
      <c r="E544" s="10" t="s">
        <v>22</v>
      </c>
      <c r="F544" s="10">
        <v>4839</v>
      </c>
      <c r="G544" s="10" t="s">
        <v>1532</v>
      </c>
      <c r="H544" s="5">
        <v>4581</v>
      </c>
      <c r="I544" s="69">
        <v>0.94668319900805953</v>
      </c>
      <c r="J544" s="10">
        <v>24</v>
      </c>
      <c r="K544" s="70">
        <v>4.9597024178549285E-3</v>
      </c>
      <c r="L544" s="10">
        <v>0</v>
      </c>
      <c r="M544" s="70">
        <v>0</v>
      </c>
      <c r="N544" s="72">
        <v>128</v>
      </c>
      <c r="O544" s="180">
        <f t="shared" si="34"/>
        <v>2.6451746228559623</v>
      </c>
      <c r="P544" s="72">
        <v>106</v>
      </c>
      <c r="Q544" s="73">
        <v>2.1905352345525934E-2</v>
      </c>
      <c r="R544" s="10">
        <v>0</v>
      </c>
      <c r="S544" s="70">
        <v>0</v>
      </c>
      <c r="T544" s="10">
        <v>0</v>
      </c>
      <c r="U544" s="74">
        <v>0</v>
      </c>
      <c r="V544" s="75">
        <v>4.8357098574085558E-2</v>
      </c>
      <c r="W544" s="168" t="s">
        <v>2104</v>
      </c>
    </row>
    <row r="545" spans="1:23">
      <c r="A545" s="84" t="s">
        <v>1661</v>
      </c>
      <c r="B545" s="10" t="s">
        <v>1538</v>
      </c>
      <c r="C545" s="10" t="s">
        <v>1562</v>
      </c>
      <c r="D545" s="68" t="s">
        <v>1559</v>
      </c>
      <c r="E545" s="10" t="s">
        <v>22</v>
      </c>
      <c r="F545" s="10">
        <v>1293</v>
      </c>
      <c r="G545" s="10" t="s">
        <v>1662</v>
      </c>
      <c r="H545" s="5">
        <v>1260</v>
      </c>
      <c r="I545" s="69">
        <v>0.97447795823665895</v>
      </c>
      <c r="J545" s="10">
        <v>0</v>
      </c>
      <c r="K545" s="70">
        <v>0</v>
      </c>
      <c r="L545" s="10">
        <v>0</v>
      </c>
      <c r="M545" s="70">
        <v>0</v>
      </c>
      <c r="N545" s="72">
        <v>0</v>
      </c>
      <c r="O545" s="180">
        <f t="shared" si="34"/>
        <v>0</v>
      </c>
      <c r="P545" s="72">
        <v>33</v>
      </c>
      <c r="Q545" s="73">
        <v>2.5522041763341066E-2</v>
      </c>
      <c r="R545" s="10">
        <v>0</v>
      </c>
      <c r="S545" s="70">
        <v>0</v>
      </c>
      <c r="T545" s="10">
        <v>0</v>
      </c>
      <c r="U545" s="74">
        <v>0</v>
      </c>
      <c r="V545" s="75">
        <v>2.5522041763341066E-2</v>
      </c>
      <c r="W545" s="168" t="s">
        <v>2104</v>
      </c>
    </row>
    <row r="546" spans="1:23">
      <c r="A546" s="84" t="s">
        <v>1661</v>
      </c>
      <c r="B546" s="10" t="s">
        <v>1538</v>
      </c>
      <c r="C546" s="10" t="s">
        <v>31</v>
      </c>
      <c r="D546" s="10" t="s">
        <v>1536</v>
      </c>
      <c r="E546" s="10" t="s">
        <v>1539</v>
      </c>
      <c r="F546" s="10">
        <v>3060</v>
      </c>
      <c r="G546" s="77" t="s">
        <v>1540</v>
      </c>
      <c r="H546" s="5">
        <v>2413</v>
      </c>
      <c r="I546" s="69">
        <v>0.78856209150326795</v>
      </c>
      <c r="J546" s="5">
        <v>26</v>
      </c>
      <c r="K546" s="70">
        <v>8.4967320261437902E-3</v>
      </c>
      <c r="L546" s="5">
        <v>498</v>
      </c>
      <c r="M546" s="70">
        <v>0.16274509803921569</v>
      </c>
      <c r="N546" s="72">
        <v>123</v>
      </c>
      <c r="O546" s="180">
        <f t="shared" si="34"/>
        <v>4.0196078431372548</v>
      </c>
      <c r="P546" s="72">
        <v>0</v>
      </c>
      <c r="Q546" s="73">
        <v>0</v>
      </c>
      <c r="R546" s="10">
        <v>0</v>
      </c>
      <c r="S546" s="70">
        <v>0</v>
      </c>
      <c r="T546" s="10">
        <v>0</v>
      </c>
      <c r="U546" s="74">
        <v>0</v>
      </c>
      <c r="V546" s="75">
        <v>4.0196078431372552E-2</v>
      </c>
      <c r="W546" s="168" t="s">
        <v>1195</v>
      </c>
    </row>
    <row r="547" spans="1:23">
      <c r="A547" s="84" t="s">
        <v>1661</v>
      </c>
      <c r="B547" s="10" t="s">
        <v>1538</v>
      </c>
      <c r="C547" s="10" t="s">
        <v>31</v>
      </c>
      <c r="D547" s="10" t="s">
        <v>1536</v>
      </c>
      <c r="E547" s="10" t="s">
        <v>22</v>
      </c>
      <c r="F547" s="10">
        <v>2455</v>
      </c>
      <c r="G547" s="77" t="s">
        <v>1540</v>
      </c>
      <c r="H547" s="5">
        <v>1661</v>
      </c>
      <c r="I547" s="69">
        <v>0.67657841140529529</v>
      </c>
      <c r="J547" s="10">
        <v>0</v>
      </c>
      <c r="K547" s="70">
        <v>0</v>
      </c>
      <c r="L547" s="5">
        <v>249</v>
      </c>
      <c r="M547" s="70">
        <v>0.10142566191446029</v>
      </c>
      <c r="N547" s="72">
        <v>545</v>
      </c>
      <c r="O547" s="180">
        <f t="shared" si="34"/>
        <v>22.19959266802444</v>
      </c>
      <c r="P547" s="72">
        <v>0</v>
      </c>
      <c r="Q547" s="73">
        <v>0</v>
      </c>
      <c r="R547" s="10">
        <v>0</v>
      </c>
      <c r="S547" s="70">
        <v>0</v>
      </c>
      <c r="T547" s="10">
        <v>0</v>
      </c>
      <c r="U547" s="74">
        <v>0</v>
      </c>
      <c r="V547" s="75">
        <v>0.2219959266802444</v>
      </c>
      <c r="W547" s="168" t="s">
        <v>1195</v>
      </c>
    </row>
    <row r="548" spans="1:23">
      <c r="A548" s="84" t="s">
        <v>1661</v>
      </c>
      <c r="B548" s="10" t="s">
        <v>1538</v>
      </c>
      <c r="C548" s="68" t="s">
        <v>1533</v>
      </c>
      <c r="D548" s="68" t="s">
        <v>1559</v>
      </c>
      <c r="E548" s="10" t="s">
        <v>1685</v>
      </c>
      <c r="F548" s="10">
        <v>2250</v>
      </c>
      <c r="G548" s="10" t="s">
        <v>1533</v>
      </c>
      <c r="H548" s="5">
        <v>2090</v>
      </c>
      <c r="I548" s="69">
        <v>0.92888888888888888</v>
      </c>
      <c r="J548" s="10">
        <v>0</v>
      </c>
      <c r="K548" s="70">
        <v>0</v>
      </c>
      <c r="L548" s="10">
        <v>0</v>
      </c>
      <c r="M548" s="70">
        <v>0</v>
      </c>
      <c r="N548" s="72">
        <v>0</v>
      </c>
      <c r="O548" s="180">
        <f t="shared" si="34"/>
        <v>0</v>
      </c>
      <c r="P548" s="72">
        <v>160</v>
      </c>
      <c r="Q548" s="73">
        <v>7.1111111111111111E-2</v>
      </c>
      <c r="R548" s="10">
        <v>0</v>
      </c>
      <c r="S548" s="70">
        <v>0</v>
      </c>
      <c r="T548" s="10">
        <v>0</v>
      </c>
      <c r="U548" s="74">
        <v>0</v>
      </c>
      <c r="V548" s="75">
        <v>7.1111111111111111E-2</v>
      </c>
      <c r="W548" s="168" t="s">
        <v>1195</v>
      </c>
    </row>
    <row r="549" spans="1:23">
      <c r="A549" s="84" t="s">
        <v>1664</v>
      </c>
      <c r="B549" s="10" t="s">
        <v>1530</v>
      </c>
      <c r="C549" s="10" t="s">
        <v>31</v>
      </c>
      <c r="D549" s="10" t="s">
        <v>1536</v>
      </c>
      <c r="E549" s="10" t="s">
        <v>22</v>
      </c>
      <c r="F549" s="10">
        <v>7327</v>
      </c>
      <c r="G549" s="10" t="s">
        <v>1537</v>
      </c>
      <c r="H549" s="5">
        <v>3964</v>
      </c>
      <c r="I549" s="69">
        <v>0.54101269278012831</v>
      </c>
      <c r="J549" s="5">
        <v>1019</v>
      </c>
      <c r="K549" s="70">
        <v>0.13907465538419544</v>
      </c>
      <c r="L549" s="5">
        <v>466</v>
      </c>
      <c r="M549" s="70">
        <v>6.360038214821892E-2</v>
      </c>
      <c r="N549" s="72">
        <v>886</v>
      </c>
      <c r="O549" s="180">
        <f t="shared" si="34"/>
        <v>12.092261498566945</v>
      </c>
      <c r="P549" s="72">
        <v>533</v>
      </c>
      <c r="Q549" s="73">
        <v>7.2744643100859832E-2</v>
      </c>
      <c r="R549" s="5">
        <v>459</v>
      </c>
      <c r="S549" s="70">
        <v>6.2645011600928072E-2</v>
      </c>
      <c r="T549" s="10">
        <v>0</v>
      </c>
      <c r="U549" s="74">
        <v>0</v>
      </c>
      <c r="V549" s="75">
        <v>0.25631226968745735</v>
      </c>
      <c r="W549" s="168" t="s">
        <v>1195</v>
      </c>
    </row>
    <row r="550" spans="1:23">
      <c r="A550" s="84" t="s">
        <v>1664</v>
      </c>
      <c r="B550" s="10" t="s">
        <v>1530</v>
      </c>
      <c r="C550" s="10" t="s">
        <v>24</v>
      </c>
      <c r="D550" s="10" t="s">
        <v>1611</v>
      </c>
      <c r="E550" s="10" t="s">
        <v>1539</v>
      </c>
      <c r="F550" s="10">
        <v>7005</v>
      </c>
      <c r="G550" s="10" t="s">
        <v>1544</v>
      </c>
      <c r="H550" s="5">
        <v>6840</v>
      </c>
      <c r="I550" s="69">
        <v>0.97644539614561032</v>
      </c>
      <c r="J550" s="10">
        <v>0</v>
      </c>
      <c r="K550" s="70">
        <v>0</v>
      </c>
      <c r="L550" s="5">
        <v>0</v>
      </c>
      <c r="M550" s="70">
        <v>0</v>
      </c>
      <c r="N550" s="72">
        <v>20</v>
      </c>
      <c r="O550" s="180">
        <f t="shared" si="34"/>
        <v>0.28551034975017847</v>
      </c>
      <c r="P550" s="72">
        <v>145</v>
      </c>
      <c r="Q550" s="73">
        <v>2.0699500356887938E-2</v>
      </c>
      <c r="R550" s="10">
        <v>0</v>
      </c>
      <c r="S550" s="70">
        <v>0</v>
      </c>
      <c r="T550" s="10">
        <v>0</v>
      </c>
      <c r="U550" s="74">
        <v>0</v>
      </c>
      <c r="V550" s="75">
        <v>2.3554603854389723E-2</v>
      </c>
      <c r="W550" s="168" t="s">
        <v>2104</v>
      </c>
    </row>
    <row r="551" spans="1:23">
      <c r="A551" s="84" t="s">
        <v>1664</v>
      </c>
      <c r="B551" s="10" t="s">
        <v>1530</v>
      </c>
      <c r="C551" s="10" t="s">
        <v>24</v>
      </c>
      <c r="D551" s="10" t="s">
        <v>1534</v>
      </c>
      <c r="E551" s="10" t="s">
        <v>22</v>
      </c>
      <c r="F551" s="10">
        <v>8378</v>
      </c>
      <c r="G551" s="10" t="s">
        <v>1532</v>
      </c>
      <c r="H551" s="5">
        <v>8091</v>
      </c>
      <c r="I551" s="69">
        <v>0.96574361422773936</v>
      </c>
      <c r="J551" s="10">
        <v>17</v>
      </c>
      <c r="K551" s="70">
        <v>2.0291238959178801E-3</v>
      </c>
      <c r="L551" s="5">
        <v>0</v>
      </c>
      <c r="M551" s="70">
        <v>0</v>
      </c>
      <c r="N551" s="72">
        <v>135</v>
      </c>
      <c r="O551" s="180">
        <f t="shared" si="34"/>
        <v>1.6113630938171402</v>
      </c>
      <c r="P551" s="72">
        <v>135</v>
      </c>
      <c r="Q551" s="73">
        <v>1.6113630938171402E-2</v>
      </c>
      <c r="R551" s="10">
        <v>0</v>
      </c>
      <c r="S551" s="70">
        <v>0</v>
      </c>
      <c r="T551" s="10">
        <v>0</v>
      </c>
      <c r="U551" s="74">
        <v>0</v>
      </c>
      <c r="V551" s="75">
        <v>3.2227261876342804E-2</v>
      </c>
      <c r="W551" s="168" t="s">
        <v>2104</v>
      </c>
    </row>
    <row r="552" spans="1:23">
      <c r="A552" s="84" t="s">
        <v>1664</v>
      </c>
      <c r="B552" s="10" t="s">
        <v>1538</v>
      </c>
      <c r="C552" s="10" t="s">
        <v>31</v>
      </c>
      <c r="D552" s="10" t="s">
        <v>1536</v>
      </c>
      <c r="E552" s="10" t="s">
        <v>1539</v>
      </c>
      <c r="F552" s="10">
        <v>9900</v>
      </c>
      <c r="G552" s="77" t="s">
        <v>1540</v>
      </c>
      <c r="H552" s="5">
        <v>7415</v>
      </c>
      <c r="I552" s="69">
        <v>0.74898989898989898</v>
      </c>
      <c r="J552" s="5">
        <v>160</v>
      </c>
      <c r="K552" s="70">
        <v>1.6161616161616162E-2</v>
      </c>
      <c r="L552" s="5">
        <v>1337</v>
      </c>
      <c r="M552" s="70">
        <v>0.13505050505050506</v>
      </c>
      <c r="N552" s="78">
        <v>970</v>
      </c>
      <c r="O552" s="180">
        <f t="shared" si="34"/>
        <v>9.7979797979797993</v>
      </c>
      <c r="P552" s="72">
        <v>0</v>
      </c>
      <c r="Q552" s="73">
        <v>0</v>
      </c>
      <c r="R552" s="10">
        <v>0</v>
      </c>
      <c r="S552" s="70">
        <v>0</v>
      </c>
      <c r="T552" s="10">
        <v>18</v>
      </c>
      <c r="U552" s="74">
        <v>1.8181818181818182E-3</v>
      </c>
      <c r="V552" s="75">
        <v>9.9797979797979802E-2</v>
      </c>
      <c r="W552" s="168" t="s">
        <v>1195</v>
      </c>
    </row>
    <row r="553" spans="1:23">
      <c r="A553" s="84" t="s">
        <v>1664</v>
      </c>
      <c r="B553" s="10" t="s">
        <v>1538</v>
      </c>
      <c r="C553" s="68" t="s">
        <v>1533</v>
      </c>
      <c r="D553" s="68" t="s">
        <v>1559</v>
      </c>
      <c r="E553" s="10" t="s">
        <v>1685</v>
      </c>
      <c r="F553" s="10">
        <v>11460</v>
      </c>
      <c r="G553" s="10" t="s">
        <v>1533</v>
      </c>
      <c r="H553" s="5">
        <v>11400</v>
      </c>
      <c r="I553" s="69">
        <v>0.99476439790575921</v>
      </c>
      <c r="J553" s="10">
        <v>0</v>
      </c>
      <c r="K553" s="70">
        <v>0</v>
      </c>
      <c r="L553" s="5">
        <v>0</v>
      </c>
      <c r="M553" s="70">
        <v>0</v>
      </c>
      <c r="N553" s="72">
        <v>0</v>
      </c>
      <c r="O553" s="180">
        <f t="shared" si="34"/>
        <v>0</v>
      </c>
      <c r="P553" s="72">
        <v>60</v>
      </c>
      <c r="Q553" s="73">
        <v>5.235602094240838E-3</v>
      </c>
      <c r="R553" s="10">
        <v>0</v>
      </c>
      <c r="S553" s="70">
        <v>0</v>
      </c>
      <c r="T553" s="10">
        <v>0</v>
      </c>
      <c r="U553" s="74">
        <v>0</v>
      </c>
      <c r="V553" s="75">
        <v>5.235602094240838E-3</v>
      </c>
      <c r="W553" s="168" t="s">
        <v>1195</v>
      </c>
    </row>
    <row r="554" spans="1:23">
      <c r="A554" s="84" t="s">
        <v>1665</v>
      </c>
      <c r="B554" s="10" t="s">
        <v>1530</v>
      </c>
      <c r="C554" s="10" t="s">
        <v>24</v>
      </c>
      <c r="D554" s="10" t="s">
        <v>1536</v>
      </c>
      <c r="E554" s="10" t="s">
        <v>22</v>
      </c>
      <c r="F554" s="10">
        <v>8637</v>
      </c>
      <c r="G554" s="10" t="s">
        <v>1532</v>
      </c>
      <c r="H554" s="5">
        <v>8284</v>
      </c>
      <c r="I554" s="69">
        <v>0.95912932731272438</v>
      </c>
      <c r="J554" s="10">
        <v>35</v>
      </c>
      <c r="K554" s="70">
        <v>4.0523329859905059E-3</v>
      </c>
      <c r="L554" s="10">
        <v>0</v>
      </c>
      <c r="M554" s="70">
        <v>0</v>
      </c>
      <c r="N554" s="72">
        <v>115</v>
      </c>
      <c r="O554" s="180">
        <f t="shared" si="34"/>
        <v>1.3314808382540233</v>
      </c>
      <c r="P554" s="72">
        <v>203</v>
      </c>
      <c r="Q554" s="73">
        <v>2.3503531318744934E-2</v>
      </c>
      <c r="R554" s="10">
        <v>0</v>
      </c>
      <c r="S554" s="70">
        <v>0</v>
      </c>
      <c r="T554" s="10">
        <v>0</v>
      </c>
      <c r="U554" s="74">
        <v>0</v>
      </c>
      <c r="V554" s="75">
        <v>3.6818339701285167E-2</v>
      </c>
      <c r="W554" s="168" t="s">
        <v>2104</v>
      </c>
    </row>
    <row r="555" spans="1:23">
      <c r="A555" s="84" t="s">
        <v>1665</v>
      </c>
      <c r="B555" s="10" t="s">
        <v>1530</v>
      </c>
      <c r="C555" s="10" t="s">
        <v>31</v>
      </c>
      <c r="D555" s="10" t="s">
        <v>1536</v>
      </c>
      <c r="E555" s="10" t="s">
        <v>22</v>
      </c>
      <c r="F555" s="10">
        <v>2790</v>
      </c>
      <c r="G555" s="10" t="s">
        <v>1537</v>
      </c>
      <c r="H555" s="5">
        <v>482</v>
      </c>
      <c r="I555" s="69">
        <v>0.17275985663082438</v>
      </c>
      <c r="J555" s="5">
        <v>1357</v>
      </c>
      <c r="K555" s="70">
        <v>0.48637992831541221</v>
      </c>
      <c r="L555" s="5">
        <v>218</v>
      </c>
      <c r="M555" s="70">
        <v>7.8136200716845877E-2</v>
      </c>
      <c r="N555" s="72">
        <v>306</v>
      </c>
      <c r="O555" s="180">
        <f t="shared" si="34"/>
        <v>10.967741935483872</v>
      </c>
      <c r="P555" s="72">
        <v>303</v>
      </c>
      <c r="Q555" s="73">
        <v>0.1086021505376344</v>
      </c>
      <c r="R555" s="5">
        <v>124</v>
      </c>
      <c r="S555" s="70">
        <v>4.4444444444444446E-2</v>
      </c>
      <c r="T555" s="10">
        <v>0</v>
      </c>
      <c r="U555" s="74">
        <v>0</v>
      </c>
      <c r="V555" s="75">
        <v>0.26272401433691756</v>
      </c>
      <c r="W555" s="168" t="s">
        <v>1195</v>
      </c>
    </row>
    <row r="556" spans="1:23">
      <c r="A556" s="84" t="s">
        <v>1665</v>
      </c>
      <c r="B556" s="10" t="s">
        <v>1530</v>
      </c>
      <c r="C556" s="76" t="s">
        <v>29</v>
      </c>
      <c r="D556" s="10" t="s">
        <v>1611</v>
      </c>
      <c r="E556" s="10" t="s">
        <v>1666</v>
      </c>
      <c r="F556" s="10">
        <v>8030</v>
      </c>
      <c r="G556" s="10" t="s">
        <v>1551</v>
      </c>
      <c r="H556" s="5">
        <v>7920</v>
      </c>
      <c r="I556" s="69">
        <v>0.98630136986301364</v>
      </c>
      <c r="J556" s="10">
        <v>0</v>
      </c>
      <c r="K556" s="70">
        <v>0</v>
      </c>
      <c r="L556" s="10">
        <v>0</v>
      </c>
      <c r="M556" s="70">
        <v>0</v>
      </c>
      <c r="N556" s="72">
        <v>57</v>
      </c>
      <c r="O556" s="180">
        <f t="shared" si="34"/>
        <v>0.70983810709838113</v>
      </c>
      <c r="P556" s="72">
        <v>53</v>
      </c>
      <c r="Q556" s="73">
        <v>6.6002490660024907E-3</v>
      </c>
      <c r="R556" s="10">
        <v>0</v>
      </c>
      <c r="S556" s="70">
        <v>0</v>
      </c>
      <c r="T556" s="10">
        <v>0</v>
      </c>
      <c r="U556" s="74">
        <v>0</v>
      </c>
      <c r="V556" s="75">
        <v>1.3698630136986301E-2</v>
      </c>
      <c r="W556" s="168" t="s">
        <v>2107</v>
      </c>
    </row>
    <row r="557" spans="1:23">
      <c r="A557" s="84" t="s">
        <v>1665</v>
      </c>
      <c r="B557" s="10" t="s">
        <v>1538</v>
      </c>
      <c r="C557" s="68" t="s">
        <v>1533</v>
      </c>
      <c r="D557" s="68" t="s">
        <v>1559</v>
      </c>
      <c r="E557" s="10" t="s">
        <v>1685</v>
      </c>
      <c r="F557" s="10">
        <v>11460</v>
      </c>
      <c r="G557" s="10" t="s">
        <v>1533</v>
      </c>
      <c r="H557" s="5">
        <v>11400</v>
      </c>
      <c r="I557" s="69">
        <v>0.99476439790575921</v>
      </c>
      <c r="J557" s="10">
        <v>0</v>
      </c>
      <c r="K557" s="70">
        <v>0</v>
      </c>
      <c r="L557" s="10">
        <v>0</v>
      </c>
      <c r="M557" s="70">
        <v>0</v>
      </c>
      <c r="N557" s="72">
        <v>11</v>
      </c>
      <c r="O557" s="180">
        <f t="shared" si="34"/>
        <v>9.5986038394415357E-2</v>
      </c>
      <c r="P557" s="72">
        <v>49</v>
      </c>
      <c r="Q557" s="73">
        <v>4.2757417102966839E-3</v>
      </c>
      <c r="R557" s="10">
        <v>0</v>
      </c>
      <c r="S557" s="70">
        <v>0</v>
      </c>
      <c r="T557" s="10">
        <v>0</v>
      </c>
      <c r="U557" s="74">
        <v>0</v>
      </c>
      <c r="V557" s="75">
        <v>5.2356020942408371E-3</v>
      </c>
      <c r="W557" s="168" t="s">
        <v>1195</v>
      </c>
    </row>
    <row r="558" spans="1:23">
      <c r="A558" s="84" t="s">
        <v>1665</v>
      </c>
      <c r="B558" s="10" t="s">
        <v>1538</v>
      </c>
      <c r="C558" s="10" t="s">
        <v>31</v>
      </c>
      <c r="D558" s="10" t="s">
        <v>1536</v>
      </c>
      <c r="E558" s="10" t="s">
        <v>1539</v>
      </c>
      <c r="F558" s="10">
        <v>7740</v>
      </c>
      <c r="G558" s="77" t="s">
        <v>1540</v>
      </c>
      <c r="H558" s="5">
        <v>6479</v>
      </c>
      <c r="I558" s="69">
        <v>0.83708010335917316</v>
      </c>
      <c r="J558" s="5">
        <v>134</v>
      </c>
      <c r="K558" s="70">
        <v>1.7312661498708009E-2</v>
      </c>
      <c r="L558" s="5">
        <v>604</v>
      </c>
      <c r="M558" s="70">
        <v>7.8036175710594319E-2</v>
      </c>
      <c r="N558" s="72">
        <v>523</v>
      </c>
      <c r="O558" s="180">
        <f t="shared" si="34"/>
        <v>6.7571059431524541</v>
      </c>
      <c r="P558" s="72">
        <v>0</v>
      </c>
      <c r="Q558" s="73">
        <v>0</v>
      </c>
      <c r="R558" s="10">
        <v>0</v>
      </c>
      <c r="S558" s="70">
        <v>0</v>
      </c>
      <c r="T558" s="10">
        <v>0</v>
      </c>
      <c r="U558" s="74">
        <v>0</v>
      </c>
      <c r="V558" s="75">
        <v>6.7571059431524541E-2</v>
      </c>
      <c r="W558" s="168" t="s">
        <v>1195</v>
      </c>
    </row>
    <row r="559" spans="1:23">
      <c r="A559" s="84" t="s">
        <v>1665</v>
      </c>
      <c r="B559" s="10" t="s">
        <v>1538</v>
      </c>
      <c r="C559" s="10" t="s">
        <v>31</v>
      </c>
      <c r="D559" s="10" t="s">
        <v>1536</v>
      </c>
      <c r="E559" s="10" t="s">
        <v>22</v>
      </c>
      <c r="F559" s="10">
        <v>630</v>
      </c>
      <c r="G559" s="77" t="s">
        <v>1540</v>
      </c>
      <c r="H559" s="5">
        <v>409</v>
      </c>
      <c r="I559" s="69">
        <v>0.64920634920634923</v>
      </c>
      <c r="J559" s="10">
        <v>0</v>
      </c>
      <c r="K559" s="70">
        <v>0</v>
      </c>
      <c r="L559" s="5">
        <v>67</v>
      </c>
      <c r="M559" s="70">
        <v>0.10634920634920635</v>
      </c>
      <c r="N559" s="72">
        <v>154</v>
      </c>
      <c r="O559" s="180">
        <f t="shared" si="34"/>
        <v>24.444444444444443</v>
      </c>
      <c r="P559" s="72">
        <v>0</v>
      </c>
      <c r="Q559" s="73">
        <v>0</v>
      </c>
      <c r="R559" s="10">
        <v>0</v>
      </c>
      <c r="S559" s="70">
        <v>0</v>
      </c>
      <c r="T559" s="10">
        <v>0</v>
      </c>
      <c r="U559" s="74">
        <v>0</v>
      </c>
      <c r="V559" s="75">
        <v>0.24444444444444444</v>
      </c>
      <c r="W559" s="168" t="s">
        <v>1195</v>
      </c>
    </row>
    <row r="560" spans="1:23">
      <c r="A560" s="84" t="s">
        <v>1665</v>
      </c>
      <c r="B560" s="10" t="s">
        <v>1538</v>
      </c>
      <c r="C560" s="76" t="s">
        <v>27</v>
      </c>
      <c r="D560" s="10" t="s">
        <v>1536</v>
      </c>
      <c r="E560" s="10" t="s">
        <v>1539</v>
      </c>
      <c r="F560" s="10">
        <v>3600</v>
      </c>
      <c r="G560" s="10" t="s">
        <v>1544</v>
      </c>
      <c r="H560" s="5">
        <v>3158</v>
      </c>
      <c r="I560" s="69">
        <v>0.87722222222222224</v>
      </c>
      <c r="J560" s="5">
        <v>270</v>
      </c>
      <c r="K560" s="70">
        <v>7.4999999999999997E-2</v>
      </c>
      <c r="L560" s="5">
        <v>0</v>
      </c>
      <c r="M560" s="70">
        <v>0</v>
      </c>
      <c r="N560" s="72">
        <v>43</v>
      </c>
      <c r="O560" s="180">
        <f t="shared" si="34"/>
        <v>1.1944444444444444</v>
      </c>
      <c r="P560" s="72">
        <v>129</v>
      </c>
      <c r="Q560" s="73">
        <v>3.5833333333333335E-2</v>
      </c>
      <c r="R560" s="10">
        <v>0</v>
      </c>
      <c r="S560" s="70">
        <v>0</v>
      </c>
      <c r="T560" s="10">
        <v>0</v>
      </c>
      <c r="U560" s="74">
        <v>0</v>
      </c>
      <c r="V560" s="75">
        <v>4.777777777777778E-2</v>
      </c>
      <c r="W560" s="168" t="s">
        <v>2107</v>
      </c>
    </row>
    <row r="561" spans="1:23">
      <c r="A561" s="84" t="s">
        <v>1667</v>
      </c>
      <c r="B561" s="10" t="s">
        <v>1530</v>
      </c>
      <c r="C561" s="76" t="s">
        <v>29</v>
      </c>
      <c r="D561" s="10" t="s">
        <v>1611</v>
      </c>
      <c r="E561" s="10" t="s">
        <v>1666</v>
      </c>
      <c r="F561" s="10">
        <v>16760</v>
      </c>
      <c r="G561" s="10" t="s">
        <v>1551</v>
      </c>
      <c r="H561" s="5">
        <v>16740</v>
      </c>
      <c r="I561" s="69">
        <v>0.99880668257756566</v>
      </c>
      <c r="J561" s="10">
        <v>0</v>
      </c>
      <c r="K561" s="70">
        <v>0</v>
      </c>
      <c r="L561" s="10">
        <v>0</v>
      </c>
      <c r="M561" s="70">
        <v>0</v>
      </c>
      <c r="N561" s="72">
        <v>50</v>
      </c>
      <c r="O561" s="180">
        <f t="shared" si="34"/>
        <v>0.29832935560859186</v>
      </c>
      <c r="P561" s="72">
        <v>0</v>
      </c>
      <c r="Q561" s="73">
        <v>0</v>
      </c>
      <c r="R561" s="10">
        <v>0</v>
      </c>
      <c r="S561" s="70">
        <v>0</v>
      </c>
      <c r="T561" s="10">
        <v>0</v>
      </c>
      <c r="U561" s="74">
        <v>0</v>
      </c>
      <c r="V561" s="75">
        <v>2.9832935560859188E-3</v>
      </c>
      <c r="W561" s="168" t="s">
        <v>2107</v>
      </c>
    </row>
    <row r="562" spans="1:23">
      <c r="A562" s="84" t="s">
        <v>1667</v>
      </c>
      <c r="B562" s="10" t="s">
        <v>1530</v>
      </c>
      <c r="C562" s="76" t="s">
        <v>29</v>
      </c>
      <c r="D562" s="10" t="s">
        <v>1534</v>
      </c>
      <c r="E562" s="10" t="s">
        <v>1666</v>
      </c>
      <c r="F562" s="10">
        <v>8460</v>
      </c>
      <c r="G562" s="10" t="s">
        <v>1551</v>
      </c>
      <c r="H562" s="5">
        <v>8407</v>
      </c>
      <c r="I562" s="69">
        <v>0.99373522458628838</v>
      </c>
      <c r="J562" s="10">
        <v>4</v>
      </c>
      <c r="K562" s="70">
        <v>4.7281323877068556E-4</v>
      </c>
      <c r="L562" s="10">
        <v>0</v>
      </c>
      <c r="M562" s="70">
        <v>0</v>
      </c>
      <c r="N562" s="72">
        <v>95</v>
      </c>
      <c r="O562" s="180">
        <f t="shared" si="34"/>
        <v>1.1229314420803782</v>
      </c>
      <c r="P562" s="72">
        <v>0</v>
      </c>
      <c r="Q562" s="73">
        <v>0</v>
      </c>
      <c r="R562" s="10">
        <v>0</v>
      </c>
      <c r="S562" s="70">
        <v>0</v>
      </c>
      <c r="T562" s="10">
        <v>0</v>
      </c>
      <c r="U562" s="74">
        <v>0</v>
      </c>
      <c r="V562" s="75">
        <v>1.1229314420803783E-2</v>
      </c>
      <c r="W562" s="168" t="s">
        <v>2107</v>
      </c>
    </row>
    <row r="563" spans="1:23">
      <c r="A563" s="84" t="s">
        <v>1667</v>
      </c>
      <c r="B563" s="10" t="s">
        <v>1530</v>
      </c>
      <c r="C563" s="10" t="s">
        <v>24</v>
      </c>
      <c r="D563" s="10" t="s">
        <v>1534</v>
      </c>
      <c r="E563" s="10" t="s">
        <v>22</v>
      </c>
      <c r="F563" s="10">
        <v>4880</v>
      </c>
      <c r="G563" s="10" t="s">
        <v>1532</v>
      </c>
      <c r="H563" s="5">
        <v>4832</v>
      </c>
      <c r="I563" s="69">
        <v>0.99016393442622952</v>
      </c>
      <c r="J563" s="10">
        <v>10</v>
      </c>
      <c r="K563" s="70">
        <v>2.0491803278688526E-3</v>
      </c>
      <c r="L563" s="10">
        <v>0</v>
      </c>
      <c r="M563" s="70">
        <v>0</v>
      </c>
      <c r="N563" s="72">
        <v>35</v>
      </c>
      <c r="O563" s="180">
        <f t="shared" si="34"/>
        <v>0.71721311475409832</v>
      </c>
      <c r="P563" s="72">
        <v>3</v>
      </c>
      <c r="Q563" s="73">
        <v>6.1475409836065579E-4</v>
      </c>
      <c r="R563" s="10">
        <v>0</v>
      </c>
      <c r="S563" s="70">
        <v>0</v>
      </c>
      <c r="T563" s="10">
        <v>0</v>
      </c>
      <c r="U563" s="74">
        <v>0</v>
      </c>
      <c r="V563" s="75">
        <v>7.7868852459016397E-3</v>
      </c>
      <c r="W563" s="168" t="s">
        <v>2104</v>
      </c>
    </row>
    <row r="564" spans="1:23">
      <c r="A564" s="84" t="s">
        <v>1667</v>
      </c>
      <c r="B564" s="10" t="s">
        <v>1530</v>
      </c>
      <c r="C564" s="10" t="s">
        <v>24</v>
      </c>
      <c r="D564" s="10" t="s">
        <v>1534</v>
      </c>
      <c r="E564" s="10" t="s">
        <v>1539</v>
      </c>
      <c r="F564" s="10">
        <v>3366</v>
      </c>
      <c r="G564" s="10" t="s">
        <v>1532</v>
      </c>
      <c r="H564" s="5">
        <v>3331</v>
      </c>
      <c r="I564" s="69">
        <v>0.9896019013666072</v>
      </c>
      <c r="J564" s="10">
        <v>10</v>
      </c>
      <c r="K564" s="70">
        <v>2.9708853238265003E-3</v>
      </c>
      <c r="L564" s="10">
        <v>0</v>
      </c>
      <c r="M564" s="70">
        <v>0</v>
      </c>
      <c r="N564" s="72">
        <v>25</v>
      </c>
      <c r="O564" s="180">
        <f t="shared" si="34"/>
        <v>0.74272133095662507</v>
      </c>
      <c r="P564" s="72">
        <v>0</v>
      </c>
      <c r="Q564" s="73">
        <v>0</v>
      </c>
      <c r="R564" s="10">
        <v>0</v>
      </c>
      <c r="S564" s="70">
        <v>0</v>
      </c>
      <c r="T564" s="10">
        <v>0</v>
      </c>
      <c r="U564" s="74">
        <v>0</v>
      </c>
      <c r="V564" s="75">
        <v>7.4272133095662505E-3</v>
      </c>
      <c r="W564" s="168" t="s">
        <v>2104</v>
      </c>
    </row>
    <row r="565" spans="1:23">
      <c r="A565" s="84" t="s">
        <v>1667</v>
      </c>
      <c r="B565" s="10" t="s">
        <v>1538</v>
      </c>
      <c r="C565" s="10" t="s">
        <v>31</v>
      </c>
      <c r="D565" s="10" t="s">
        <v>1536</v>
      </c>
      <c r="E565" s="10" t="s">
        <v>1539</v>
      </c>
      <c r="F565" s="10">
        <v>1620</v>
      </c>
      <c r="G565" s="77" t="s">
        <v>1540</v>
      </c>
      <c r="H565" s="5">
        <v>1382</v>
      </c>
      <c r="I565" s="69">
        <v>0.85308641975308641</v>
      </c>
      <c r="J565" s="10">
        <v>0</v>
      </c>
      <c r="K565" s="70">
        <v>0</v>
      </c>
      <c r="L565" s="5">
        <v>123</v>
      </c>
      <c r="M565" s="70">
        <v>7.5925925925925924E-2</v>
      </c>
      <c r="N565" s="72">
        <v>115</v>
      </c>
      <c r="O565" s="180">
        <f t="shared" si="34"/>
        <v>7.098765432098765</v>
      </c>
      <c r="P565" s="72">
        <v>0</v>
      </c>
      <c r="Q565" s="73">
        <v>0</v>
      </c>
      <c r="R565" s="10">
        <v>0</v>
      </c>
      <c r="S565" s="70">
        <v>0</v>
      </c>
      <c r="T565" s="10">
        <v>0</v>
      </c>
      <c r="U565" s="74">
        <v>0</v>
      </c>
      <c r="V565" s="75">
        <v>7.098765432098765E-2</v>
      </c>
      <c r="W565" s="168" t="s">
        <v>1195</v>
      </c>
    </row>
    <row r="566" spans="1:23">
      <c r="A566" s="84" t="s">
        <v>1667</v>
      </c>
      <c r="B566" s="10" t="s">
        <v>1538</v>
      </c>
      <c r="C566" s="10" t="s">
        <v>31</v>
      </c>
      <c r="D566" s="10" t="s">
        <v>1536</v>
      </c>
      <c r="E566" s="10" t="s">
        <v>22</v>
      </c>
      <c r="F566" s="10">
        <v>4238</v>
      </c>
      <c r="G566" s="77" t="s">
        <v>1540</v>
      </c>
      <c r="H566" s="5">
        <v>2233</v>
      </c>
      <c r="I566" s="69">
        <v>0.52689948088721095</v>
      </c>
      <c r="J566" s="5">
        <v>485</v>
      </c>
      <c r="K566" s="70">
        <v>0.1144407739499764</v>
      </c>
      <c r="L566" s="5">
        <v>611</v>
      </c>
      <c r="M566" s="70">
        <v>0.14417177914110429</v>
      </c>
      <c r="N566" s="72">
        <v>909</v>
      </c>
      <c r="O566" s="180">
        <f t="shared" si="34"/>
        <v>21.448796602170837</v>
      </c>
      <c r="P566" s="72">
        <v>0</v>
      </c>
      <c r="Q566" s="73">
        <v>0</v>
      </c>
      <c r="R566" s="10">
        <v>0</v>
      </c>
      <c r="S566" s="70">
        <v>0</v>
      </c>
      <c r="T566" s="10">
        <v>0</v>
      </c>
      <c r="U566" s="74">
        <v>0</v>
      </c>
      <c r="V566" s="75">
        <v>0.21448796602170836</v>
      </c>
      <c r="W566" s="168" t="s">
        <v>1195</v>
      </c>
    </row>
    <row r="567" spans="1:23">
      <c r="A567" s="84" t="s">
        <v>1667</v>
      </c>
      <c r="B567" s="10" t="s">
        <v>1538</v>
      </c>
      <c r="C567" s="76" t="s">
        <v>29</v>
      </c>
      <c r="D567" s="10" t="s">
        <v>1536</v>
      </c>
      <c r="E567" s="10" t="s">
        <v>22</v>
      </c>
      <c r="F567" s="10">
        <v>4844</v>
      </c>
      <c r="G567" s="10" t="s">
        <v>1551</v>
      </c>
      <c r="H567" s="5">
        <v>4258</v>
      </c>
      <c r="I567" s="69">
        <v>0.87902559867877783</v>
      </c>
      <c r="J567" s="5">
        <v>231</v>
      </c>
      <c r="K567" s="70">
        <v>4.7687861271676298E-2</v>
      </c>
      <c r="L567" s="5">
        <v>180</v>
      </c>
      <c r="M567" s="70">
        <v>3.7159372419488024E-2</v>
      </c>
      <c r="N567" s="72">
        <v>87</v>
      </c>
      <c r="O567" s="180">
        <f t="shared" si="34"/>
        <v>1.7960363336085878</v>
      </c>
      <c r="P567" s="72">
        <v>0</v>
      </c>
      <c r="Q567" s="73">
        <v>0</v>
      </c>
      <c r="R567" s="10">
        <v>0</v>
      </c>
      <c r="S567" s="70">
        <v>0</v>
      </c>
      <c r="T567" s="10">
        <v>88</v>
      </c>
      <c r="U567" s="74">
        <v>1.8166804293971925E-2</v>
      </c>
      <c r="V567" s="75">
        <v>3.6127167630057799E-2</v>
      </c>
      <c r="W567" s="168" t="s">
        <v>2107</v>
      </c>
    </row>
    <row r="568" spans="1:23">
      <c r="A568" s="84" t="s">
        <v>1668</v>
      </c>
      <c r="B568" s="10" t="s">
        <v>1530</v>
      </c>
      <c r="C568" s="76" t="s">
        <v>29</v>
      </c>
      <c r="D568" s="10" t="s">
        <v>1534</v>
      </c>
      <c r="E568" s="10" t="s">
        <v>1666</v>
      </c>
      <c r="F568" s="10">
        <v>16530</v>
      </c>
      <c r="G568" s="10" t="s">
        <v>1551</v>
      </c>
      <c r="H568" s="5">
        <v>15989</v>
      </c>
      <c r="I568" s="69">
        <v>0.96727162734422267</v>
      </c>
      <c r="J568" s="5">
        <v>0</v>
      </c>
      <c r="K568" s="70">
        <v>0</v>
      </c>
      <c r="L568" s="5">
        <v>180</v>
      </c>
      <c r="M568" s="70">
        <v>1.0889292196007259E-2</v>
      </c>
      <c r="N568" s="72">
        <v>361</v>
      </c>
      <c r="O568" s="180">
        <f t="shared" si="34"/>
        <v>2.1839080459770113</v>
      </c>
      <c r="P568" s="72">
        <v>0</v>
      </c>
      <c r="Q568" s="73">
        <v>0</v>
      </c>
      <c r="R568" s="10">
        <v>0</v>
      </c>
      <c r="S568" s="70">
        <v>0</v>
      </c>
      <c r="T568" s="10">
        <v>0</v>
      </c>
      <c r="U568" s="74">
        <v>0</v>
      </c>
      <c r="V568" s="75">
        <v>2.1839080459770115E-2</v>
      </c>
      <c r="W568" s="168" t="s">
        <v>2107</v>
      </c>
    </row>
    <row r="569" spans="1:23">
      <c r="A569" s="84" t="s">
        <v>1668</v>
      </c>
      <c r="B569" s="10" t="s">
        <v>1530</v>
      </c>
      <c r="C569" s="76" t="s">
        <v>29</v>
      </c>
      <c r="D569" s="10" t="s">
        <v>1611</v>
      </c>
      <c r="E569" s="10" t="s">
        <v>1666</v>
      </c>
      <c r="F569" s="10">
        <v>9930</v>
      </c>
      <c r="G569" s="10" t="s">
        <v>1551</v>
      </c>
      <c r="H569" s="5">
        <v>9720</v>
      </c>
      <c r="I569" s="69">
        <v>0.97885196374622352</v>
      </c>
      <c r="J569" s="5">
        <v>0</v>
      </c>
      <c r="K569" s="70">
        <v>0</v>
      </c>
      <c r="L569" s="5">
        <v>0</v>
      </c>
      <c r="M569" s="70">
        <v>0</v>
      </c>
      <c r="N569" s="72">
        <v>72</v>
      </c>
      <c r="O569" s="180">
        <f t="shared" si="34"/>
        <v>0.7250755287009063</v>
      </c>
      <c r="P569" s="72">
        <v>138</v>
      </c>
      <c r="Q569" s="73">
        <v>1.3897280966767372E-2</v>
      </c>
      <c r="R569" s="10">
        <v>0</v>
      </c>
      <c r="S569" s="70">
        <v>0</v>
      </c>
      <c r="T569" s="10">
        <v>0</v>
      </c>
      <c r="U569" s="74">
        <v>0</v>
      </c>
      <c r="V569" s="75">
        <v>2.1148036253776436E-2</v>
      </c>
      <c r="W569" s="168" t="s">
        <v>2107</v>
      </c>
    </row>
    <row r="570" spans="1:23">
      <c r="A570" s="84" t="s">
        <v>1668</v>
      </c>
      <c r="B570" s="10" t="s">
        <v>1530</v>
      </c>
      <c r="C570" s="10" t="s">
        <v>24</v>
      </c>
      <c r="D570" s="10" t="s">
        <v>1534</v>
      </c>
      <c r="E570" s="10" t="s">
        <v>22</v>
      </c>
      <c r="F570" s="10">
        <v>540</v>
      </c>
      <c r="G570" s="10" t="s">
        <v>1532</v>
      </c>
      <c r="H570" s="5">
        <v>505</v>
      </c>
      <c r="I570" s="69">
        <v>0.93518518518518523</v>
      </c>
      <c r="J570" s="5">
        <v>0</v>
      </c>
      <c r="K570" s="70">
        <v>0</v>
      </c>
      <c r="L570" s="5">
        <v>0</v>
      </c>
      <c r="M570" s="70">
        <v>0</v>
      </c>
      <c r="N570" s="72">
        <v>31</v>
      </c>
      <c r="O570" s="180">
        <f t="shared" si="34"/>
        <v>5.7407407407407405</v>
      </c>
      <c r="P570" s="72">
        <v>4</v>
      </c>
      <c r="Q570" s="73">
        <v>7.4074074074074077E-3</v>
      </c>
      <c r="R570" s="10">
        <v>0</v>
      </c>
      <c r="S570" s="70">
        <v>0</v>
      </c>
      <c r="T570" s="10">
        <v>0</v>
      </c>
      <c r="U570" s="74">
        <v>0</v>
      </c>
      <c r="V570" s="75">
        <v>6.4814814814814811E-2</v>
      </c>
      <c r="W570" s="168" t="s">
        <v>2104</v>
      </c>
    </row>
    <row r="571" spans="1:23">
      <c r="A571" s="84" t="s">
        <v>1668</v>
      </c>
      <c r="B571" s="10" t="s">
        <v>1530</v>
      </c>
      <c r="C571" s="10" t="s">
        <v>24</v>
      </c>
      <c r="D571" s="10" t="s">
        <v>1534</v>
      </c>
      <c r="E571" s="10" t="s">
        <v>1539</v>
      </c>
      <c r="F571" s="10">
        <v>570</v>
      </c>
      <c r="G571" s="10" t="s">
        <v>1532</v>
      </c>
      <c r="H571" s="5">
        <v>540</v>
      </c>
      <c r="I571" s="69">
        <v>0.94736842105263153</v>
      </c>
      <c r="J571" s="5">
        <v>0</v>
      </c>
      <c r="K571" s="70">
        <v>0</v>
      </c>
      <c r="L571" s="5">
        <v>0</v>
      </c>
      <c r="M571" s="70">
        <v>0</v>
      </c>
      <c r="N571" s="72">
        <v>25</v>
      </c>
      <c r="O571" s="180">
        <f t="shared" si="34"/>
        <v>4.3859649122807012</v>
      </c>
      <c r="P571" s="72">
        <v>5</v>
      </c>
      <c r="Q571" s="73">
        <v>8.771929824561403E-3</v>
      </c>
      <c r="R571" s="10">
        <v>0</v>
      </c>
      <c r="S571" s="70">
        <v>0</v>
      </c>
      <c r="T571" s="10">
        <v>0</v>
      </c>
      <c r="U571" s="74">
        <v>0</v>
      </c>
      <c r="V571" s="75">
        <v>5.2631578947368418E-2</v>
      </c>
      <c r="W571" s="168" t="s">
        <v>2104</v>
      </c>
    </row>
    <row r="572" spans="1:23">
      <c r="A572" s="84" t="s">
        <v>1668</v>
      </c>
      <c r="B572" s="10" t="s">
        <v>1538</v>
      </c>
      <c r="C572" s="68" t="s">
        <v>1533</v>
      </c>
      <c r="D572" s="68" t="s">
        <v>1559</v>
      </c>
      <c r="E572" s="10" t="s">
        <v>1539</v>
      </c>
      <c r="F572" s="10">
        <v>7790</v>
      </c>
      <c r="G572" s="10" t="s">
        <v>1533</v>
      </c>
      <c r="H572" s="5">
        <v>7790</v>
      </c>
      <c r="I572" s="69">
        <v>1</v>
      </c>
      <c r="J572" s="5">
        <v>0</v>
      </c>
      <c r="K572" s="70">
        <v>0</v>
      </c>
      <c r="L572" s="5">
        <v>0</v>
      </c>
      <c r="M572" s="70">
        <v>0</v>
      </c>
      <c r="N572" s="72">
        <v>0</v>
      </c>
      <c r="O572" s="180">
        <f t="shared" si="34"/>
        <v>0</v>
      </c>
      <c r="P572" s="72">
        <v>0</v>
      </c>
      <c r="Q572" s="73">
        <v>0</v>
      </c>
      <c r="R572" s="10">
        <v>0</v>
      </c>
      <c r="S572" s="70">
        <v>0</v>
      </c>
      <c r="T572" s="10">
        <v>0</v>
      </c>
      <c r="U572" s="74">
        <v>0</v>
      </c>
      <c r="V572" s="75">
        <v>0</v>
      </c>
      <c r="W572" s="168" t="s">
        <v>1109</v>
      </c>
    </row>
    <row r="573" spans="1:23">
      <c r="A573" s="84" t="s">
        <v>1668</v>
      </c>
      <c r="B573" s="10" t="s">
        <v>1538</v>
      </c>
      <c r="C573" s="76" t="s">
        <v>29</v>
      </c>
      <c r="D573" s="10" t="s">
        <v>1536</v>
      </c>
      <c r="E573" s="10" t="s">
        <v>1666</v>
      </c>
      <c r="F573" s="5">
        <v>1260</v>
      </c>
      <c r="G573" s="10" t="s">
        <v>1551</v>
      </c>
      <c r="H573" s="5">
        <v>1036</v>
      </c>
      <c r="I573" s="69">
        <v>0.82222222222222219</v>
      </c>
      <c r="J573" s="5">
        <v>114</v>
      </c>
      <c r="K573" s="70">
        <v>9.0476190476190474E-2</v>
      </c>
      <c r="L573" s="5">
        <v>100</v>
      </c>
      <c r="M573" s="70">
        <v>7.9365079365079361E-2</v>
      </c>
      <c r="N573" s="78">
        <v>10</v>
      </c>
      <c r="O573" s="180">
        <f t="shared" si="34"/>
        <v>0.79365079365079361</v>
      </c>
      <c r="P573" s="78">
        <v>0</v>
      </c>
      <c r="Q573" s="73">
        <v>0</v>
      </c>
      <c r="R573" s="10">
        <v>0</v>
      </c>
      <c r="S573" s="70">
        <v>0</v>
      </c>
      <c r="T573" s="10">
        <v>0</v>
      </c>
      <c r="U573" s="74">
        <v>0</v>
      </c>
      <c r="V573" s="75">
        <v>7.9365079365079361E-3</v>
      </c>
      <c r="W573" s="168" t="s">
        <v>2107</v>
      </c>
    </row>
    <row r="574" spans="1:23">
      <c r="A574" s="84" t="s">
        <v>1668</v>
      </c>
      <c r="B574" s="10" t="s">
        <v>1538</v>
      </c>
      <c r="C574" s="76" t="s">
        <v>29</v>
      </c>
      <c r="D574" s="10" t="s">
        <v>1536</v>
      </c>
      <c r="E574" s="5" t="s">
        <v>22</v>
      </c>
      <c r="F574" s="5">
        <v>1676</v>
      </c>
      <c r="G574" s="10" t="s">
        <v>1551</v>
      </c>
      <c r="H574" s="5">
        <v>1620</v>
      </c>
      <c r="I574" s="69">
        <v>0.96658711217183768</v>
      </c>
      <c r="J574" s="5">
        <v>7</v>
      </c>
      <c r="K574" s="70">
        <v>4.1766109785202864E-3</v>
      </c>
      <c r="L574" s="5">
        <v>21</v>
      </c>
      <c r="M574" s="70">
        <v>1.2529832935560859E-2</v>
      </c>
      <c r="N574" s="78">
        <v>28</v>
      </c>
      <c r="O574" s="180">
        <f t="shared" si="34"/>
        <v>1.6706443914081146</v>
      </c>
      <c r="P574" s="78">
        <v>0</v>
      </c>
      <c r="Q574" s="73">
        <v>0</v>
      </c>
      <c r="R574" s="10">
        <v>0</v>
      </c>
      <c r="S574" s="70">
        <v>0</v>
      </c>
      <c r="T574" s="10">
        <v>0</v>
      </c>
      <c r="U574" s="74">
        <v>0</v>
      </c>
      <c r="V574" s="75">
        <v>1.6706443914081145E-2</v>
      </c>
      <c r="W574" s="168" t="s">
        <v>2107</v>
      </c>
    </row>
    <row r="575" spans="1:23">
      <c r="A575" s="84" t="s">
        <v>1669</v>
      </c>
      <c r="B575" s="10" t="s">
        <v>1530</v>
      </c>
      <c r="C575" s="76" t="s">
        <v>27</v>
      </c>
      <c r="D575" s="10" t="s">
        <v>1536</v>
      </c>
      <c r="E575" s="10" t="s">
        <v>22</v>
      </c>
      <c r="F575" s="10">
        <v>4507</v>
      </c>
      <c r="G575" s="10" t="s">
        <v>1635</v>
      </c>
      <c r="H575" s="5">
        <v>3452</v>
      </c>
      <c r="I575" s="69">
        <v>0.76591968049700465</v>
      </c>
      <c r="J575" s="5">
        <v>400</v>
      </c>
      <c r="K575" s="70">
        <v>8.8750832039050362E-2</v>
      </c>
      <c r="L575" s="10">
        <v>180</v>
      </c>
      <c r="M575" s="70">
        <v>3.9937874417572662E-2</v>
      </c>
      <c r="N575" s="72">
        <v>116</v>
      </c>
      <c r="O575" s="180">
        <f t="shared" si="34"/>
        <v>2.5737741291324605</v>
      </c>
      <c r="P575" s="72">
        <v>359</v>
      </c>
      <c r="Q575" s="73">
        <v>7.9653871755047706E-2</v>
      </c>
      <c r="R575" s="10">
        <v>0</v>
      </c>
      <c r="S575" s="70">
        <v>0</v>
      </c>
      <c r="T575" s="10">
        <v>0</v>
      </c>
      <c r="U575" s="74">
        <v>0</v>
      </c>
      <c r="V575" s="75">
        <v>0.10539161304637232</v>
      </c>
      <c r="W575" s="168" t="s">
        <v>2107</v>
      </c>
    </row>
    <row r="576" spans="1:23">
      <c r="A576" s="84" t="s">
        <v>1669</v>
      </c>
      <c r="B576" s="10" t="s">
        <v>1530</v>
      </c>
      <c r="C576" s="68" t="s">
        <v>1533</v>
      </c>
      <c r="D576" s="10" t="s">
        <v>1534</v>
      </c>
      <c r="E576" s="10" t="s">
        <v>22</v>
      </c>
      <c r="F576" s="10">
        <v>13860</v>
      </c>
      <c r="G576" s="10" t="s">
        <v>1533</v>
      </c>
      <c r="H576" s="5">
        <v>13248</v>
      </c>
      <c r="I576" s="69">
        <v>0.95584415584415583</v>
      </c>
      <c r="J576" s="5">
        <v>139</v>
      </c>
      <c r="K576" s="70">
        <v>1.002886002886003E-2</v>
      </c>
      <c r="L576" s="10">
        <v>160</v>
      </c>
      <c r="M576" s="70">
        <v>1.1544011544011544E-2</v>
      </c>
      <c r="N576" s="72">
        <v>185</v>
      </c>
      <c r="O576" s="180">
        <f t="shared" si="34"/>
        <v>1.3347763347763348</v>
      </c>
      <c r="P576" s="72">
        <v>128</v>
      </c>
      <c r="Q576" s="73">
        <v>9.2352092352092352E-3</v>
      </c>
      <c r="R576" s="10">
        <v>0</v>
      </c>
      <c r="S576" s="70">
        <v>0</v>
      </c>
      <c r="T576" s="10">
        <v>0</v>
      </c>
      <c r="U576" s="74">
        <v>0</v>
      </c>
      <c r="V576" s="75">
        <v>2.2582972582972583E-2</v>
      </c>
      <c r="W576" s="168" t="s">
        <v>2107</v>
      </c>
    </row>
    <row r="577" spans="1:23">
      <c r="A577" s="84" t="s">
        <v>1669</v>
      </c>
      <c r="B577" s="10" t="s">
        <v>1530</v>
      </c>
      <c r="C577" s="76" t="s">
        <v>27</v>
      </c>
      <c r="D577" s="10" t="s">
        <v>1534</v>
      </c>
      <c r="E577" s="10" t="s">
        <v>22</v>
      </c>
      <c r="F577" s="10">
        <v>1980</v>
      </c>
      <c r="G577" s="10" t="s">
        <v>1635</v>
      </c>
      <c r="H577" s="5">
        <v>1804</v>
      </c>
      <c r="I577" s="69">
        <v>0.91111111111111109</v>
      </c>
      <c r="J577" s="5">
        <v>25</v>
      </c>
      <c r="K577" s="70">
        <v>1.2626262626262626E-2</v>
      </c>
      <c r="L577" s="10">
        <v>140</v>
      </c>
      <c r="M577" s="70">
        <v>7.0707070707070704E-2</v>
      </c>
      <c r="N577" s="72">
        <v>3</v>
      </c>
      <c r="O577" s="180">
        <f t="shared" si="34"/>
        <v>0.15151515151515152</v>
      </c>
      <c r="P577" s="72">
        <v>8</v>
      </c>
      <c r="Q577" s="73">
        <v>4.0404040404040404E-3</v>
      </c>
      <c r="R577" s="10">
        <v>0</v>
      </c>
      <c r="S577" s="70">
        <v>0</v>
      </c>
      <c r="T577" s="10">
        <v>0</v>
      </c>
      <c r="U577" s="74">
        <v>0</v>
      </c>
      <c r="V577" s="75">
        <v>5.5555555555555558E-3</v>
      </c>
      <c r="W577" s="168" t="s">
        <v>2107</v>
      </c>
    </row>
    <row r="578" spans="1:23">
      <c r="A578" s="84" t="s">
        <v>1669</v>
      </c>
      <c r="B578" s="10" t="s">
        <v>1538</v>
      </c>
      <c r="C578" s="76" t="s">
        <v>29</v>
      </c>
      <c r="D578" s="10" t="s">
        <v>1536</v>
      </c>
      <c r="E578" s="10" t="s">
        <v>22</v>
      </c>
      <c r="F578" s="10">
        <v>2440</v>
      </c>
      <c r="G578" s="10" t="s">
        <v>1551</v>
      </c>
      <c r="H578" s="5">
        <v>2256</v>
      </c>
      <c r="I578" s="69">
        <v>0.92459016393442628</v>
      </c>
      <c r="J578" s="5">
        <v>78</v>
      </c>
      <c r="K578" s="70">
        <v>3.1967213114754096E-2</v>
      </c>
      <c r="L578" s="10">
        <v>0</v>
      </c>
      <c r="M578" s="70">
        <v>0</v>
      </c>
      <c r="N578" s="72">
        <v>106</v>
      </c>
      <c r="O578" s="180">
        <f t="shared" si="34"/>
        <v>4.3442622950819674</v>
      </c>
      <c r="P578" s="72">
        <v>0</v>
      </c>
      <c r="Q578" s="73">
        <v>0</v>
      </c>
      <c r="R578" s="10">
        <v>0</v>
      </c>
      <c r="S578" s="70">
        <v>0</v>
      </c>
      <c r="T578" s="10">
        <v>0</v>
      </c>
      <c r="U578" s="74">
        <v>0</v>
      </c>
      <c r="V578" s="75">
        <v>4.3442622950819673E-2</v>
      </c>
      <c r="W578" s="168" t="s">
        <v>2107</v>
      </c>
    </row>
    <row r="579" spans="1:23">
      <c r="A579" s="84" t="s">
        <v>1669</v>
      </c>
      <c r="B579" s="10" t="s">
        <v>1538</v>
      </c>
      <c r="C579" s="10" t="s">
        <v>31</v>
      </c>
      <c r="D579" s="10" t="s">
        <v>1536</v>
      </c>
      <c r="E579" s="10" t="s">
        <v>22</v>
      </c>
      <c r="F579" s="10">
        <v>11600</v>
      </c>
      <c r="G579" s="77" t="s">
        <v>1540</v>
      </c>
      <c r="H579" s="5">
        <v>4250</v>
      </c>
      <c r="I579" s="69">
        <v>0.36637931034482757</v>
      </c>
      <c r="J579" s="5">
        <v>7074</v>
      </c>
      <c r="K579" s="70">
        <v>0.60982758620689659</v>
      </c>
      <c r="L579" s="10">
        <v>19</v>
      </c>
      <c r="M579" s="70">
        <v>1.6379310344827587E-3</v>
      </c>
      <c r="N579" s="72">
        <v>257</v>
      </c>
      <c r="O579" s="180">
        <f t="shared" ref="O579:O642" si="35">N579/F579*100</f>
        <v>2.2155172413793105</v>
      </c>
      <c r="P579" s="72">
        <v>0</v>
      </c>
      <c r="Q579" s="73">
        <v>0</v>
      </c>
      <c r="R579" s="10">
        <v>0</v>
      </c>
      <c r="S579" s="70">
        <v>0</v>
      </c>
      <c r="T579" s="10">
        <v>0</v>
      </c>
      <c r="U579" s="74">
        <v>0</v>
      </c>
      <c r="V579" s="75">
        <v>2.2155172413793105E-2</v>
      </c>
      <c r="W579" s="168" t="s">
        <v>1195</v>
      </c>
    </row>
    <row r="580" spans="1:23">
      <c r="A580" s="84" t="s">
        <v>1669</v>
      </c>
      <c r="B580" s="10" t="s">
        <v>1538</v>
      </c>
      <c r="C580" s="176" t="s">
        <v>24</v>
      </c>
      <c r="D580" s="10" t="s">
        <v>1536</v>
      </c>
      <c r="E580" s="10" t="s">
        <v>1539</v>
      </c>
      <c r="F580" s="10">
        <v>720</v>
      </c>
      <c r="G580" s="10" t="s">
        <v>1544</v>
      </c>
      <c r="H580" s="5">
        <v>673</v>
      </c>
      <c r="I580" s="69">
        <v>0.93472222222222223</v>
      </c>
      <c r="J580" s="5">
        <v>40</v>
      </c>
      <c r="K580" s="70">
        <v>5.5555555555555552E-2</v>
      </c>
      <c r="L580" s="10">
        <v>0</v>
      </c>
      <c r="M580" s="70">
        <v>0</v>
      </c>
      <c r="N580" s="72">
        <v>7</v>
      </c>
      <c r="O580" s="180">
        <f t="shared" si="35"/>
        <v>0.97222222222222221</v>
      </c>
      <c r="P580" s="72">
        <v>0</v>
      </c>
      <c r="Q580" s="73">
        <v>0</v>
      </c>
      <c r="R580" s="10">
        <v>0</v>
      </c>
      <c r="S580" s="70">
        <v>0</v>
      </c>
      <c r="T580" s="10">
        <v>0</v>
      </c>
      <c r="U580" s="74">
        <v>0</v>
      </c>
      <c r="V580" s="75">
        <v>9.7222222222222224E-3</v>
      </c>
      <c r="W580" s="168" t="s">
        <v>2107</v>
      </c>
    </row>
    <row r="581" spans="1:23">
      <c r="A581" s="84" t="s">
        <v>1669</v>
      </c>
      <c r="B581" s="10" t="s">
        <v>1538</v>
      </c>
      <c r="C581" s="68" t="s">
        <v>1533</v>
      </c>
      <c r="D581" s="68" t="s">
        <v>1559</v>
      </c>
      <c r="E581" s="10" t="s">
        <v>1666</v>
      </c>
      <c r="F581" s="10">
        <v>20140</v>
      </c>
      <c r="G581" s="10" t="s">
        <v>1533</v>
      </c>
      <c r="H581" s="5">
        <v>20140</v>
      </c>
      <c r="I581" s="69">
        <v>1</v>
      </c>
      <c r="J581" s="5">
        <v>0</v>
      </c>
      <c r="K581" s="70">
        <v>0</v>
      </c>
      <c r="L581" s="10">
        <v>0</v>
      </c>
      <c r="M581" s="70">
        <v>0</v>
      </c>
      <c r="N581" s="72">
        <v>0</v>
      </c>
      <c r="O581" s="180">
        <f t="shared" si="35"/>
        <v>0</v>
      </c>
      <c r="P581" s="72">
        <v>0</v>
      </c>
      <c r="Q581" s="73">
        <v>0</v>
      </c>
      <c r="R581" s="10">
        <v>0</v>
      </c>
      <c r="S581" s="70">
        <v>0</v>
      </c>
      <c r="T581" s="10">
        <v>0</v>
      </c>
      <c r="U581" s="74">
        <v>0</v>
      </c>
      <c r="V581" s="75">
        <v>0</v>
      </c>
      <c r="W581" s="168" t="s">
        <v>1109</v>
      </c>
    </row>
    <row r="582" spans="1:23">
      <c r="A582" s="84" t="s">
        <v>1670</v>
      </c>
      <c r="B582" s="10" t="s">
        <v>1530</v>
      </c>
      <c r="C582" s="76" t="s">
        <v>27</v>
      </c>
      <c r="D582" s="10" t="s">
        <v>1534</v>
      </c>
      <c r="E582" s="10" t="s">
        <v>1539</v>
      </c>
      <c r="F582" s="10">
        <v>720</v>
      </c>
      <c r="G582" s="10" t="s">
        <v>1635</v>
      </c>
      <c r="H582" s="5">
        <v>673</v>
      </c>
      <c r="I582" s="69">
        <v>0.93472222222222223</v>
      </c>
      <c r="J582" s="5">
        <v>37</v>
      </c>
      <c r="K582" s="70">
        <v>5.1388888888888887E-2</v>
      </c>
      <c r="L582" s="10">
        <v>0</v>
      </c>
      <c r="M582" s="70">
        <v>0</v>
      </c>
      <c r="N582" s="72">
        <v>2</v>
      </c>
      <c r="O582" s="180">
        <f t="shared" si="35"/>
        <v>0.27777777777777779</v>
      </c>
      <c r="P582" s="72">
        <v>8</v>
      </c>
      <c r="Q582" s="73">
        <v>1.1111111111111112E-2</v>
      </c>
      <c r="R582" s="10">
        <v>0</v>
      </c>
      <c r="S582" s="70">
        <v>0</v>
      </c>
      <c r="T582" s="10">
        <v>0</v>
      </c>
      <c r="U582" s="74">
        <v>0</v>
      </c>
      <c r="V582" s="75">
        <v>1.388888888888889E-2</v>
      </c>
      <c r="W582" s="168" t="s">
        <v>2107</v>
      </c>
    </row>
    <row r="583" spans="1:23">
      <c r="A583" s="84" t="s">
        <v>1670</v>
      </c>
      <c r="B583" s="10" t="s">
        <v>1530</v>
      </c>
      <c r="C583" s="68" t="s">
        <v>1533</v>
      </c>
      <c r="D583" s="10" t="s">
        <v>1534</v>
      </c>
      <c r="E583" s="10" t="s">
        <v>22</v>
      </c>
      <c r="F583" s="10">
        <v>7058</v>
      </c>
      <c r="G583" s="10" t="s">
        <v>1533</v>
      </c>
      <c r="H583" s="5">
        <v>6151</v>
      </c>
      <c r="I583" s="69">
        <v>0.87149334088977048</v>
      </c>
      <c r="J583" s="5">
        <v>567</v>
      </c>
      <c r="K583" s="70">
        <v>8.0334372343440069E-2</v>
      </c>
      <c r="L583" s="5">
        <v>61</v>
      </c>
      <c r="M583" s="70">
        <v>8.64267497874752E-3</v>
      </c>
      <c r="N583" s="72">
        <v>130</v>
      </c>
      <c r="O583" s="180">
        <f t="shared" si="35"/>
        <v>1.8418815528478323</v>
      </c>
      <c r="P583" s="72">
        <v>50</v>
      </c>
      <c r="Q583" s="73">
        <v>7.0841598186455086E-3</v>
      </c>
      <c r="R583" s="10">
        <v>99</v>
      </c>
      <c r="S583" s="70">
        <v>1.4026636440918108E-2</v>
      </c>
      <c r="T583" s="10">
        <v>0</v>
      </c>
      <c r="U583" s="74">
        <v>0</v>
      </c>
      <c r="V583" s="75">
        <v>3.9529611788041936E-2</v>
      </c>
      <c r="W583" s="168" t="s">
        <v>2107</v>
      </c>
    </row>
    <row r="584" spans="1:23">
      <c r="A584" s="84" t="s">
        <v>1670</v>
      </c>
      <c r="B584" s="10" t="s">
        <v>1538</v>
      </c>
      <c r="C584" s="76" t="s">
        <v>29</v>
      </c>
      <c r="D584" s="10" t="s">
        <v>1536</v>
      </c>
      <c r="E584" s="10" t="s">
        <v>22</v>
      </c>
      <c r="F584" s="10">
        <v>9360</v>
      </c>
      <c r="G584" s="10" t="s">
        <v>1551</v>
      </c>
      <c r="H584" s="5">
        <v>6215</v>
      </c>
      <c r="I584" s="69">
        <v>0.66399572649572647</v>
      </c>
      <c r="J584" s="5">
        <v>460</v>
      </c>
      <c r="K584" s="70">
        <v>4.9145299145299144E-2</v>
      </c>
      <c r="L584" s="5">
        <v>641</v>
      </c>
      <c r="M584" s="70">
        <v>6.8482905982905989E-2</v>
      </c>
      <c r="N584" s="72">
        <v>1484</v>
      </c>
      <c r="O584" s="180">
        <f t="shared" si="35"/>
        <v>15.854700854700853</v>
      </c>
      <c r="P584" s="72">
        <v>0</v>
      </c>
      <c r="Q584" s="73">
        <v>0</v>
      </c>
      <c r="R584" s="10">
        <v>0</v>
      </c>
      <c r="S584" s="70">
        <v>0</v>
      </c>
      <c r="T584" s="5">
        <v>560</v>
      </c>
      <c r="U584" s="74">
        <v>5.9829059829059832E-2</v>
      </c>
      <c r="V584" s="75">
        <v>0.21837606837606838</v>
      </c>
      <c r="W584" s="168" t="s">
        <v>2107</v>
      </c>
    </row>
    <row r="585" spans="1:23">
      <c r="A585" s="84" t="s">
        <v>1670</v>
      </c>
      <c r="B585" s="10" t="s">
        <v>1538</v>
      </c>
      <c r="C585" s="76" t="s">
        <v>29</v>
      </c>
      <c r="D585" s="10" t="s">
        <v>1536</v>
      </c>
      <c r="E585" s="10" t="s">
        <v>22</v>
      </c>
      <c r="F585" s="10">
        <v>1370</v>
      </c>
      <c r="G585" s="10" t="s">
        <v>1551</v>
      </c>
      <c r="H585" s="5">
        <v>1292</v>
      </c>
      <c r="I585" s="69">
        <v>0.94306569343065694</v>
      </c>
      <c r="J585" s="5">
        <v>0</v>
      </c>
      <c r="K585" s="70">
        <v>0</v>
      </c>
      <c r="L585" s="5">
        <v>53</v>
      </c>
      <c r="M585" s="70">
        <v>3.8686131386861312E-2</v>
      </c>
      <c r="N585" s="72">
        <v>25</v>
      </c>
      <c r="O585" s="180">
        <f t="shared" si="35"/>
        <v>1.824817518248175</v>
      </c>
      <c r="P585" s="72">
        <v>0</v>
      </c>
      <c r="Q585" s="73">
        <v>0</v>
      </c>
      <c r="R585" s="10">
        <v>0</v>
      </c>
      <c r="S585" s="70">
        <v>0</v>
      </c>
      <c r="T585" s="10">
        <v>0</v>
      </c>
      <c r="U585" s="74">
        <v>0</v>
      </c>
      <c r="V585" s="75">
        <v>1.824817518248175E-2</v>
      </c>
      <c r="W585" s="168" t="s">
        <v>2107</v>
      </c>
    </row>
    <row r="586" spans="1:23">
      <c r="A586" s="84" t="s">
        <v>1670</v>
      </c>
      <c r="B586" s="10" t="s">
        <v>1538</v>
      </c>
      <c r="C586" s="76" t="s">
        <v>27</v>
      </c>
      <c r="D586" s="10" t="s">
        <v>1536</v>
      </c>
      <c r="E586" s="10" t="s">
        <v>1539</v>
      </c>
      <c r="F586" s="10">
        <v>4927</v>
      </c>
      <c r="G586" s="10" t="s">
        <v>1544</v>
      </c>
      <c r="H586" s="5">
        <v>4237</v>
      </c>
      <c r="I586" s="69">
        <v>0.85995534808199714</v>
      </c>
      <c r="J586" s="5">
        <v>0</v>
      </c>
      <c r="K586" s="70">
        <v>0</v>
      </c>
      <c r="L586" s="5">
        <v>330</v>
      </c>
      <c r="M586" s="70">
        <v>6.6977877004262235E-2</v>
      </c>
      <c r="N586" s="72">
        <v>67</v>
      </c>
      <c r="O586" s="180">
        <f t="shared" si="35"/>
        <v>1.3598538664501725</v>
      </c>
      <c r="P586" s="72">
        <v>293</v>
      </c>
      <c r="Q586" s="73">
        <v>5.9468236249238887E-2</v>
      </c>
      <c r="R586" s="10">
        <v>0</v>
      </c>
      <c r="S586" s="70">
        <v>0</v>
      </c>
      <c r="T586" s="10">
        <v>0</v>
      </c>
      <c r="U586" s="74">
        <v>0</v>
      </c>
      <c r="V586" s="75">
        <v>7.3066774913740612E-2</v>
      </c>
      <c r="W586" s="168" t="s">
        <v>2107</v>
      </c>
    </row>
    <row r="587" spans="1:23">
      <c r="A587" s="84" t="s">
        <v>1670</v>
      </c>
      <c r="B587" s="10" t="s">
        <v>1538</v>
      </c>
      <c r="C587" s="68" t="s">
        <v>1533</v>
      </c>
      <c r="D587" s="68" t="s">
        <v>1559</v>
      </c>
      <c r="E587" s="10" t="s">
        <v>1666</v>
      </c>
      <c r="F587" s="10">
        <v>9310</v>
      </c>
      <c r="G587" s="10" t="s">
        <v>1533</v>
      </c>
      <c r="H587" s="5">
        <v>9310</v>
      </c>
      <c r="I587" s="69">
        <v>1</v>
      </c>
      <c r="J587" s="5">
        <v>0</v>
      </c>
      <c r="K587" s="70">
        <v>0</v>
      </c>
      <c r="L587" s="5">
        <v>0</v>
      </c>
      <c r="M587" s="70">
        <v>0</v>
      </c>
      <c r="N587" s="72">
        <v>0</v>
      </c>
      <c r="O587" s="180">
        <f t="shared" si="35"/>
        <v>0</v>
      </c>
      <c r="P587" s="72">
        <v>0</v>
      </c>
      <c r="Q587" s="73">
        <v>0</v>
      </c>
      <c r="R587" s="10">
        <v>0</v>
      </c>
      <c r="S587" s="70">
        <v>0</v>
      </c>
      <c r="T587" s="10">
        <v>0</v>
      </c>
      <c r="U587" s="74">
        <v>0</v>
      </c>
      <c r="V587" s="75">
        <v>0</v>
      </c>
      <c r="W587" s="168" t="s">
        <v>1109</v>
      </c>
    </row>
    <row r="588" spans="1:23">
      <c r="A588" s="84" t="s">
        <v>1670</v>
      </c>
      <c r="B588" s="10" t="s">
        <v>1538</v>
      </c>
      <c r="C588" s="68" t="s">
        <v>1533</v>
      </c>
      <c r="D588" s="10" t="s">
        <v>1611</v>
      </c>
      <c r="E588" s="10" t="s">
        <v>22</v>
      </c>
      <c r="F588" s="10">
        <v>4560</v>
      </c>
      <c r="G588" s="10" t="s">
        <v>1533</v>
      </c>
      <c r="H588" s="5">
        <v>4370</v>
      </c>
      <c r="I588" s="69">
        <v>0.95833333333333337</v>
      </c>
      <c r="J588" s="5">
        <v>0</v>
      </c>
      <c r="K588" s="70">
        <v>0</v>
      </c>
      <c r="L588" s="5">
        <v>0</v>
      </c>
      <c r="M588" s="70">
        <v>0</v>
      </c>
      <c r="N588" s="72">
        <v>190</v>
      </c>
      <c r="O588" s="180">
        <f t="shared" si="35"/>
        <v>4.1666666666666661</v>
      </c>
      <c r="P588" s="72">
        <v>0</v>
      </c>
      <c r="Q588" s="73">
        <v>0</v>
      </c>
      <c r="R588" s="10">
        <v>0</v>
      </c>
      <c r="S588" s="70">
        <v>0</v>
      </c>
      <c r="T588" s="10">
        <v>0</v>
      </c>
      <c r="U588" s="74">
        <v>0</v>
      </c>
      <c r="V588" s="75">
        <v>4.1666666666666664E-2</v>
      </c>
      <c r="W588" s="168" t="s">
        <v>1195</v>
      </c>
    </row>
    <row r="589" spans="1:23">
      <c r="A589" s="67" t="s">
        <v>1671</v>
      </c>
      <c r="B589" s="10" t="s">
        <v>1538</v>
      </c>
      <c r="C589" s="76" t="s">
        <v>29</v>
      </c>
      <c r="D589" s="10" t="s">
        <v>1536</v>
      </c>
      <c r="E589" s="10" t="s">
        <v>22</v>
      </c>
      <c r="F589" s="10">
        <v>8750</v>
      </c>
      <c r="G589" s="10" t="s">
        <v>1551</v>
      </c>
      <c r="H589" s="5">
        <f>180*34+100+122</f>
        <v>6342</v>
      </c>
      <c r="I589" s="69">
        <f t="shared" ref="I589:I620" si="36">H589/F589</f>
        <v>0.7248</v>
      </c>
      <c r="J589" s="5">
        <f>93+54+15</f>
        <v>162</v>
      </c>
      <c r="K589" s="70">
        <f t="shared" ref="K589:K620" si="37">J589/F589</f>
        <v>1.8514285714285716E-2</v>
      </c>
      <c r="L589" s="5">
        <f>180*3+123+40</f>
        <v>703</v>
      </c>
      <c r="M589" s="90">
        <f t="shared" ref="M589:M620" si="38">L589/F589</f>
        <v>8.0342857142857146E-2</v>
      </c>
      <c r="N589" s="78">
        <v>1383</v>
      </c>
      <c r="O589" s="180">
        <f t="shared" si="35"/>
        <v>15.805714285714286</v>
      </c>
      <c r="P589" s="78">
        <v>0</v>
      </c>
      <c r="Q589" s="91">
        <f t="shared" ref="Q589:Q620" si="39">P589/F589</f>
        <v>0</v>
      </c>
      <c r="R589" s="5">
        <v>0</v>
      </c>
      <c r="S589" s="71">
        <f t="shared" ref="S589:S620" si="40">R589/F589</f>
        <v>0</v>
      </c>
      <c r="T589" s="5">
        <v>160</v>
      </c>
      <c r="U589" s="71">
        <f t="shared" ref="U589:U620" si="41">T589/F589</f>
        <v>1.8285714285714287E-2</v>
      </c>
      <c r="V589" s="92">
        <f>O589+Q589+S589+U589</f>
        <v>15.824</v>
      </c>
      <c r="W589" s="168" t="s">
        <v>2107</v>
      </c>
    </row>
    <row r="590" spans="1:23">
      <c r="A590" s="67" t="s">
        <v>1672</v>
      </c>
      <c r="B590" s="5" t="s">
        <v>1530</v>
      </c>
      <c r="C590" s="68" t="s">
        <v>1533</v>
      </c>
      <c r="D590" s="5" t="s">
        <v>1534</v>
      </c>
      <c r="E590" s="5" t="s">
        <v>22</v>
      </c>
      <c r="F590" s="10">
        <v>5003</v>
      </c>
      <c r="G590" s="10" t="s">
        <v>1533</v>
      </c>
      <c r="H590" s="5">
        <f>190*18+190*3+171+126</f>
        <v>4287</v>
      </c>
      <c r="I590" s="69">
        <f t="shared" si="36"/>
        <v>0.85688586847891268</v>
      </c>
      <c r="J590" s="5">
        <f>190+54+8</f>
        <v>252</v>
      </c>
      <c r="K590" s="70">
        <f t="shared" si="37"/>
        <v>5.036977813312013E-2</v>
      </c>
      <c r="L590" s="5">
        <f>159+5</f>
        <v>164</v>
      </c>
      <c r="M590" s="90">
        <f t="shared" si="38"/>
        <v>3.2780331800919452E-2</v>
      </c>
      <c r="N590" s="78">
        <f>160+12</f>
        <v>172</v>
      </c>
      <c r="O590" s="180">
        <f t="shared" si="35"/>
        <v>3.4379372376574056</v>
      </c>
      <c r="P590" s="78">
        <f>40+12</f>
        <v>52</v>
      </c>
      <c r="Q590" s="91">
        <f t="shared" si="39"/>
        <v>1.0393763741754948E-2</v>
      </c>
      <c r="R590" s="5">
        <v>76</v>
      </c>
      <c r="S590" s="71">
        <f t="shared" si="40"/>
        <v>1.5190885468718768E-2</v>
      </c>
      <c r="T590" s="5">
        <v>0</v>
      </c>
      <c r="U590" s="71">
        <f t="shared" si="41"/>
        <v>0</v>
      </c>
      <c r="V590" s="92">
        <f t="shared" ref="V590:V683" si="42">O590+Q590+S590+U590</f>
        <v>3.4635218868678792</v>
      </c>
      <c r="W590" s="168" t="s">
        <v>2107</v>
      </c>
    </row>
    <row r="591" spans="1:23">
      <c r="A591" s="67" t="s">
        <v>1672</v>
      </c>
      <c r="B591" s="5" t="s">
        <v>1530</v>
      </c>
      <c r="C591" s="68" t="s">
        <v>1533</v>
      </c>
      <c r="D591" s="5" t="s">
        <v>1534</v>
      </c>
      <c r="E591" s="5" t="s">
        <v>1539</v>
      </c>
      <c r="F591" s="10">
        <v>1260</v>
      </c>
      <c r="G591" s="10" t="s">
        <v>1533</v>
      </c>
      <c r="H591" s="5">
        <f>190*4+64</f>
        <v>824</v>
      </c>
      <c r="I591" s="69">
        <f t="shared" si="36"/>
        <v>0.65396825396825398</v>
      </c>
      <c r="J591" s="5">
        <f>190*1+140</f>
        <v>330</v>
      </c>
      <c r="K591" s="70">
        <f t="shared" si="37"/>
        <v>0.26190476190476192</v>
      </c>
      <c r="L591" s="5">
        <v>77</v>
      </c>
      <c r="M591" s="90">
        <f t="shared" si="38"/>
        <v>6.1111111111111109E-2</v>
      </c>
      <c r="N591" s="78">
        <v>10</v>
      </c>
      <c r="O591" s="180">
        <f t="shared" si="35"/>
        <v>0.79365079365079361</v>
      </c>
      <c r="P591" s="78">
        <v>12</v>
      </c>
      <c r="Q591" s="91">
        <f t="shared" si="39"/>
        <v>9.5238095238095247E-3</v>
      </c>
      <c r="R591" s="5">
        <v>7</v>
      </c>
      <c r="S591" s="71">
        <f t="shared" si="40"/>
        <v>5.5555555555555558E-3</v>
      </c>
      <c r="T591" s="5">
        <v>0</v>
      </c>
      <c r="U591" s="71">
        <f t="shared" si="41"/>
        <v>0</v>
      </c>
      <c r="V591" s="92">
        <f t="shared" si="42"/>
        <v>0.80873015873015863</v>
      </c>
      <c r="W591" s="168" t="s">
        <v>2107</v>
      </c>
    </row>
    <row r="592" spans="1:23">
      <c r="A592" s="67" t="s">
        <v>1672</v>
      </c>
      <c r="B592" s="5" t="s">
        <v>1538</v>
      </c>
      <c r="C592" s="76" t="s">
        <v>29</v>
      </c>
      <c r="D592" s="5" t="s">
        <v>1536</v>
      </c>
      <c r="E592" s="5" t="s">
        <v>22</v>
      </c>
      <c r="F592" s="10">
        <v>9010</v>
      </c>
      <c r="G592" s="10" t="s">
        <v>1551</v>
      </c>
      <c r="H592" s="5">
        <f>180*24+58+39</f>
        <v>4417</v>
      </c>
      <c r="I592" s="69">
        <f t="shared" si="36"/>
        <v>0.49023307436182018</v>
      </c>
      <c r="J592" s="5">
        <f>180*5+126+109</f>
        <v>1135</v>
      </c>
      <c r="K592" s="70">
        <f t="shared" si="37"/>
        <v>0.12597114317425084</v>
      </c>
      <c r="L592" s="5">
        <f>180+140+180+121+174+91</f>
        <v>886</v>
      </c>
      <c r="M592" s="90">
        <f t="shared" si="38"/>
        <v>9.8335183129855716E-2</v>
      </c>
      <c r="N592" s="78">
        <v>2152</v>
      </c>
      <c r="O592" s="180">
        <f t="shared" si="35"/>
        <v>23.884572697003328</v>
      </c>
      <c r="P592" s="78">
        <v>0</v>
      </c>
      <c r="Q592" s="91">
        <f t="shared" si="39"/>
        <v>0</v>
      </c>
      <c r="R592" s="5">
        <v>0</v>
      </c>
      <c r="S592" s="71">
        <f t="shared" si="40"/>
        <v>0</v>
      </c>
      <c r="T592" s="5">
        <f>180*2+20+40</f>
        <v>420</v>
      </c>
      <c r="U592" s="71">
        <f t="shared" si="41"/>
        <v>4.6614872364039953E-2</v>
      </c>
      <c r="V592" s="92">
        <f t="shared" si="42"/>
        <v>23.931187569367367</v>
      </c>
      <c r="W592" s="168" t="s">
        <v>2107</v>
      </c>
    </row>
    <row r="593" spans="1:23">
      <c r="A593" s="67" t="s">
        <v>1673</v>
      </c>
      <c r="B593" s="10" t="s">
        <v>1530</v>
      </c>
      <c r="C593" s="10" t="s">
        <v>24</v>
      </c>
      <c r="D593" s="10" t="s">
        <v>1531</v>
      </c>
      <c r="E593" s="10" t="s">
        <v>22</v>
      </c>
      <c r="F593" s="10">
        <v>8262</v>
      </c>
      <c r="G593" s="10" t="s">
        <v>1544</v>
      </c>
      <c r="H593" s="5">
        <f>180*22+137</f>
        <v>4097</v>
      </c>
      <c r="I593" s="69">
        <f t="shared" si="36"/>
        <v>0.49588477366255146</v>
      </c>
      <c r="J593" s="5">
        <f>180*6+180*6+124+63+127</f>
        <v>2474</v>
      </c>
      <c r="K593" s="70">
        <f t="shared" si="37"/>
        <v>0.29944323408375695</v>
      </c>
      <c r="L593" s="5">
        <f>180*6+94</f>
        <v>1174</v>
      </c>
      <c r="M593" s="90">
        <f t="shared" si="38"/>
        <v>0.1420963447107238</v>
      </c>
      <c r="N593" s="72">
        <v>62</v>
      </c>
      <c r="O593" s="180">
        <f t="shared" si="35"/>
        <v>0.75042362624061965</v>
      </c>
      <c r="P593" s="72">
        <v>455</v>
      </c>
      <c r="Q593" s="93">
        <f t="shared" si="39"/>
        <v>5.5071411280561609E-2</v>
      </c>
      <c r="R593" s="10">
        <v>0</v>
      </c>
      <c r="S593" s="80">
        <f t="shared" si="40"/>
        <v>0</v>
      </c>
      <c r="T593" s="10">
        <v>0</v>
      </c>
      <c r="U593" s="71">
        <f t="shared" si="41"/>
        <v>0</v>
      </c>
      <c r="V593" s="92">
        <f t="shared" si="42"/>
        <v>0.80549503752118123</v>
      </c>
      <c r="W593" s="168" t="s">
        <v>2104</v>
      </c>
    </row>
    <row r="594" spans="1:23">
      <c r="A594" s="67" t="s">
        <v>1673</v>
      </c>
      <c r="B594" s="10" t="s">
        <v>1530</v>
      </c>
      <c r="C594" s="68" t="s">
        <v>1533</v>
      </c>
      <c r="D594" s="10" t="s">
        <v>1534</v>
      </c>
      <c r="E594" s="10" t="s">
        <v>1539</v>
      </c>
      <c r="F594" s="10">
        <v>2317</v>
      </c>
      <c r="G594" s="10" t="s">
        <v>1533</v>
      </c>
      <c r="H594" s="5">
        <f>190*11</f>
        <v>2090</v>
      </c>
      <c r="I594" s="69">
        <f t="shared" si="36"/>
        <v>0.90202848511005607</v>
      </c>
      <c r="J594" s="5">
        <v>0</v>
      </c>
      <c r="K594" s="70">
        <f t="shared" si="37"/>
        <v>0</v>
      </c>
      <c r="L594" s="5">
        <v>113</v>
      </c>
      <c r="M594" s="90">
        <f t="shared" si="38"/>
        <v>4.8769961156668103E-2</v>
      </c>
      <c r="N594" s="72">
        <v>38</v>
      </c>
      <c r="O594" s="180">
        <f t="shared" si="35"/>
        <v>1.6400517911091932</v>
      </c>
      <c r="P594" s="72">
        <v>76</v>
      </c>
      <c r="Q594" s="93">
        <f t="shared" si="39"/>
        <v>3.2801035822183862E-2</v>
      </c>
      <c r="R594" s="10">
        <v>0</v>
      </c>
      <c r="S594" s="80">
        <f t="shared" si="40"/>
        <v>0</v>
      </c>
      <c r="T594" s="10">
        <v>0</v>
      </c>
      <c r="U594" s="80">
        <f t="shared" si="41"/>
        <v>0</v>
      </c>
      <c r="V594" s="94">
        <f t="shared" si="42"/>
        <v>1.6728528269313772</v>
      </c>
      <c r="W594" s="168" t="s">
        <v>2107</v>
      </c>
    </row>
    <row r="595" spans="1:23">
      <c r="A595" s="67" t="s">
        <v>1673</v>
      </c>
      <c r="B595" s="10" t="s">
        <v>1530</v>
      </c>
      <c r="C595" s="68" t="s">
        <v>1533</v>
      </c>
      <c r="D595" s="10" t="s">
        <v>1534</v>
      </c>
      <c r="E595" s="10" t="s">
        <v>22</v>
      </c>
      <c r="F595" s="10">
        <v>12146</v>
      </c>
      <c r="G595" s="10" t="s">
        <v>1533</v>
      </c>
      <c r="H595" s="5">
        <f>190*50+66</f>
        <v>9566</v>
      </c>
      <c r="I595" s="69">
        <f t="shared" si="36"/>
        <v>0.78758438992260826</v>
      </c>
      <c r="J595" s="5">
        <f>190*6+50+14</f>
        <v>1204</v>
      </c>
      <c r="K595" s="70">
        <f t="shared" si="37"/>
        <v>9.9127284702782814E-2</v>
      </c>
      <c r="L595" s="5">
        <f>190</f>
        <v>190</v>
      </c>
      <c r="M595" s="90">
        <f t="shared" si="38"/>
        <v>1.5643010044459081E-2</v>
      </c>
      <c r="N595" s="72">
        <v>185</v>
      </c>
      <c r="O595" s="180">
        <f t="shared" si="35"/>
        <v>1.5231351885394369</v>
      </c>
      <c r="P595" s="72">
        <v>446</v>
      </c>
      <c r="Q595" s="93">
        <f t="shared" si="39"/>
        <v>3.671990778857237E-2</v>
      </c>
      <c r="R595" s="5">
        <f>190+5+180*2</f>
        <v>555</v>
      </c>
      <c r="S595" s="80">
        <f t="shared" si="40"/>
        <v>4.5694055656183105E-2</v>
      </c>
      <c r="T595" s="10">
        <v>0</v>
      </c>
      <c r="U595" s="80">
        <f t="shared" si="41"/>
        <v>0</v>
      </c>
      <c r="V595" s="94">
        <f t="shared" si="42"/>
        <v>1.6055491519841925</v>
      </c>
      <c r="W595" s="168" t="s">
        <v>2107</v>
      </c>
    </row>
    <row r="596" spans="1:23">
      <c r="A596" s="67" t="s">
        <v>1673</v>
      </c>
      <c r="B596" s="10" t="s">
        <v>1530</v>
      </c>
      <c r="C596" s="76" t="s">
        <v>27</v>
      </c>
      <c r="D596" s="10" t="s">
        <v>1536</v>
      </c>
      <c r="E596" s="10" t="s">
        <v>22</v>
      </c>
      <c r="F596" s="10">
        <v>4851</v>
      </c>
      <c r="G596" s="10" t="s">
        <v>1535</v>
      </c>
      <c r="H596" s="5">
        <f>180*21+105+116</f>
        <v>4001</v>
      </c>
      <c r="I596" s="69">
        <f t="shared" si="36"/>
        <v>0.82477839620696769</v>
      </c>
      <c r="J596" s="5">
        <f>92+14</f>
        <v>106</v>
      </c>
      <c r="K596" s="70">
        <f t="shared" si="37"/>
        <v>2.1851164708307565E-2</v>
      </c>
      <c r="L596" s="5">
        <f>180+144+21</f>
        <v>345</v>
      </c>
      <c r="M596" s="90">
        <f t="shared" si="38"/>
        <v>7.1119356833642552E-2</v>
      </c>
      <c r="N596" s="72">
        <v>106</v>
      </c>
      <c r="O596" s="180">
        <f t="shared" si="35"/>
        <v>2.1851164708307564</v>
      </c>
      <c r="P596" s="72">
        <v>281</v>
      </c>
      <c r="Q596" s="93">
        <f t="shared" si="39"/>
        <v>5.7926200783343637E-2</v>
      </c>
      <c r="R596" s="10">
        <v>0</v>
      </c>
      <c r="S596" s="80">
        <f t="shared" si="40"/>
        <v>0</v>
      </c>
      <c r="T596" s="10">
        <v>12</v>
      </c>
      <c r="U596" s="80">
        <f t="shared" si="41"/>
        <v>2.4737167594310453E-3</v>
      </c>
      <c r="V596" s="94">
        <f t="shared" si="42"/>
        <v>2.245516388373531</v>
      </c>
      <c r="W596" s="168" t="s">
        <v>2107</v>
      </c>
    </row>
    <row r="597" spans="1:23">
      <c r="A597" s="67" t="s">
        <v>1673</v>
      </c>
      <c r="B597" s="10" t="s">
        <v>1556</v>
      </c>
      <c r="C597" s="76" t="s">
        <v>29</v>
      </c>
      <c r="D597" s="10" t="s">
        <v>1550</v>
      </c>
      <c r="E597" s="10" t="s">
        <v>22</v>
      </c>
      <c r="F597" s="10">
        <v>10210</v>
      </c>
      <c r="G597" s="10" t="s">
        <v>1551</v>
      </c>
      <c r="H597" s="5">
        <f>170*59</f>
        <v>10030</v>
      </c>
      <c r="I597" s="69">
        <f t="shared" si="36"/>
        <v>0.98237022526934381</v>
      </c>
      <c r="J597" s="5">
        <v>0</v>
      </c>
      <c r="K597" s="70">
        <f t="shared" si="37"/>
        <v>0</v>
      </c>
      <c r="L597" s="5">
        <v>0</v>
      </c>
      <c r="M597" s="90">
        <f t="shared" si="38"/>
        <v>0</v>
      </c>
      <c r="N597" s="72">
        <v>0</v>
      </c>
      <c r="O597" s="180">
        <f t="shared" si="35"/>
        <v>0</v>
      </c>
      <c r="P597" s="72">
        <v>180</v>
      </c>
      <c r="Q597" s="93">
        <f t="shared" si="39"/>
        <v>1.762977473065622E-2</v>
      </c>
      <c r="R597" s="10">
        <v>0</v>
      </c>
      <c r="S597" s="80">
        <f t="shared" si="40"/>
        <v>0</v>
      </c>
      <c r="T597" s="10">
        <v>0</v>
      </c>
      <c r="U597" s="80">
        <f t="shared" si="41"/>
        <v>0</v>
      </c>
      <c r="V597" s="94">
        <f t="shared" si="42"/>
        <v>1.762977473065622E-2</v>
      </c>
      <c r="W597" s="168" t="s">
        <v>2104</v>
      </c>
    </row>
    <row r="598" spans="1:23">
      <c r="A598" s="67" t="s">
        <v>1673</v>
      </c>
      <c r="B598" s="10" t="s">
        <v>1538</v>
      </c>
      <c r="C598" s="68" t="s">
        <v>1533</v>
      </c>
      <c r="D598" s="10" t="s">
        <v>1536</v>
      </c>
      <c r="E598" s="10" t="s">
        <v>22</v>
      </c>
      <c r="F598" s="10">
        <v>8990</v>
      </c>
      <c r="G598" s="10" t="s">
        <v>1533</v>
      </c>
      <c r="H598" s="5">
        <f>190*38+66</f>
        <v>7286</v>
      </c>
      <c r="I598" s="69">
        <f t="shared" si="36"/>
        <v>0.81045606229143496</v>
      </c>
      <c r="J598" s="5">
        <v>56</v>
      </c>
      <c r="K598" s="70">
        <f t="shared" si="37"/>
        <v>6.2291434927697438E-3</v>
      </c>
      <c r="L598" s="5">
        <f>190*4+135</f>
        <v>895</v>
      </c>
      <c r="M598" s="90">
        <f t="shared" si="38"/>
        <v>9.955506117908787E-2</v>
      </c>
      <c r="N598" s="72">
        <v>753</v>
      </c>
      <c r="O598" s="180">
        <f t="shared" si="35"/>
        <v>8.3759733036707456</v>
      </c>
      <c r="P598" s="72">
        <v>0</v>
      </c>
      <c r="Q598" s="93">
        <f t="shared" si="39"/>
        <v>0</v>
      </c>
      <c r="R598" s="10">
        <v>0</v>
      </c>
      <c r="S598" s="80">
        <f t="shared" si="40"/>
        <v>0</v>
      </c>
      <c r="T598" s="10">
        <v>0</v>
      </c>
      <c r="U598" s="80">
        <f t="shared" si="41"/>
        <v>0</v>
      </c>
      <c r="V598" s="94">
        <f t="shared" si="42"/>
        <v>8.3759733036707456</v>
      </c>
      <c r="W598" s="168" t="s">
        <v>1195</v>
      </c>
    </row>
    <row r="599" spans="1:23">
      <c r="A599" s="67" t="s">
        <v>1674</v>
      </c>
      <c r="B599" s="10" t="s">
        <v>1530</v>
      </c>
      <c r="C599" s="76" t="s">
        <v>27</v>
      </c>
      <c r="D599" s="10" t="s">
        <v>1536</v>
      </c>
      <c r="E599" s="10" t="s">
        <v>22</v>
      </c>
      <c r="F599" s="10">
        <v>4005</v>
      </c>
      <c r="G599" s="10" t="s">
        <v>1535</v>
      </c>
      <c r="H599" s="5">
        <f>180*11+64</f>
        <v>2044</v>
      </c>
      <c r="I599" s="69">
        <f t="shared" si="36"/>
        <v>0.51036204744069913</v>
      </c>
      <c r="J599" s="5">
        <f>166+39</f>
        <v>205</v>
      </c>
      <c r="K599" s="70">
        <f t="shared" si="37"/>
        <v>5.118601747815231E-2</v>
      </c>
      <c r="L599" s="5">
        <f>180*6+159+34</f>
        <v>1273</v>
      </c>
      <c r="M599" s="90">
        <f t="shared" si="38"/>
        <v>0.31785268414481899</v>
      </c>
      <c r="N599" s="72">
        <v>88</v>
      </c>
      <c r="O599" s="180">
        <f t="shared" si="35"/>
        <v>2.1972534332084894</v>
      </c>
      <c r="P599" s="72">
        <v>279</v>
      </c>
      <c r="Q599" s="93">
        <f t="shared" si="39"/>
        <v>6.9662921348314602E-2</v>
      </c>
      <c r="R599" s="10">
        <v>0</v>
      </c>
      <c r="S599" s="80">
        <f t="shared" si="40"/>
        <v>0</v>
      </c>
      <c r="T599" s="10">
        <v>116</v>
      </c>
      <c r="U599" s="80">
        <f t="shared" si="41"/>
        <v>2.8963795255930087E-2</v>
      </c>
      <c r="V599" s="94">
        <f t="shared" si="42"/>
        <v>2.2958801498127341</v>
      </c>
      <c r="W599" s="168" t="s">
        <v>2107</v>
      </c>
    </row>
    <row r="600" spans="1:23">
      <c r="A600" s="67" t="s">
        <v>1674</v>
      </c>
      <c r="B600" s="10" t="s">
        <v>1530</v>
      </c>
      <c r="C600" s="68" t="s">
        <v>1533</v>
      </c>
      <c r="D600" s="10" t="s">
        <v>1531</v>
      </c>
      <c r="E600" s="10" t="s">
        <v>22</v>
      </c>
      <c r="F600" s="10">
        <v>13610</v>
      </c>
      <c r="G600" s="10" t="s">
        <v>1533</v>
      </c>
      <c r="H600" s="5">
        <f>190*33+124+180*2+94+8</f>
        <v>6856</v>
      </c>
      <c r="I600" s="69">
        <f t="shared" si="36"/>
        <v>0.50374724467303456</v>
      </c>
      <c r="J600" s="5">
        <f>176+20+180*25+50+25</f>
        <v>4771</v>
      </c>
      <c r="K600" s="70">
        <f t="shared" si="37"/>
        <v>0.35055106539309333</v>
      </c>
      <c r="L600" s="5">
        <f>180*9+85+73</f>
        <v>1778</v>
      </c>
      <c r="M600" s="90">
        <f t="shared" si="38"/>
        <v>0.13063923585598824</v>
      </c>
      <c r="N600" s="72">
        <v>35</v>
      </c>
      <c r="O600" s="180">
        <f t="shared" si="35"/>
        <v>0.25716385011021309</v>
      </c>
      <c r="P600" s="72">
        <v>11</v>
      </c>
      <c r="Q600" s="93">
        <f t="shared" si="39"/>
        <v>8.0822924320352681E-4</v>
      </c>
      <c r="R600" s="5">
        <f>190+9</f>
        <v>199</v>
      </c>
      <c r="S600" s="80">
        <f t="shared" si="40"/>
        <v>1.4621601763409257E-2</v>
      </c>
      <c r="T600" s="10">
        <v>0</v>
      </c>
      <c r="U600" s="80">
        <f t="shared" si="41"/>
        <v>0</v>
      </c>
      <c r="V600" s="94">
        <f t="shared" si="42"/>
        <v>0.27259368111682586</v>
      </c>
      <c r="W600" s="168" t="s">
        <v>2107</v>
      </c>
    </row>
    <row r="601" spans="1:23">
      <c r="A601" s="67" t="s">
        <v>1674</v>
      </c>
      <c r="B601" s="10" t="s">
        <v>1556</v>
      </c>
      <c r="C601" s="76" t="s">
        <v>29</v>
      </c>
      <c r="D601" s="10" t="s">
        <v>1550</v>
      </c>
      <c r="E601" s="10" t="s">
        <v>22</v>
      </c>
      <c r="F601" s="10">
        <v>9940</v>
      </c>
      <c r="G601" s="10" t="s">
        <v>1551</v>
      </c>
      <c r="H601" s="5">
        <f>170*57</f>
        <v>9690</v>
      </c>
      <c r="I601" s="69">
        <f t="shared" si="36"/>
        <v>0.97484909456740443</v>
      </c>
      <c r="J601" s="5">
        <v>0</v>
      </c>
      <c r="K601" s="70">
        <f t="shared" si="37"/>
        <v>0</v>
      </c>
      <c r="L601" s="5">
        <v>0</v>
      </c>
      <c r="M601" s="90">
        <f t="shared" si="38"/>
        <v>0</v>
      </c>
      <c r="N601" s="72">
        <v>0</v>
      </c>
      <c r="O601" s="180">
        <f t="shared" si="35"/>
        <v>0</v>
      </c>
      <c r="P601" s="78">
        <f>250</f>
        <v>250</v>
      </c>
      <c r="Q601" s="93">
        <f t="shared" si="39"/>
        <v>2.5150905432595575E-2</v>
      </c>
      <c r="R601" s="10">
        <v>0</v>
      </c>
      <c r="S601" s="80">
        <f t="shared" si="40"/>
        <v>0</v>
      </c>
      <c r="T601" s="5">
        <v>0</v>
      </c>
      <c r="U601" s="80">
        <f t="shared" si="41"/>
        <v>0</v>
      </c>
      <c r="V601" s="94">
        <f t="shared" si="42"/>
        <v>2.5150905432595575E-2</v>
      </c>
      <c r="W601" s="168" t="s">
        <v>2104</v>
      </c>
    </row>
    <row r="602" spans="1:23">
      <c r="A602" s="67" t="s">
        <v>1674</v>
      </c>
      <c r="B602" s="10" t="s">
        <v>1538</v>
      </c>
      <c r="C602" s="68" t="s">
        <v>1533</v>
      </c>
      <c r="D602" s="10" t="s">
        <v>1536</v>
      </c>
      <c r="E602" s="10" t="s">
        <v>22</v>
      </c>
      <c r="F602" s="10">
        <v>8932</v>
      </c>
      <c r="G602" s="10" t="s">
        <v>1533</v>
      </c>
      <c r="H602" s="5">
        <f>190*30+124+86</f>
        <v>5910</v>
      </c>
      <c r="I602" s="69">
        <f t="shared" si="36"/>
        <v>0.66166592028660998</v>
      </c>
      <c r="J602" s="5">
        <f>124+19</f>
        <v>143</v>
      </c>
      <c r="K602" s="70">
        <f t="shared" si="37"/>
        <v>1.600985221674877E-2</v>
      </c>
      <c r="L602" s="5">
        <f>190*6+55+101</f>
        <v>1296</v>
      </c>
      <c r="M602" s="90">
        <f t="shared" si="38"/>
        <v>0.1450962830273175</v>
      </c>
      <c r="N602" s="72">
        <v>1583</v>
      </c>
      <c r="O602" s="180">
        <f t="shared" si="35"/>
        <v>17.722794446932376</v>
      </c>
      <c r="P602" s="72">
        <v>0</v>
      </c>
      <c r="Q602" s="93">
        <f t="shared" si="39"/>
        <v>0</v>
      </c>
      <c r="R602" s="10">
        <v>0</v>
      </c>
      <c r="S602" s="80">
        <f t="shared" si="40"/>
        <v>0</v>
      </c>
      <c r="T602" s="10">
        <v>0</v>
      </c>
      <c r="U602" s="80">
        <f t="shared" si="41"/>
        <v>0</v>
      </c>
      <c r="V602" s="94">
        <f t="shared" si="42"/>
        <v>17.722794446932376</v>
      </c>
      <c r="W602" s="168" t="s">
        <v>1195</v>
      </c>
    </row>
    <row r="603" spans="1:23">
      <c r="A603" s="67" t="s">
        <v>1675</v>
      </c>
      <c r="B603" s="10" t="s">
        <v>1530</v>
      </c>
      <c r="C603" s="68" t="s">
        <v>1533</v>
      </c>
      <c r="D603" s="10" t="s">
        <v>1531</v>
      </c>
      <c r="E603" s="10" t="s">
        <v>22</v>
      </c>
      <c r="F603" s="10">
        <v>10800</v>
      </c>
      <c r="G603" s="10" t="s">
        <v>1533</v>
      </c>
      <c r="H603" s="5">
        <f>180*31+172+145</f>
        <v>5897</v>
      </c>
      <c r="I603" s="69">
        <f t="shared" si="36"/>
        <v>0.54601851851851857</v>
      </c>
      <c r="J603" s="5">
        <f>180*17+86</f>
        <v>3146</v>
      </c>
      <c r="K603" s="70">
        <f t="shared" si="37"/>
        <v>0.29129629629629628</v>
      </c>
      <c r="L603" s="5">
        <f>180*7+107+145</f>
        <v>1512</v>
      </c>
      <c r="M603" s="90">
        <f t="shared" si="38"/>
        <v>0.14000000000000001</v>
      </c>
      <c r="N603" s="72">
        <v>48</v>
      </c>
      <c r="O603" s="180">
        <f t="shared" si="35"/>
        <v>0.44444444444444442</v>
      </c>
      <c r="P603" s="72">
        <v>197</v>
      </c>
      <c r="Q603" s="93">
        <f t="shared" si="39"/>
        <v>1.8240740740740741E-2</v>
      </c>
      <c r="R603" s="10">
        <v>0</v>
      </c>
      <c r="S603" s="80">
        <f t="shared" si="40"/>
        <v>0</v>
      </c>
      <c r="T603" s="10">
        <v>0</v>
      </c>
      <c r="U603" s="80">
        <f t="shared" si="41"/>
        <v>0</v>
      </c>
      <c r="V603" s="94">
        <f t="shared" si="42"/>
        <v>0.46268518518518514</v>
      </c>
      <c r="W603" s="168" t="s">
        <v>2107</v>
      </c>
    </row>
    <row r="604" spans="1:23">
      <c r="A604" s="67" t="s">
        <v>1675</v>
      </c>
      <c r="B604" s="10" t="s">
        <v>1530</v>
      </c>
      <c r="C604" s="76" t="s">
        <v>27</v>
      </c>
      <c r="D604" s="10" t="s">
        <v>1536</v>
      </c>
      <c r="E604" s="10" t="s">
        <v>22</v>
      </c>
      <c r="F604" s="10">
        <v>3092</v>
      </c>
      <c r="G604" s="10" t="s">
        <v>1535</v>
      </c>
      <c r="H604" s="5">
        <f>180*8+62</f>
        <v>1502</v>
      </c>
      <c r="I604" s="69">
        <f t="shared" si="36"/>
        <v>0.48576972833117721</v>
      </c>
      <c r="J604" s="5">
        <f>180*4+146+84</f>
        <v>950</v>
      </c>
      <c r="K604" s="70">
        <f t="shared" si="37"/>
        <v>0.30724450194049158</v>
      </c>
      <c r="L604" s="5">
        <f>180+68</f>
        <v>248</v>
      </c>
      <c r="M604" s="90">
        <f t="shared" si="38"/>
        <v>8.0206985769728331E-2</v>
      </c>
      <c r="N604" s="72">
        <v>173</v>
      </c>
      <c r="O604" s="180">
        <f t="shared" si="35"/>
        <v>5.5950840879689521</v>
      </c>
      <c r="P604" s="72">
        <v>167</v>
      </c>
      <c r="Q604" s="95">
        <f t="shared" si="39"/>
        <v>5.4010349288486414E-2</v>
      </c>
      <c r="R604" s="10">
        <v>0</v>
      </c>
      <c r="S604" s="85">
        <f t="shared" si="40"/>
        <v>0</v>
      </c>
      <c r="T604" s="5">
        <f>52</f>
        <v>52</v>
      </c>
      <c r="U604" s="80">
        <f t="shared" si="41"/>
        <v>1.6817593790426907E-2</v>
      </c>
      <c r="V604" s="94">
        <f t="shared" si="42"/>
        <v>5.6659120310478652</v>
      </c>
      <c r="W604" s="168" t="s">
        <v>2107</v>
      </c>
    </row>
    <row r="605" spans="1:23">
      <c r="A605" s="67" t="s">
        <v>1675</v>
      </c>
      <c r="B605" s="10" t="s">
        <v>1530</v>
      </c>
      <c r="C605" s="76" t="s">
        <v>27</v>
      </c>
      <c r="D605" s="10" t="s">
        <v>1534</v>
      </c>
      <c r="E605" s="10" t="s">
        <v>22</v>
      </c>
      <c r="F605" s="10">
        <v>11689</v>
      </c>
      <c r="G605" s="10" t="s">
        <v>1554</v>
      </c>
      <c r="H605" s="5">
        <f>180*53+143</f>
        <v>9683</v>
      </c>
      <c r="I605" s="69">
        <f t="shared" si="36"/>
        <v>0.82838566173325345</v>
      </c>
      <c r="J605" s="5">
        <f>180*5+152</f>
        <v>1052</v>
      </c>
      <c r="K605" s="70">
        <f t="shared" si="37"/>
        <v>8.9999144494824199E-2</v>
      </c>
      <c r="L605" s="5">
        <f>169</f>
        <v>169</v>
      </c>
      <c r="M605" s="90">
        <f t="shared" si="38"/>
        <v>1.44580374711267E-2</v>
      </c>
      <c r="N605" s="72">
        <v>235</v>
      </c>
      <c r="O605" s="180">
        <f t="shared" si="35"/>
        <v>2.0104371631448368</v>
      </c>
      <c r="P605" s="72">
        <v>334</v>
      </c>
      <c r="Q605" s="95">
        <f t="shared" si="39"/>
        <v>2.8573872871930875E-2</v>
      </c>
      <c r="R605" s="5">
        <f>165</f>
        <v>165</v>
      </c>
      <c r="S605" s="85">
        <f t="shared" si="40"/>
        <v>1.4115835400804175E-2</v>
      </c>
      <c r="T605" s="10">
        <v>51</v>
      </c>
      <c r="U605" s="80">
        <f t="shared" si="41"/>
        <v>4.3630763966121993E-3</v>
      </c>
      <c r="V605" s="94">
        <f t="shared" si="42"/>
        <v>2.0574899478141839</v>
      </c>
      <c r="W605" s="168" t="s">
        <v>2107</v>
      </c>
    </row>
    <row r="606" spans="1:23">
      <c r="A606" s="67" t="s">
        <v>1675</v>
      </c>
      <c r="B606" s="10" t="s">
        <v>1556</v>
      </c>
      <c r="C606" s="76" t="s">
        <v>29</v>
      </c>
      <c r="D606" s="10" t="s">
        <v>1550</v>
      </c>
      <c r="E606" s="10" t="s">
        <v>22</v>
      </c>
      <c r="F606" s="10">
        <v>11102</v>
      </c>
      <c r="G606" s="10" t="s">
        <v>1551</v>
      </c>
      <c r="H606" s="5">
        <f>170*64</f>
        <v>10880</v>
      </c>
      <c r="I606" s="69">
        <f t="shared" si="36"/>
        <v>0.98000360295442268</v>
      </c>
      <c r="J606" s="5">
        <v>0</v>
      </c>
      <c r="K606" s="70">
        <f t="shared" si="37"/>
        <v>0</v>
      </c>
      <c r="L606" s="5">
        <v>0</v>
      </c>
      <c r="M606" s="90">
        <f t="shared" si="38"/>
        <v>0</v>
      </c>
      <c r="N606" s="72">
        <v>0</v>
      </c>
      <c r="O606" s="180">
        <f t="shared" si="35"/>
        <v>0</v>
      </c>
      <c r="P606" s="72">
        <v>222</v>
      </c>
      <c r="Q606" s="95">
        <f t="shared" si="39"/>
        <v>1.9996397045577374E-2</v>
      </c>
      <c r="R606" s="10">
        <v>0</v>
      </c>
      <c r="S606" s="85">
        <f t="shared" si="40"/>
        <v>0</v>
      </c>
      <c r="T606" s="10">
        <v>0</v>
      </c>
      <c r="U606" s="80">
        <f t="shared" si="41"/>
        <v>0</v>
      </c>
      <c r="V606" s="94">
        <f t="shared" si="42"/>
        <v>1.9996397045577374E-2</v>
      </c>
      <c r="W606" s="168" t="s">
        <v>2104</v>
      </c>
    </row>
    <row r="607" spans="1:23">
      <c r="A607" s="67" t="s">
        <v>1675</v>
      </c>
      <c r="B607" s="10" t="s">
        <v>1538</v>
      </c>
      <c r="C607" s="68" t="s">
        <v>1533</v>
      </c>
      <c r="D607" s="10" t="s">
        <v>1536</v>
      </c>
      <c r="E607" s="10" t="s">
        <v>22</v>
      </c>
      <c r="F607" s="10">
        <v>9000</v>
      </c>
      <c r="G607" s="10" t="s">
        <v>1533</v>
      </c>
      <c r="H607" s="5">
        <f>190*32+104+50</f>
        <v>6234</v>
      </c>
      <c r="I607" s="69">
        <f t="shared" si="36"/>
        <v>0.69266666666666665</v>
      </c>
      <c r="J607" s="5">
        <f>161+130</f>
        <v>291</v>
      </c>
      <c r="K607" s="70">
        <f t="shared" si="37"/>
        <v>3.2333333333333332E-2</v>
      </c>
      <c r="L607" s="5">
        <f>190*7+89+50</f>
        <v>1469</v>
      </c>
      <c r="M607" s="90">
        <f t="shared" si="38"/>
        <v>0.16322222222222221</v>
      </c>
      <c r="N607" s="72">
        <v>1006</v>
      </c>
      <c r="O607" s="180">
        <f t="shared" si="35"/>
        <v>11.177777777777779</v>
      </c>
      <c r="P607" s="72">
        <v>0</v>
      </c>
      <c r="Q607" s="95">
        <f t="shared" si="39"/>
        <v>0</v>
      </c>
      <c r="R607" s="10">
        <v>0</v>
      </c>
      <c r="S607" s="85">
        <f t="shared" si="40"/>
        <v>0</v>
      </c>
      <c r="T607" s="10">
        <v>0</v>
      </c>
      <c r="U607" s="80">
        <f t="shared" si="41"/>
        <v>0</v>
      </c>
      <c r="V607" s="94">
        <f t="shared" si="42"/>
        <v>11.177777777777779</v>
      </c>
      <c r="W607" s="168" t="s">
        <v>1195</v>
      </c>
    </row>
    <row r="608" spans="1:23">
      <c r="A608" s="67" t="s">
        <v>1676</v>
      </c>
      <c r="B608" s="10" t="s">
        <v>1530</v>
      </c>
      <c r="C608" s="68" t="s">
        <v>1533</v>
      </c>
      <c r="D608" s="10" t="s">
        <v>1531</v>
      </c>
      <c r="E608" s="10" t="s">
        <v>22</v>
      </c>
      <c r="F608" s="10">
        <v>2751</v>
      </c>
      <c r="G608" s="10" t="s">
        <v>1533</v>
      </c>
      <c r="H608" s="5">
        <f>180*5+110</f>
        <v>1010</v>
      </c>
      <c r="I608" s="69">
        <f t="shared" si="36"/>
        <v>0.36713922210105415</v>
      </c>
      <c r="J608" s="5">
        <f>180*6+94+69</f>
        <v>1243</v>
      </c>
      <c r="K608" s="70">
        <f t="shared" si="37"/>
        <v>0.45183569611050528</v>
      </c>
      <c r="L608" s="5">
        <f>180*2+95</f>
        <v>455</v>
      </c>
      <c r="M608" s="90">
        <f t="shared" si="38"/>
        <v>0.16539440203562342</v>
      </c>
      <c r="N608" s="72">
        <v>28</v>
      </c>
      <c r="O608" s="180">
        <f t="shared" si="35"/>
        <v>1.0178117048346056</v>
      </c>
      <c r="P608" s="72">
        <v>15</v>
      </c>
      <c r="Q608" s="95">
        <f t="shared" si="39"/>
        <v>5.4525627044711015E-3</v>
      </c>
      <c r="R608" s="10">
        <v>0</v>
      </c>
      <c r="S608" s="85">
        <f t="shared" si="40"/>
        <v>0</v>
      </c>
      <c r="T608" s="10">
        <v>0</v>
      </c>
      <c r="U608" s="80">
        <f t="shared" si="41"/>
        <v>0</v>
      </c>
      <c r="V608" s="94">
        <f t="shared" si="42"/>
        <v>1.0232642675390766</v>
      </c>
      <c r="W608" s="168" t="s">
        <v>2107</v>
      </c>
    </row>
    <row r="609" spans="1:23">
      <c r="A609" s="67" t="s">
        <v>1676</v>
      </c>
      <c r="B609" s="10" t="s">
        <v>1530</v>
      </c>
      <c r="C609" s="10" t="s">
        <v>31</v>
      </c>
      <c r="D609" s="10" t="s">
        <v>1611</v>
      </c>
      <c r="E609" s="10" t="s">
        <v>22</v>
      </c>
      <c r="F609" s="10">
        <v>5060</v>
      </c>
      <c r="G609" s="77" t="s">
        <v>1540</v>
      </c>
      <c r="H609" s="5">
        <f>180*27</f>
        <v>4860</v>
      </c>
      <c r="I609" s="69">
        <f t="shared" si="36"/>
        <v>0.96047430830039526</v>
      </c>
      <c r="J609" s="5">
        <v>0</v>
      </c>
      <c r="K609" s="70">
        <f t="shared" si="37"/>
        <v>0</v>
      </c>
      <c r="L609" s="5">
        <v>0</v>
      </c>
      <c r="M609" s="90">
        <f t="shared" si="38"/>
        <v>0</v>
      </c>
      <c r="N609" s="72">
        <v>163</v>
      </c>
      <c r="O609" s="180">
        <f t="shared" si="35"/>
        <v>3.2213438735177866</v>
      </c>
      <c r="P609" s="72">
        <v>37</v>
      </c>
      <c r="Q609" s="95">
        <f t="shared" si="39"/>
        <v>7.3122529644268778E-3</v>
      </c>
      <c r="R609" s="10">
        <v>0</v>
      </c>
      <c r="S609" s="85">
        <f t="shared" si="40"/>
        <v>0</v>
      </c>
      <c r="T609" s="10">
        <v>0</v>
      </c>
      <c r="U609" s="80">
        <f t="shared" si="41"/>
        <v>0</v>
      </c>
      <c r="V609" s="94">
        <f t="shared" si="42"/>
        <v>3.2286561264822136</v>
      </c>
      <c r="W609" s="168" t="s">
        <v>1195</v>
      </c>
    </row>
    <row r="610" spans="1:23">
      <c r="A610" s="67" t="s">
        <v>1676</v>
      </c>
      <c r="B610" s="10" t="s">
        <v>1530</v>
      </c>
      <c r="C610" s="76" t="s">
        <v>27</v>
      </c>
      <c r="D610" s="10" t="s">
        <v>1534</v>
      </c>
      <c r="E610" s="10" t="s">
        <v>22</v>
      </c>
      <c r="F610" s="10">
        <v>5884</v>
      </c>
      <c r="G610" s="10" t="s">
        <v>1554</v>
      </c>
      <c r="H610" s="5">
        <f>180*29+37+10</f>
        <v>5267</v>
      </c>
      <c r="I610" s="69">
        <f t="shared" si="36"/>
        <v>0.89513936097892588</v>
      </c>
      <c r="J610" s="5">
        <f>180+28+120</f>
        <v>328</v>
      </c>
      <c r="K610" s="70">
        <f t="shared" si="37"/>
        <v>5.5744391570360298E-2</v>
      </c>
      <c r="L610" s="5">
        <f>20+8</f>
        <v>28</v>
      </c>
      <c r="M610" s="90">
        <f t="shared" si="38"/>
        <v>4.7586675730795381E-3</v>
      </c>
      <c r="N610" s="72">
        <v>42</v>
      </c>
      <c r="O610" s="180">
        <f t="shared" si="35"/>
        <v>0.71380013596193059</v>
      </c>
      <c r="P610" s="72">
        <v>93</v>
      </c>
      <c r="Q610" s="95">
        <f t="shared" si="39"/>
        <v>1.5805574439157036E-2</v>
      </c>
      <c r="R610" s="10">
        <v>126</v>
      </c>
      <c r="S610" s="85">
        <f t="shared" si="40"/>
        <v>2.1414004078857921E-2</v>
      </c>
      <c r="T610" s="10">
        <v>0</v>
      </c>
      <c r="U610" s="80">
        <f t="shared" si="41"/>
        <v>0</v>
      </c>
      <c r="V610" s="94">
        <f t="shared" si="42"/>
        <v>0.75101971447994564</v>
      </c>
      <c r="W610" s="168" t="s">
        <v>2107</v>
      </c>
    </row>
    <row r="611" spans="1:23">
      <c r="A611" s="67" t="s">
        <v>1676</v>
      </c>
      <c r="B611" s="10" t="s">
        <v>1530</v>
      </c>
      <c r="C611" s="76" t="s">
        <v>27</v>
      </c>
      <c r="D611" s="10" t="s">
        <v>1536</v>
      </c>
      <c r="E611" s="10" t="s">
        <v>22</v>
      </c>
      <c r="F611" s="10">
        <v>3001</v>
      </c>
      <c r="G611" s="10" t="s">
        <v>1535</v>
      </c>
      <c r="H611" s="5">
        <f>180*6+118+36</f>
        <v>1234</v>
      </c>
      <c r="I611" s="69">
        <f t="shared" si="36"/>
        <v>0.41119626791069641</v>
      </c>
      <c r="J611" s="5">
        <f>73+27</f>
        <v>100</v>
      </c>
      <c r="K611" s="70">
        <f t="shared" si="37"/>
        <v>3.3322225924691772E-2</v>
      </c>
      <c r="L611" s="5">
        <f>180*4+96+180+101+104+56</f>
        <v>1257</v>
      </c>
      <c r="M611" s="90">
        <f t="shared" si="38"/>
        <v>0.41886037987337554</v>
      </c>
      <c r="N611" s="72">
        <v>176</v>
      </c>
      <c r="O611" s="180">
        <f t="shared" si="35"/>
        <v>5.8647117627457517</v>
      </c>
      <c r="P611" s="72">
        <v>179</v>
      </c>
      <c r="Q611" s="95">
        <f t="shared" si="39"/>
        <v>5.9646784405198265E-2</v>
      </c>
      <c r="R611" s="10">
        <v>0</v>
      </c>
      <c r="S611" s="85">
        <f t="shared" si="40"/>
        <v>0</v>
      </c>
      <c r="T611" s="5">
        <f>55</f>
        <v>55</v>
      </c>
      <c r="U611" s="80">
        <f t="shared" si="41"/>
        <v>1.8327224258580473E-2</v>
      </c>
      <c r="V611" s="94">
        <f t="shared" si="42"/>
        <v>5.9426857714095309</v>
      </c>
      <c r="W611" s="168" t="s">
        <v>2107</v>
      </c>
    </row>
    <row r="612" spans="1:23">
      <c r="A612" s="67" t="s">
        <v>1676</v>
      </c>
      <c r="B612" s="10" t="s">
        <v>1556</v>
      </c>
      <c r="C612" s="76" t="s">
        <v>29</v>
      </c>
      <c r="D612" s="10" t="s">
        <v>1550</v>
      </c>
      <c r="E612" s="10" t="s">
        <v>22</v>
      </c>
      <c r="F612" s="10">
        <v>10377</v>
      </c>
      <c r="G612" s="10" t="s">
        <v>1551</v>
      </c>
      <c r="H612" s="5">
        <f>170*60</f>
        <v>10200</v>
      </c>
      <c r="I612" s="69">
        <f t="shared" si="36"/>
        <v>0.98294304712344605</v>
      </c>
      <c r="J612" s="5">
        <v>0</v>
      </c>
      <c r="K612" s="70">
        <f t="shared" si="37"/>
        <v>0</v>
      </c>
      <c r="L612" s="5">
        <v>0</v>
      </c>
      <c r="M612" s="90">
        <f t="shared" si="38"/>
        <v>0</v>
      </c>
      <c r="N612" s="72">
        <v>0</v>
      </c>
      <c r="O612" s="180">
        <f t="shared" si="35"/>
        <v>0</v>
      </c>
      <c r="P612" s="72">
        <v>177</v>
      </c>
      <c r="Q612" s="95">
        <f t="shared" si="39"/>
        <v>1.7056952876553916E-2</v>
      </c>
      <c r="R612" s="10">
        <v>0</v>
      </c>
      <c r="S612" s="85">
        <f t="shared" si="40"/>
        <v>0</v>
      </c>
      <c r="T612" s="10">
        <v>0</v>
      </c>
      <c r="U612" s="80">
        <f t="shared" si="41"/>
        <v>0</v>
      </c>
      <c r="V612" s="94">
        <f t="shared" si="42"/>
        <v>1.7056952876553916E-2</v>
      </c>
      <c r="W612" s="168" t="s">
        <v>2104</v>
      </c>
    </row>
    <row r="613" spans="1:23">
      <c r="A613" s="67" t="s">
        <v>1676</v>
      </c>
      <c r="B613" s="10" t="s">
        <v>1538</v>
      </c>
      <c r="C613" s="68" t="s">
        <v>1533</v>
      </c>
      <c r="D613" s="10" t="s">
        <v>1536</v>
      </c>
      <c r="E613" s="10" t="s">
        <v>22</v>
      </c>
      <c r="F613" s="10">
        <v>4430</v>
      </c>
      <c r="G613" s="10" t="s">
        <v>1533</v>
      </c>
      <c r="H613" s="5">
        <f>190*15+140+94</f>
        <v>3084</v>
      </c>
      <c r="I613" s="69">
        <f t="shared" si="36"/>
        <v>0.69616252821670432</v>
      </c>
      <c r="J613" s="5">
        <v>90</v>
      </c>
      <c r="K613" s="70">
        <f t="shared" si="37"/>
        <v>2.0316027088036117E-2</v>
      </c>
      <c r="L613" s="5">
        <f>180*3</f>
        <v>540</v>
      </c>
      <c r="M613" s="90">
        <f t="shared" si="38"/>
        <v>0.12189616252821671</v>
      </c>
      <c r="N613" s="72">
        <v>716</v>
      </c>
      <c r="O613" s="180">
        <f t="shared" si="35"/>
        <v>16.162528216704288</v>
      </c>
      <c r="P613" s="72">
        <v>0</v>
      </c>
      <c r="Q613" s="95">
        <f t="shared" si="39"/>
        <v>0</v>
      </c>
      <c r="R613" s="10">
        <v>0</v>
      </c>
      <c r="S613" s="85">
        <f t="shared" si="40"/>
        <v>0</v>
      </c>
      <c r="T613" s="10">
        <v>0</v>
      </c>
      <c r="U613" s="80">
        <f t="shared" si="41"/>
        <v>0</v>
      </c>
      <c r="V613" s="94">
        <f t="shared" si="42"/>
        <v>16.162528216704288</v>
      </c>
      <c r="W613" s="168" t="s">
        <v>1195</v>
      </c>
    </row>
    <row r="614" spans="1:23">
      <c r="A614" s="67" t="s">
        <v>1676</v>
      </c>
      <c r="B614" s="10" t="s">
        <v>1538</v>
      </c>
      <c r="C614" s="68" t="s">
        <v>1533</v>
      </c>
      <c r="D614" s="68" t="s">
        <v>1559</v>
      </c>
      <c r="E614" s="10" t="s">
        <v>22</v>
      </c>
      <c r="F614" s="10">
        <v>2090</v>
      </c>
      <c r="G614" s="10" t="s">
        <v>1533</v>
      </c>
      <c r="H614" s="5">
        <f>190*11</f>
        <v>2090</v>
      </c>
      <c r="I614" s="69">
        <f t="shared" si="36"/>
        <v>1</v>
      </c>
      <c r="J614" s="5">
        <v>0</v>
      </c>
      <c r="K614" s="70">
        <f t="shared" si="37"/>
        <v>0</v>
      </c>
      <c r="L614" s="5">
        <v>0</v>
      </c>
      <c r="M614" s="90">
        <f t="shared" si="38"/>
        <v>0</v>
      </c>
      <c r="N614" s="72">
        <v>0</v>
      </c>
      <c r="O614" s="180">
        <f t="shared" si="35"/>
        <v>0</v>
      </c>
      <c r="P614" s="72">
        <v>0</v>
      </c>
      <c r="Q614" s="95">
        <f t="shared" si="39"/>
        <v>0</v>
      </c>
      <c r="R614" s="10">
        <v>0</v>
      </c>
      <c r="S614" s="85">
        <f t="shared" si="40"/>
        <v>0</v>
      </c>
      <c r="T614" s="10">
        <v>0</v>
      </c>
      <c r="U614" s="80">
        <f t="shared" si="41"/>
        <v>0</v>
      </c>
      <c r="V614" s="94">
        <f t="shared" si="42"/>
        <v>0</v>
      </c>
      <c r="W614" s="168" t="s">
        <v>1109</v>
      </c>
    </row>
    <row r="615" spans="1:23">
      <c r="A615" s="67" t="s">
        <v>1677</v>
      </c>
      <c r="B615" s="10" t="s">
        <v>1530</v>
      </c>
      <c r="C615" s="76" t="s">
        <v>27</v>
      </c>
      <c r="D615" s="10" t="s">
        <v>1536</v>
      </c>
      <c r="E615" s="10" t="s">
        <v>22</v>
      </c>
      <c r="F615" s="10">
        <v>3482</v>
      </c>
      <c r="G615" s="10" t="s">
        <v>1535</v>
      </c>
      <c r="H615" s="5">
        <f>180*13+144</f>
        <v>2484</v>
      </c>
      <c r="I615" s="69">
        <f t="shared" si="36"/>
        <v>0.71338311315336012</v>
      </c>
      <c r="J615" s="5">
        <f>153+35</f>
        <v>188</v>
      </c>
      <c r="K615" s="70">
        <f t="shared" si="37"/>
        <v>5.3991958644457209E-2</v>
      </c>
      <c r="L615" s="5">
        <f>180+79+76+49+87</f>
        <v>471</v>
      </c>
      <c r="M615" s="90">
        <f t="shared" si="38"/>
        <v>0.13526708788052844</v>
      </c>
      <c r="N615" s="72">
        <v>111</v>
      </c>
      <c r="O615" s="180">
        <f t="shared" si="35"/>
        <v>3.1878230901780586</v>
      </c>
      <c r="P615" s="72">
        <v>159</v>
      </c>
      <c r="Q615" s="95">
        <f t="shared" si="39"/>
        <v>4.5663411832280301E-2</v>
      </c>
      <c r="R615" s="10">
        <v>0</v>
      </c>
      <c r="S615" s="85">
        <f t="shared" si="40"/>
        <v>0</v>
      </c>
      <c r="T615" s="10">
        <v>69</v>
      </c>
      <c r="U615" s="80">
        <f t="shared" si="41"/>
        <v>1.9816197587593336E-2</v>
      </c>
      <c r="V615" s="94">
        <f t="shared" si="42"/>
        <v>3.2533026995979326</v>
      </c>
      <c r="W615" s="168" t="s">
        <v>2107</v>
      </c>
    </row>
    <row r="616" spans="1:23">
      <c r="A616" s="67" t="s">
        <v>1677</v>
      </c>
      <c r="B616" s="10" t="s">
        <v>1530</v>
      </c>
      <c r="C616" s="76" t="s">
        <v>27</v>
      </c>
      <c r="D616" s="10" t="s">
        <v>1534</v>
      </c>
      <c r="E616" s="10" t="s">
        <v>22</v>
      </c>
      <c r="F616" s="10">
        <v>5744</v>
      </c>
      <c r="G616" s="10" t="s">
        <v>1554</v>
      </c>
      <c r="H616" s="5">
        <f>180*26+170+133</f>
        <v>4983</v>
      </c>
      <c r="I616" s="69">
        <f t="shared" si="36"/>
        <v>0.86751392757660162</v>
      </c>
      <c r="J616" s="5">
        <f>180+60+8</f>
        <v>248</v>
      </c>
      <c r="K616" s="70">
        <f t="shared" si="37"/>
        <v>4.3175487465181059E-2</v>
      </c>
      <c r="L616" s="5">
        <v>138</v>
      </c>
      <c r="M616" s="90">
        <f t="shared" si="38"/>
        <v>2.402506963788301E-2</v>
      </c>
      <c r="N616" s="72">
        <v>128</v>
      </c>
      <c r="O616" s="180">
        <f t="shared" si="35"/>
        <v>2.2284122562674096</v>
      </c>
      <c r="P616" s="72">
        <v>104</v>
      </c>
      <c r="Q616" s="95">
        <f t="shared" si="39"/>
        <v>1.8105849582172703E-2</v>
      </c>
      <c r="R616" s="5">
        <f>54+89</f>
        <v>143</v>
      </c>
      <c r="S616" s="85">
        <f t="shared" si="40"/>
        <v>2.4895543175487464E-2</v>
      </c>
      <c r="T616" s="10">
        <v>0</v>
      </c>
      <c r="U616" s="80">
        <f t="shared" si="41"/>
        <v>0</v>
      </c>
      <c r="V616" s="94">
        <f t="shared" si="42"/>
        <v>2.27141364902507</v>
      </c>
      <c r="W616" s="168" t="s">
        <v>2107</v>
      </c>
    </row>
    <row r="617" spans="1:23">
      <c r="A617" s="67" t="s">
        <v>1677</v>
      </c>
      <c r="B617" s="10" t="s">
        <v>1530</v>
      </c>
      <c r="C617" s="10" t="s">
        <v>31</v>
      </c>
      <c r="D617" s="10" t="s">
        <v>1611</v>
      </c>
      <c r="E617" s="10" t="s">
        <v>22</v>
      </c>
      <c r="F617" s="10">
        <v>3060</v>
      </c>
      <c r="G617" s="77" t="s">
        <v>1540</v>
      </c>
      <c r="H617" s="5">
        <f>180*16</f>
        <v>2880</v>
      </c>
      <c r="I617" s="69">
        <f t="shared" si="36"/>
        <v>0.94117647058823528</v>
      </c>
      <c r="J617" s="5">
        <v>0</v>
      </c>
      <c r="K617" s="70">
        <f t="shared" si="37"/>
        <v>0</v>
      </c>
      <c r="L617" s="5">
        <v>0</v>
      </c>
      <c r="M617" s="96">
        <f t="shared" si="38"/>
        <v>0</v>
      </c>
      <c r="N617" s="72">
        <v>144</v>
      </c>
      <c r="O617" s="180">
        <f t="shared" si="35"/>
        <v>4.7058823529411766</v>
      </c>
      <c r="P617" s="72">
        <v>36</v>
      </c>
      <c r="Q617" s="95">
        <f t="shared" si="39"/>
        <v>1.1764705882352941E-2</v>
      </c>
      <c r="R617" s="10">
        <v>0</v>
      </c>
      <c r="S617" s="85">
        <f t="shared" si="40"/>
        <v>0</v>
      </c>
      <c r="T617" s="10">
        <v>0</v>
      </c>
      <c r="U617" s="80">
        <f t="shared" si="41"/>
        <v>0</v>
      </c>
      <c r="V617" s="94">
        <f t="shared" si="42"/>
        <v>4.7176470588235295</v>
      </c>
      <c r="W617" s="168" t="s">
        <v>2107</v>
      </c>
    </row>
    <row r="618" spans="1:23">
      <c r="A618" s="67" t="s">
        <v>1677</v>
      </c>
      <c r="B618" s="10" t="s">
        <v>1556</v>
      </c>
      <c r="C618" s="76" t="s">
        <v>29</v>
      </c>
      <c r="D618" s="10" t="s">
        <v>1550</v>
      </c>
      <c r="E618" s="10" t="s">
        <v>22</v>
      </c>
      <c r="F618" s="10">
        <v>3492</v>
      </c>
      <c r="G618" s="10" t="s">
        <v>1551</v>
      </c>
      <c r="H618" s="5">
        <f>170*20</f>
        <v>3400</v>
      </c>
      <c r="I618" s="69">
        <f t="shared" si="36"/>
        <v>0.97365406643757157</v>
      </c>
      <c r="J618" s="5">
        <v>0</v>
      </c>
      <c r="K618" s="70">
        <f t="shared" si="37"/>
        <v>0</v>
      </c>
      <c r="L618" s="5">
        <v>0</v>
      </c>
      <c r="M618" s="96">
        <f t="shared" si="38"/>
        <v>0</v>
      </c>
      <c r="N618" s="72">
        <v>0</v>
      </c>
      <c r="O618" s="180">
        <f t="shared" si="35"/>
        <v>0</v>
      </c>
      <c r="P618" s="72">
        <v>92</v>
      </c>
      <c r="Q618" s="95">
        <f t="shared" si="39"/>
        <v>2.6345933562428408E-2</v>
      </c>
      <c r="R618" s="10">
        <v>0</v>
      </c>
      <c r="S618" s="85">
        <f t="shared" si="40"/>
        <v>0</v>
      </c>
      <c r="T618" s="10">
        <v>0</v>
      </c>
      <c r="U618" s="80">
        <f t="shared" si="41"/>
        <v>0</v>
      </c>
      <c r="V618" s="94">
        <f t="shared" si="42"/>
        <v>2.6345933562428408E-2</v>
      </c>
      <c r="W618" s="168" t="s">
        <v>2104</v>
      </c>
    </row>
    <row r="619" spans="1:23">
      <c r="A619" s="67" t="s">
        <v>1677</v>
      </c>
      <c r="B619" s="10" t="s">
        <v>1556</v>
      </c>
      <c r="C619" s="76" t="s">
        <v>27</v>
      </c>
      <c r="D619" s="10" t="s">
        <v>1550</v>
      </c>
      <c r="E619" s="10" t="s">
        <v>22</v>
      </c>
      <c r="F619" s="10">
        <v>2240</v>
      </c>
      <c r="G619" s="10" t="s">
        <v>1535</v>
      </c>
      <c r="H619" s="5">
        <f>170*13</f>
        <v>2210</v>
      </c>
      <c r="I619" s="69">
        <f t="shared" si="36"/>
        <v>0.9866071428571429</v>
      </c>
      <c r="J619" s="5">
        <v>0</v>
      </c>
      <c r="K619" s="70">
        <f t="shared" si="37"/>
        <v>0</v>
      </c>
      <c r="L619" s="5">
        <v>0</v>
      </c>
      <c r="M619" s="96">
        <f t="shared" si="38"/>
        <v>0</v>
      </c>
      <c r="N619" s="72">
        <v>0</v>
      </c>
      <c r="O619" s="180">
        <f t="shared" si="35"/>
        <v>0</v>
      </c>
      <c r="P619" s="72">
        <v>30</v>
      </c>
      <c r="Q619" s="95">
        <f t="shared" si="39"/>
        <v>1.3392857142857142E-2</v>
      </c>
      <c r="R619" s="10">
        <v>0</v>
      </c>
      <c r="S619" s="85">
        <f t="shared" si="40"/>
        <v>0</v>
      </c>
      <c r="T619" s="10">
        <v>0</v>
      </c>
      <c r="U619" s="80">
        <f t="shared" si="41"/>
        <v>0</v>
      </c>
      <c r="V619" s="94">
        <f t="shared" si="42"/>
        <v>1.3392857142857142E-2</v>
      </c>
      <c r="W619" s="168" t="s">
        <v>2104</v>
      </c>
    </row>
    <row r="620" spans="1:23">
      <c r="A620" s="67" t="s">
        <v>1677</v>
      </c>
      <c r="B620" s="10" t="s">
        <v>1538</v>
      </c>
      <c r="C620" s="68" t="s">
        <v>1533</v>
      </c>
      <c r="D620" s="10" t="s">
        <v>1536</v>
      </c>
      <c r="E620" s="10" t="s">
        <v>22</v>
      </c>
      <c r="F620" s="10">
        <v>755</v>
      </c>
      <c r="G620" s="10" t="s">
        <v>1533</v>
      </c>
      <c r="H620" s="5">
        <f>190*3</f>
        <v>570</v>
      </c>
      <c r="I620" s="69">
        <f t="shared" si="36"/>
        <v>0.75496688741721851</v>
      </c>
      <c r="J620" s="5">
        <v>10</v>
      </c>
      <c r="K620" s="70">
        <f t="shared" si="37"/>
        <v>1.3245033112582781E-2</v>
      </c>
      <c r="L620" s="5">
        <v>100</v>
      </c>
      <c r="M620" s="97">
        <f t="shared" si="38"/>
        <v>0.13245033112582782</v>
      </c>
      <c r="N620" s="72">
        <f>86-11</f>
        <v>75</v>
      </c>
      <c r="O620" s="180">
        <f t="shared" si="35"/>
        <v>9.9337748344370862</v>
      </c>
      <c r="P620" s="72">
        <v>0</v>
      </c>
      <c r="Q620" s="95">
        <f t="shared" si="39"/>
        <v>0</v>
      </c>
      <c r="R620" s="10">
        <v>0</v>
      </c>
      <c r="S620" s="85">
        <f t="shared" si="40"/>
        <v>0</v>
      </c>
      <c r="T620" s="10">
        <v>0</v>
      </c>
      <c r="U620" s="85">
        <f t="shared" si="41"/>
        <v>0</v>
      </c>
      <c r="V620" s="98">
        <f t="shared" si="42"/>
        <v>9.9337748344370862</v>
      </c>
      <c r="W620" s="168" t="s">
        <v>1195</v>
      </c>
    </row>
    <row r="621" spans="1:23">
      <c r="A621" s="67" t="s">
        <v>1677</v>
      </c>
      <c r="B621" s="10" t="s">
        <v>1538</v>
      </c>
      <c r="C621" s="68" t="s">
        <v>1533</v>
      </c>
      <c r="D621" s="10" t="s">
        <v>1536</v>
      </c>
      <c r="E621" s="10" t="s">
        <v>1539</v>
      </c>
      <c r="F621" s="10">
        <v>3420</v>
      </c>
      <c r="G621" s="10" t="s">
        <v>1533</v>
      </c>
      <c r="H621" s="5">
        <f>190*13+96+24</f>
        <v>2590</v>
      </c>
      <c r="I621" s="69">
        <f t="shared" ref="I621:I652" si="43">H621/F621</f>
        <v>0.75730994152046782</v>
      </c>
      <c r="J621" s="5">
        <v>13</v>
      </c>
      <c r="K621" s="70">
        <f t="shared" ref="K621:K652" si="44">J621/F621</f>
        <v>3.8011695906432748E-3</v>
      </c>
      <c r="L621" s="5">
        <f>90+116</f>
        <v>206</v>
      </c>
      <c r="M621" s="97">
        <f t="shared" ref="M621:M652" si="45">L621/F621</f>
        <v>6.0233918128654973E-2</v>
      </c>
      <c r="N621" s="72">
        <v>611</v>
      </c>
      <c r="O621" s="180">
        <f t="shared" si="35"/>
        <v>17.865497076023392</v>
      </c>
      <c r="P621" s="72">
        <v>0</v>
      </c>
      <c r="Q621" s="95">
        <f t="shared" ref="Q621:Q652" si="46">P621/F621</f>
        <v>0</v>
      </c>
      <c r="R621" s="10">
        <v>0</v>
      </c>
      <c r="S621" s="85">
        <f t="shared" ref="S621:S652" si="47">R621/F621</f>
        <v>0</v>
      </c>
      <c r="T621" s="10">
        <v>0</v>
      </c>
      <c r="U621" s="85">
        <f t="shared" ref="U621:U652" si="48">T621/F621</f>
        <v>0</v>
      </c>
      <c r="V621" s="98">
        <f t="shared" si="42"/>
        <v>17.865497076023392</v>
      </c>
      <c r="W621" s="168" t="s">
        <v>1195</v>
      </c>
    </row>
    <row r="622" spans="1:23">
      <c r="A622" s="67" t="s">
        <v>1678</v>
      </c>
      <c r="B622" s="10" t="s">
        <v>1530</v>
      </c>
      <c r="C622" s="76" t="s">
        <v>27</v>
      </c>
      <c r="D622" s="10" t="s">
        <v>1536</v>
      </c>
      <c r="E622" s="10" t="s">
        <v>22</v>
      </c>
      <c r="F622" s="10">
        <v>3366</v>
      </c>
      <c r="G622" s="10" t="s">
        <v>1535</v>
      </c>
      <c r="H622" s="5">
        <f>180*11+170</f>
        <v>2150</v>
      </c>
      <c r="I622" s="69">
        <f t="shared" si="43"/>
        <v>0.63874034462269758</v>
      </c>
      <c r="J622" s="5">
        <f>145+103</f>
        <v>248</v>
      </c>
      <c r="K622" s="70">
        <f t="shared" si="44"/>
        <v>7.3677956030897204E-2</v>
      </c>
      <c r="L622" s="5">
        <f>180*2+131+89</f>
        <v>580</v>
      </c>
      <c r="M622" s="97">
        <f t="shared" si="45"/>
        <v>0.17231134878193702</v>
      </c>
      <c r="N622" s="72">
        <v>128</v>
      </c>
      <c r="O622" s="180">
        <f t="shared" si="35"/>
        <v>3.8027332144979207</v>
      </c>
      <c r="P622" s="72">
        <v>204</v>
      </c>
      <c r="Q622" s="95">
        <f t="shared" si="46"/>
        <v>6.0606060606060608E-2</v>
      </c>
      <c r="R622" s="10">
        <v>0</v>
      </c>
      <c r="S622" s="85">
        <f t="shared" si="47"/>
        <v>0</v>
      </c>
      <c r="T622" s="10">
        <v>56</v>
      </c>
      <c r="U622" s="85">
        <f t="shared" si="48"/>
        <v>1.6636957813428402E-2</v>
      </c>
      <c r="V622" s="98">
        <f t="shared" si="42"/>
        <v>3.8799762329174095</v>
      </c>
      <c r="W622" s="168" t="s">
        <v>2107</v>
      </c>
    </row>
    <row r="623" spans="1:23">
      <c r="A623" s="67" t="s">
        <v>1678</v>
      </c>
      <c r="B623" s="10" t="s">
        <v>1530</v>
      </c>
      <c r="C623" s="76" t="s">
        <v>27</v>
      </c>
      <c r="D623" s="10" t="s">
        <v>1534</v>
      </c>
      <c r="E623" s="10" t="s">
        <v>22</v>
      </c>
      <c r="F623" s="10">
        <v>4873</v>
      </c>
      <c r="G623" s="10" t="s">
        <v>1554</v>
      </c>
      <c r="H623" s="5">
        <f>180*18+47+89</f>
        <v>3376</v>
      </c>
      <c r="I623" s="69">
        <f t="shared" si="43"/>
        <v>0.69279704494151451</v>
      </c>
      <c r="J623" s="5">
        <f>180*2+172+49</f>
        <v>581</v>
      </c>
      <c r="K623" s="70">
        <f t="shared" si="44"/>
        <v>0.11922840139544429</v>
      </c>
      <c r="L623" s="5">
        <f>34+37+98</f>
        <v>169</v>
      </c>
      <c r="M623" s="97">
        <f t="shared" si="45"/>
        <v>3.4680894726041453E-2</v>
      </c>
      <c r="N623" s="72">
        <v>253</v>
      </c>
      <c r="O623" s="180">
        <f t="shared" si="35"/>
        <v>5.1918735891647856</v>
      </c>
      <c r="P623" s="72">
        <v>43</v>
      </c>
      <c r="Q623" s="95">
        <f t="shared" si="46"/>
        <v>8.8241329776318489E-3</v>
      </c>
      <c r="R623" s="5">
        <f>180*2+91</f>
        <v>451</v>
      </c>
      <c r="S623" s="85">
        <f t="shared" si="47"/>
        <v>9.2550790067720087E-2</v>
      </c>
      <c r="T623" s="10">
        <v>0</v>
      </c>
      <c r="U623" s="85">
        <f t="shared" si="48"/>
        <v>0</v>
      </c>
      <c r="V623" s="98">
        <f t="shared" si="42"/>
        <v>5.2932485122101376</v>
      </c>
      <c r="W623" s="168" t="s">
        <v>2107</v>
      </c>
    </row>
    <row r="624" spans="1:23">
      <c r="A624" s="67" t="s">
        <v>1678</v>
      </c>
      <c r="B624" s="10" t="s">
        <v>1556</v>
      </c>
      <c r="C624" s="76" t="s">
        <v>27</v>
      </c>
      <c r="D624" s="10" t="s">
        <v>1550</v>
      </c>
      <c r="E624" s="10" t="s">
        <v>22</v>
      </c>
      <c r="F624" s="10">
        <v>14626</v>
      </c>
      <c r="G624" s="10" t="s">
        <v>1535</v>
      </c>
      <c r="H624" s="5">
        <f>170*19+170*65</f>
        <v>14280</v>
      </c>
      <c r="I624" s="69">
        <f t="shared" si="43"/>
        <v>0.9763434978804868</v>
      </c>
      <c r="J624" s="10">
        <v>0</v>
      </c>
      <c r="K624" s="70">
        <f t="shared" si="44"/>
        <v>0</v>
      </c>
      <c r="L624" s="5">
        <v>0</v>
      </c>
      <c r="M624" s="97">
        <f t="shared" si="45"/>
        <v>0</v>
      </c>
      <c r="N624" s="72">
        <v>0</v>
      </c>
      <c r="O624" s="180">
        <f t="shared" si="35"/>
        <v>0</v>
      </c>
      <c r="P624" s="78">
        <f>56+290</f>
        <v>346</v>
      </c>
      <c r="Q624" s="95">
        <f t="shared" si="46"/>
        <v>2.3656502119513197E-2</v>
      </c>
      <c r="R624" s="10">
        <v>0</v>
      </c>
      <c r="S624" s="85">
        <f t="shared" si="47"/>
        <v>0</v>
      </c>
      <c r="T624" s="10">
        <v>0</v>
      </c>
      <c r="U624" s="85">
        <f t="shared" si="48"/>
        <v>0</v>
      </c>
      <c r="V624" s="98">
        <f t="shared" si="42"/>
        <v>2.3656502119513197E-2</v>
      </c>
      <c r="W624" s="168" t="s">
        <v>2104</v>
      </c>
    </row>
    <row r="625" spans="1:23">
      <c r="A625" s="67" t="s">
        <v>1678</v>
      </c>
      <c r="B625" s="10" t="s">
        <v>1556</v>
      </c>
      <c r="C625" s="76" t="s">
        <v>29</v>
      </c>
      <c r="D625" s="10" t="s">
        <v>1550</v>
      </c>
      <c r="E625" s="10" t="s">
        <v>22</v>
      </c>
      <c r="F625" s="10">
        <v>6073</v>
      </c>
      <c r="G625" s="10" t="s">
        <v>1551</v>
      </c>
      <c r="H625" s="5">
        <f>170*35</f>
        <v>5950</v>
      </c>
      <c r="I625" s="69">
        <f t="shared" si="43"/>
        <v>0.97974641857401612</v>
      </c>
      <c r="J625" s="10">
        <v>0</v>
      </c>
      <c r="K625" s="70">
        <f t="shared" si="44"/>
        <v>0</v>
      </c>
      <c r="L625" s="5">
        <v>0</v>
      </c>
      <c r="M625" s="97">
        <f t="shared" si="45"/>
        <v>0</v>
      </c>
      <c r="N625" s="72">
        <v>0</v>
      </c>
      <c r="O625" s="180">
        <f t="shared" si="35"/>
        <v>0</v>
      </c>
      <c r="P625" s="72">
        <v>123</v>
      </c>
      <c r="Q625" s="95">
        <f t="shared" si="46"/>
        <v>2.0253581425983862E-2</v>
      </c>
      <c r="R625" s="10">
        <v>0</v>
      </c>
      <c r="S625" s="85">
        <f t="shared" si="47"/>
        <v>0</v>
      </c>
      <c r="T625" s="10">
        <v>0</v>
      </c>
      <c r="U625" s="85">
        <f t="shared" si="48"/>
        <v>0</v>
      </c>
      <c r="V625" s="98">
        <f t="shared" si="42"/>
        <v>2.0253581425983862E-2</v>
      </c>
      <c r="W625" s="168" t="s">
        <v>2104</v>
      </c>
    </row>
    <row r="626" spans="1:23">
      <c r="A626" s="67" t="s">
        <v>1679</v>
      </c>
      <c r="B626" s="10" t="s">
        <v>1530</v>
      </c>
      <c r="C626" s="68" t="s">
        <v>1533</v>
      </c>
      <c r="D626" s="10" t="s">
        <v>1536</v>
      </c>
      <c r="E626" s="10" t="s">
        <v>22</v>
      </c>
      <c r="F626" s="10">
        <v>1943</v>
      </c>
      <c r="G626" s="10" t="s">
        <v>1533</v>
      </c>
      <c r="H626" s="5">
        <f>180*9+6</f>
        <v>1626</v>
      </c>
      <c r="I626" s="69">
        <f t="shared" si="43"/>
        <v>0.83685023160061756</v>
      </c>
      <c r="J626" s="10">
        <v>82</v>
      </c>
      <c r="K626" s="70">
        <f t="shared" si="44"/>
        <v>4.2202779207411223E-2</v>
      </c>
      <c r="L626" s="10">
        <v>51</v>
      </c>
      <c r="M626" s="97">
        <f t="shared" si="45"/>
        <v>2.624806999485332E-2</v>
      </c>
      <c r="N626" s="72">
        <v>93</v>
      </c>
      <c r="O626" s="180">
        <f t="shared" si="35"/>
        <v>4.7864127637673697</v>
      </c>
      <c r="P626" s="72">
        <v>91</v>
      </c>
      <c r="Q626" s="95">
        <f t="shared" si="46"/>
        <v>4.6834791559444158E-2</v>
      </c>
      <c r="R626" s="10">
        <v>0</v>
      </c>
      <c r="S626" s="85">
        <f t="shared" si="47"/>
        <v>0</v>
      </c>
      <c r="T626" s="10">
        <v>0</v>
      </c>
      <c r="U626" s="85">
        <f t="shared" si="48"/>
        <v>0</v>
      </c>
      <c r="V626" s="98">
        <f t="shared" si="42"/>
        <v>4.8332475553268139</v>
      </c>
      <c r="W626" s="168" t="s">
        <v>2107</v>
      </c>
    </row>
    <row r="627" spans="1:23">
      <c r="A627" s="67" t="s">
        <v>1679</v>
      </c>
      <c r="B627" s="10" t="s">
        <v>1530</v>
      </c>
      <c r="C627" s="76" t="s">
        <v>27</v>
      </c>
      <c r="D627" s="10" t="s">
        <v>1536</v>
      </c>
      <c r="E627" s="10" t="s">
        <v>22</v>
      </c>
      <c r="F627" s="10">
        <v>1224</v>
      </c>
      <c r="G627" s="10" t="s">
        <v>1535</v>
      </c>
      <c r="H627" s="5">
        <f>180*4+10+71</f>
        <v>801</v>
      </c>
      <c r="I627" s="69">
        <f t="shared" si="43"/>
        <v>0.65441176470588236</v>
      </c>
      <c r="J627" s="5">
        <f>77</f>
        <v>77</v>
      </c>
      <c r="K627" s="70">
        <f t="shared" si="44"/>
        <v>6.2908496732026142E-2</v>
      </c>
      <c r="L627" s="5">
        <f>91+102</f>
        <v>193</v>
      </c>
      <c r="M627" s="97">
        <f t="shared" si="45"/>
        <v>0.1576797385620915</v>
      </c>
      <c r="N627" s="72">
        <v>79</v>
      </c>
      <c r="O627" s="180">
        <f t="shared" si="35"/>
        <v>6.4542483660130729</v>
      </c>
      <c r="P627" s="72">
        <v>31</v>
      </c>
      <c r="Q627" s="95">
        <f t="shared" si="46"/>
        <v>2.5326797385620915E-2</v>
      </c>
      <c r="R627" s="10">
        <v>0</v>
      </c>
      <c r="S627" s="85">
        <f t="shared" si="47"/>
        <v>0</v>
      </c>
      <c r="T627" s="10">
        <v>43</v>
      </c>
      <c r="U627" s="85">
        <f t="shared" si="48"/>
        <v>3.5130718954248366E-2</v>
      </c>
      <c r="V627" s="98">
        <f t="shared" si="42"/>
        <v>6.5147058823529429</v>
      </c>
      <c r="W627" s="168" t="s">
        <v>2107</v>
      </c>
    </row>
    <row r="628" spans="1:23">
      <c r="A628" s="67" t="s">
        <v>1679</v>
      </c>
      <c r="B628" s="10" t="s">
        <v>1530</v>
      </c>
      <c r="C628" s="76" t="s">
        <v>27</v>
      </c>
      <c r="D628" s="10" t="s">
        <v>1534</v>
      </c>
      <c r="E628" s="10" t="s">
        <v>22</v>
      </c>
      <c r="F628" s="10">
        <v>4545</v>
      </c>
      <c r="G628" s="10" t="s">
        <v>1554</v>
      </c>
      <c r="H628" s="5">
        <f>180*20+24</f>
        <v>3624</v>
      </c>
      <c r="I628" s="69">
        <f t="shared" si="43"/>
        <v>0.79735973597359733</v>
      </c>
      <c r="J628" s="5">
        <f>180+163</f>
        <v>343</v>
      </c>
      <c r="K628" s="70">
        <f t="shared" si="44"/>
        <v>7.5467546754675471E-2</v>
      </c>
      <c r="L628" s="5">
        <f>100+54</f>
        <v>154</v>
      </c>
      <c r="M628" s="97">
        <f t="shared" si="45"/>
        <v>3.3883388338833885E-2</v>
      </c>
      <c r="N628" s="72">
        <v>118</v>
      </c>
      <c r="O628" s="180">
        <f t="shared" si="35"/>
        <v>2.5962596259625963</v>
      </c>
      <c r="P628" s="72">
        <v>49</v>
      </c>
      <c r="Q628" s="95">
        <f t="shared" si="46"/>
        <v>1.0781078107810781E-2</v>
      </c>
      <c r="R628" s="10">
        <f>137+120</f>
        <v>257</v>
      </c>
      <c r="S628" s="85">
        <f t="shared" si="47"/>
        <v>5.6545654565456543E-2</v>
      </c>
      <c r="T628" s="10">
        <v>0</v>
      </c>
      <c r="U628" s="85">
        <f t="shared" si="48"/>
        <v>0</v>
      </c>
      <c r="V628" s="98">
        <f t="shared" si="42"/>
        <v>2.6635863586358632</v>
      </c>
      <c r="W628" s="168" t="s">
        <v>2107</v>
      </c>
    </row>
    <row r="629" spans="1:23">
      <c r="A629" s="67" t="s">
        <v>1679</v>
      </c>
      <c r="B629" s="10" t="s">
        <v>1530</v>
      </c>
      <c r="C629" s="76" t="s">
        <v>27</v>
      </c>
      <c r="D629" s="10" t="s">
        <v>1534</v>
      </c>
      <c r="E629" s="10" t="s">
        <v>1539</v>
      </c>
      <c r="F629" s="10">
        <v>900</v>
      </c>
      <c r="G629" s="10" t="s">
        <v>1554</v>
      </c>
      <c r="H629" s="5">
        <f>180*3+91</f>
        <v>631</v>
      </c>
      <c r="I629" s="69">
        <f t="shared" si="43"/>
        <v>0.70111111111111113</v>
      </c>
      <c r="J629" s="10">
        <v>131</v>
      </c>
      <c r="K629" s="70">
        <f t="shared" si="44"/>
        <v>0.14555555555555555</v>
      </c>
      <c r="L629" s="10">
        <v>43</v>
      </c>
      <c r="M629" s="97">
        <f t="shared" si="45"/>
        <v>4.777777777777778E-2</v>
      </c>
      <c r="N629" s="72">
        <v>40</v>
      </c>
      <c r="O629" s="180">
        <f t="shared" si="35"/>
        <v>4.4444444444444446</v>
      </c>
      <c r="P629" s="72">
        <v>12</v>
      </c>
      <c r="Q629" s="95">
        <f t="shared" si="46"/>
        <v>1.3333333333333334E-2</v>
      </c>
      <c r="R629" s="10">
        <v>43</v>
      </c>
      <c r="S629" s="85">
        <f t="shared" si="47"/>
        <v>4.777777777777778E-2</v>
      </c>
      <c r="T629" s="10">
        <v>0</v>
      </c>
      <c r="U629" s="85">
        <f t="shared" si="48"/>
        <v>0</v>
      </c>
      <c r="V629" s="98">
        <f t="shared" si="42"/>
        <v>4.5055555555555564</v>
      </c>
      <c r="W629" s="168" t="s">
        <v>2107</v>
      </c>
    </row>
    <row r="630" spans="1:23">
      <c r="A630" s="67" t="s">
        <v>1679</v>
      </c>
      <c r="B630" s="10" t="s">
        <v>1556</v>
      </c>
      <c r="C630" s="76" t="s">
        <v>29</v>
      </c>
      <c r="D630" s="10" t="s">
        <v>1550</v>
      </c>
      <c r="E630" s="10" t="s">
        <v>22</v>
      </c>
      <c r="F630" s="10">
        <v>4900</v>
      </c>
      <c r="G630" s="10" t="s">
        <v>1551</v>
      </c>
      <c r="H630" s="5">
        <f>170*28</f>
        <v>4760</v>
      </c>
      <c r="I630" s="69">
        <f t="shared" si="43"/>
        <v>0.97142857142857142</v>
      </c>
      <c r="J630" s="10">
        <v>0</v>
      </c>
      <c r="K630" s="70">
        <f t="shared" si="44"/>
        <v>0</v>
      </c>
      <c r="L630" s="10">
        <v>0</v>
      </c>
      <c r="M630" s="97">
        <f t="shared" si="45"/>
        <v>0</v>
      </c>
      <c r="N630" s="72">
        <v>0</v>
      </c>
      <c r="O630" s="180">
        <f t="shared" si="35"/>
        <v>0</v>
      </c>
      <c r="P630" s="72">
        <v>140</v>
      </c>
      <c r="Q630" s="95">
        <f t="shared" si="46"/>
        <v>2.8571428571428571E-2</v>
      </c>
      <c r="R630" s="10">
        <v>0</v>
      </c>
      <c r="S630" s="85">
        <f t="shared" si="47"/>
        <v>0</v>
      </c>
      <c r="T630" s="10">
        <v>0</v>
      </c>
      <c r="U630" s="85">
        <f t="shared" si="48"/>
        <v>0</v>
      </c>
      <c r="V630" s="98">
        <f t="shared" si="42"/>
        <v>2.8571428571428571E-2</v>
      </c>
      <c r="W630" s="168" t="s">
        <v>2104</v>
      </c>
    </row>
    <row r="631" spans="1:23">
      <c r="A631" s="67" t="s">
        <v>1679</v>
      </c>
      <c r="B631" s="10" t="s">
        <v>1538</v>
      </c>
      <c r="C631" s="68" t="s">
        <v>1533</v>
      </c>
      <c r="D631" s="10" t="s">
        <v>1536</v>
      </c>
      <c r="E631" s="10" t="s">
        <v>1539</v>
      </c>
      <c r="F631" s="10">
        <v>2880</v>
      </c>
      <c r="G631" s="10" t="s">
        <v>1533</v>
      </c>
      <c r="H631" s="5">
        <f>190*13</f>
        <v>2470</v>
      </c>
      <c r="I631" s="69">
        <f t="shared" si="43"/>
        <v>0.85763888888888884</v>
      </c>
      <c r="J631" s="10">
        <v>33</v>
      </c>
      <c r="K631" s="70">
        <f t="shared" si="44"/>
        <v>1.1458333333333333E-2</v>
      </c>
      <c r="L631" s="5">
        <f>190*1+117</f>
        <v>307</v>
      </c>
      <c r="M631" s="97">
        <f t="shared" si="45"/>
        <v>0.10659722222222222</v>
      </c>
      <c r="N631" s="72">
        <v>70</v>
      </c>
      <c r="O631" s="180">
        <f t="shared" si="35"/>
        <v>2.4305555555555558</v>
      </c>
      <c r="P631" s="72">
        <v>0</v>
      </c>
      <c r="Q631" s="95">
        <f t="shared" si="46"/>
        <v>0</v>
      </c>
      <c r="R631" s="10">
        <v>0</v>
      </c>
      <c r="S631" s="85">
        <f t="shared" si="47"/>
        <v>0</v>
      </c>
      <c r="T631" s="10">
        <v>0</v>
      </c>
      <c r="U631" s="85">
        <f t="shared" si="48"/>
        <v>0</v>
      </c>
      <c r="V631" s="98">
        <f t="shared" si="42"/>
        <v>2.4305555555555558</v>
      </c>
      <c r="W631" s="168" t="s">
        <v>2107</v>
      </c>
    </row>
    <row r="632" spans="1:23">
      <c r="A632" s="67" t="s">
        <v>1679</v>
      </c>
      <c r="B632" s="10" t="s">
        <v>1538</v>
      </c>
      <c r="C632" s="68" t="s">
        <v>1533</v>
      </c>
      <c r="D632" s="10" t="s">
        <v>1536</v>
      </c>
      <c r="E632" s="10" t="s">
        <v>22</v>
      </c>
      <c r="F632" s="10">
        <v>740</v>
      </c>
      <c r="G632" s="10" t="s">
        <v>1533</v>
      </c>
      <c r="H632" s="5">
        <f>190*1+150+105</f>
        <v>445</v>
      </c>
      <c r="I632" s="69">
        <f t="shared" si="43"/>
        <v>0.60135135135135132</v>
      </c>
      <c r="J632" s="10">
        <v>20</v>
      </c>
      <c r="K632" s="70">
        <f t="shared" si="44"/>
        <v>2.7027027027027029E-2</v>
      </c>
      <c r="L632" s="5">
        <f>174+20+53</f>
        <v>247</v>
      </c>
      <c r="M632" s="97">
        <f t="shared" si="45"/>
        <v>0.33378378378378376</v>
      </c>
      <c r="N632" s="72">
        <v>28</v>
      </c>
      <c r="O632" s="180">
        <f t="shared" si="35"/>
        <v>3.7837837837837842</v>
      </c>
      <c r="P632" s="72">
        <v>0</v>
      </c>
      <c r="Q632" s="95">
        <f t="shared" si="46"/>
        <v>0</v>
      </c>
      <c r="R632" s="10">
        <v>0</v>
      </c>
      <c r="S632" s="85">
        <f t="shared" si="47"/>
        <v>0</v>
      </c>
      <c r="T632" s="10">
        <v>0</v>
      </c>
      <c r="U632" s="85">
        <f t="shared" si="48"/>
        <v>0</v>
      </c>
      <c r="V632" s="98">
        <f t="shared" si="42"/>
        <v>3.7837837837837842</v>
      </c>
      <c r="W632" s="168" t="s">
        <v>2107</v>
      </c>
    </row>
    <row r="633" spans="1:23">
      <c r="A633" s="67" t="s">
        <v>1680</v>
      </c>
      <c r="B633" s="10" t="s">
        <v>1530</v>
      </c>
      <c r="C633" s="76" t="s">
        <v>27</v>
      </c>
      <c r="D633" s="10" t="s">
        <v>1536</v>
      </c>
      <c r="E633" s="10" t="s">
        <v>22</v>
      </c>
      <c r="F633" s="10">
        <v>7876</v>
      </c>
      <c r="G633" s="10" t="s">
        <v>1533</v>
      </c>
      <c r="H633" s="5">
        <f>180*21+174+190*16+116</f>
        <v>7110</v>
      </c>
      <c r="I633" s="69">
        <f t="shared" si="43"/>
        <v>0.90274250888776031</v>
      </c>
      <c r="J633" s="5">
        <f>180+98+103</f>
        <v>381</v>
      </c>
      <c r="K633" s="70">
        <f t="shared" si="44"/>
        <v>4.8374809547993905E-2</v>
      </c>
      <c r="L633" s="5">
        <f>75</f>
        <v>75</v>
      </c>
      <c r="M633" s="97">
        <f t="shared" si="45"/>
        <v>9.5226003047232093E-3</v>
      </c>
      <c r="N633" s="72">
        <v>105</v>
      </c>
      <c r="O633" s="180">
        <f t="shared" si="35"/>
        <v>1.3331640426612494</v>
      </c>
      <c r="P633" s="72">
        <v>105</v>
      </c>
      <c r="Q633" s="95">
        <f t="shared" si="46"/>
        <v>1.3331640426612494E-2</v>
      </c>
      <c r="R633" s="10">
        <v>100</v>
      </c>
      <c r="S633" s="85">
        <f t="shared" si="47"/>
        <v>1.2696800406297613E-2</v>
      </c>
      <c r="T633" s="10">
        <v>0</v>
      </c>
      <c r="U633" s="85">
        <f t="shared" si="48"/>
        <v>0</v>
      </c>
      <c r="V633" s="98">
        <f t="shared" si="42"/>
        <v>1.3591924834941593</v>
      </c>
      <c r="W633" s="168" t="s">
        <v>2107</v>
      </c>
    </row>
    <row r="634" spans="1:23">
      <c r="A634" s="67" t="s">
        <v>1680</v>
      </c>
      <c r="B634" s="10" t="s">
        <v>1530</v>
      </c>
      <c r="C634" s="76" t="s">
        <v>27</v>
      </c>
      <c r="D634" s="10" t="s">
        <v>1536</v>
      </c>
      <c r="E634" s="10" t="s">
        <v>22</v>
      </c>
      <c r="F634" s="10">
        <v>3432</v>
      </c>
      <c r="G634" s="10" t="s">
        <v>1533</v>
      </c>
      <c r="H634" s="5">
        <f>190*15+165</f>
        <v>3015</v>
      </c>
      <c r="I634" s="69">
        <f t="shared" si="43"/>
        <v>0.87849650349650354</v>
      </c>
      <c r="J634" s="5">
        <f>141</f>
        <v>141</v>
      </c>
      <c r="K634" s="70">
        <f t="shared" si="44"/>
        <v>4.1083916083916081E-2</v>
      </c>
      <c r="L634" s="5">
        <v>20</v>
      </c>
      <c r="M634" s="97">
        <f t="shared" si="45"/>
        <v>5.8275058275058279E-3</v>
      </c>
      <c r="N634" s="72">
        <v>120</v>
      </c>
      <c r="O634" s="180">
        <f t="shared" si="35"/>
        <v>3.4965034965034967</v>
      </c>
      <c r="P634" s="72">
        <v>136</v>
      </c>
      <c r="Q634" s="95">
        <f t="shared" si="46"/>
        <v>3.9627039627039624E-2</v>
      </c>
      <c r="R634" s="10">
        <v>0</v>
      </c>
      <c r="S634" s="85">
        <f t="shared" si="47"/>
        <v>0</v>
      </c>
      <c r="T634" s="10">
        <v>0</v>
      </c>
      <c r="U634" s="85">
        <f t="shared" si="48"/>
        <v>0</v>
      </c>
      <c r="V634" s="98">
        <f t="shared" si="42"/>
        <v>3.5361305361305364</v>
      </c>
      <c r="W634" s="168" t="s">
        <v>2107</v>
      </c>
    </row>
    <row r="635" spans="1:23">
      <c r="A635" s="67" t="s">
        <v>1680</v>
      </c>
      <c r="B635" s="10" t="s">
        <v>1530</v>
      </c>
      <c r="C635" s="76" t="s">
        <v>27</v>
      </c>
      <c r="D635" s="10" t="s">
        <v>1534</v>
      </c>
      <c r="E635" s="10" t="s">
        <v>22</v>
      </c>
      <c r="F635" s="10">
        <v>12090</v>
      </c>
      <c r="G635" s="10" t="s">
        <v>1533</v>
      </c>
      <c r="H635" s="5">
        <f>180*8+190*53</f>
        <v>11510</v>
      </c>
      <c r="I635" s="69">
        <f t="shared" si="43"/>
        <v>0.9520264681555004</v>
      </c>
      <c r="J635" s="5">
        <f>163+15</f>
        <v>178</v>
      </c>
      <c r="K635" s="70">
        <f t="shared" si="44"/>
        <v>1.4722911497105046E-2</v>
      </c>
      <c r="L635" s="5">
        <v>5</v>
      </c>
      <c r="M635" s="97">
        <f t="shared" si="45"/>
        <v>4.1356492969396195E-4</v>
      </c>
      <c r="N635" s="72">
        <v>214</v>
      </c>
      <c r="O635" s="180">
        <f t="shared" si="35"/>
        <v>1.770057899090157</v>
      </c>
      <c r="P635" s="72">
        <v>183</v>
      </c>
      <c r="Q635" s="95">
        <f t="shared" si="46"/>
        <v>1.5136476426799007E-2</v>
      </c>
      <c r="R635" s="10">
        <v>0</v>
      </c>
      <c r="S635" s="85">
        <f t="shared" si="47"/>
        <v>0</v>
      </c>
      <c r="T635" s="10">
        <v>0</v>
      </c>
      <c r="U635" s="85">
        <f t="shared" si="48"/>
        <v>0</v>
      </c>
      <c r="V635" s="98">
        <f t="shared" si="42"/>
        <v>1.7851943755169559</v>
      </c>
      <c r="W635" s="168" t="s">
        <v>2107</v>
      </c>
    </row>
    <row r="636" spans="1:23">
      <c r="A636" s="67" t="s">
        <v>1680</v>
      </c>
      <c r="B636" s="10" t="s">
        <v>1530</v>
      </c>
      <c r="C636" s="10" t="s">
        <v>24</v>
      </c>
      <c r="D636" s="10" t="s">
        <v>1611</v>
      </c>
      <c r="E636" s="10" t="s">
        <v>1539</v>
      </c>
      <c r="F636" s="10">
        <v>6273</v>
      </c>
      <c r="G636" s="10" t="s">
        <v>1544</v>
      </c>
      <c r="H636" s="5">
        <f>180*34</f>
        <v>6120</v>
      </c>
      <c r="I636" s="69">
        <f t="shared" si="43"/>
        <v>0.97560975609756095</v>
      </c>
      <c r="J636" s="5">
        <v>0</v>
      </c>
      <c r="K636" s="70">
        <f t="shared" si="44"/>
        <v>0</v>
      </c>
      <c r="L636" s="5">
        <v>0</v>
      </c>
      <c r="M636" s="97">
        <f t="shared" si="45"/>
        <v>0</v>
      </c>
      <c r="N636" s="72">
        <v>13</v>
      </c>
      <c r="O636" s="180">
        <f t="shared" si="35"/>
        <v>0.20723736649131194</v>
      </c>
      <c r="P636" s="72">
        <v>140</v>
      </c>
      <c r="Q636" s="95">
        <f t="shared" si="46"/>
        <v>2.2317870237525905E-2</v>
      </c>
      <c r="R636" s="10">
        <v>0</v>
      </c>
      <c r="S636" s="85">
        <f t="shared" si="47"/>
        <v>0</v>
      </c>
      <c r="T636" s="10">
        <v>0</v>
      </c>
      <c r="U636" s="85">
        <f t="shared" si="48"/>
        <v>0</v>
      </c>
      <c r="V636" s="98">
        <f t="shared" si="42"/>
        <v>0.22955523672883785</v>
      </c>
      <c r="W636" s="168" t="s">
        <v>2104</v>
      </c>
    </row>
    <row r="637" spans="1:23">
      <c r="A637" s="67" t="s">
        <v>1681</v>
      </c>
      <c r="B637" s="10" t="s">
        <v>1530</v>
      </c>
      <c r="C637" s="10" t="s">
        <v>24</v>
      </c>
      <c r="D637" s="10" t="s">
        <v>1611</v>
      </c>
      <c r="E637" s="10" t="s">
        <v>1539</v>
      </c>
      <c r="F637" s="10">
        <v>3140</v>
      </c>
      <c r="G637" s="10" t="s">
        <v>1544</v>
      </c>
      <c r="H637" s="5">
        <f>180*17</f>
        <v>3060</v>
      </c>
      <c r="I637" s="69">
        <f t="shared" si="43"/>
        <v>0.97452229299363058</v>
      </c>
      <c r="J637" s="5">
        <v>0</v>
      </c>
      <c r="K637" s="70">
        <f t="shared" si="44"/>
        <v>0</v>
      </c>
      <c r="L637" s="5">
        <v>0</v>
      </c>
      <c r="M637" s="97">
        <f t="shared" si="45"/>
        <v>0</v>
      </c>
      <c r="N637" s="72">
        <v>20</v>
      </c>
      <c r="O637" s="180">
        <f t="shared" si="35"/>
        <v>0.63694267515923575</v>
      </c>
      <c r="P637" s="72">
        <v>60</v>
      </c>
      <c r="Q637" s="95">
        <f t="shared" si="46"/>
        <v>1.9108280254777069E-2</v>
      </c>
      <c r="R637" s="10">
        <v>0</v>
      </c>
      <c r="S637" s="85">
        <f t="shared" si="47"/>
        <v>0</v>
      </c>
      <c r="T637" s="10">
        <v>0</v>
      </c>
      <c r="U637" s="85">
        <f t="shared" si="48"/>
        <v>0</v>
      </c>
      <c r="V637" s="98">
        <f t="shared" si="42"/>
        <v>0.65605095541401282</v>
      </c>
      <c r="W637" s="168" t="s">
        <v>2104</v>
      </c>
    </row>
    <row r="638" spans="1:23">
      <c r="A638" s="67" t="s">
        <v>1681</v>
      </c>
      <c r="B638" s="10" t="s">
        <v>1530</v>
      </c>
      <c r="C638" s="76" t="s">
        <v>27</v>
      </c>
      <c r="D638" s="10" t="s">
        <v>1534</v>
      </c>
      <c r="E638" s="10" t="s">
        <v>22</v>
      </c>
      <c r="F638" s="10">
        <v>9418</v>
      </c>
      <c r="G638" s="10" t="s">
        <v>1533</v>
      </c>
      <c r="H638" s="5">
        <f>190*44+113</f>
        <v>8473</v>
      </c>
      <c r="I638" s="69">
        <f t="shared" si="43"/>
        <v>0.89966022510087063</v>
      </c>
      <c r="J638" s="5">
        <f>180*3+11</f>
        <v>551</v>
      </c>
      <c r="K638" s="70">
        <f t="shared" si="44"/>
        <v>5.8504990443830965E-2</v>
      </c>
      <c r="L638" s="5">
        <v>21</v>
      </c>
      <c r="M638" s="97">
        <f t="shared" si="45"/>
        <v>2.2297727755362074E-3</v>
      </c>
      <c r="N638" s="72">
        <v>175</v>
      </c>
      <c r="O638" s="180">
        <f t="shared" si="35"/>
        <v>1.858143979613506</v>
      </c>
      <c r="P638" s="72">
        <v>198</v>
      </c>
      <c r="Q638" s="95">
        <f t="shared" si="46"/>
        <v>2.1023571883627096E-2</v>
      </c>
      <c r="R638" s="10">
        <v>0</v>
      </c>
      <c r="S638" s="85">
        <f t="shared" si="47"/>
        <v>0</v>
      </c>
      <c r="T638" s="10">
        <v>0</v>
      </c>
      <c r="U638" s="85">
        <f t="shared" si="48"/>
        <v>0</v>
      </c>
      <c r="V638" s="98">
        <f t="shared" si="42"/>
        <v>1.8791675514971331</v>
      </c>
      <c r="W638" s="168" t="s">
        <v>2107</v>
      </c>
    </row>
    <row r="639" spans="1:23">
      <c r="A639" s="67" t="s">
        <v>1681</v>
      </c>
      <c r="B639" s="10" t="s">
        <v>1530</v>
      </c>
      <c r="C639" s="76" t="s">
        <v>27</v>
      </c>
      <c r="D639" s="10" t="s">
        <v>1536</v>
      </c>
      <c r="E639" s="10" t="s">
        <v>22</v>
      </c>
      <c r="F639" s="10">
        <v>3058</v>
      </c>
      <c r="G639" s="10" t="s">
        <v>1533</v>
      </c>
      <c r="H639" s="5">
        <f>190*13+40</f>
        <v>2510</v>
      </c>
      <c r="I639" s="69">
        <f t="shared" si="43"/>
        <v>0.82079790712884237</v>
      </c>
      <c r="J639" s="5">
        <v>172</v>
      </c>
      <c r="K639" s="70">
        <f t="shared" si="44"/>
        <v>5.6245912361020271E-2</v>
      </c>
      <c r="L639" s="5">
        <v>0</v>
      </c>
      <c r="M639" s="97">
        <f t="shared" si="45"/>
        <v>0</v>
      </c>
      <c r="N639" s="72">
        <v>0</v>
      </c>
      <c r="O639" s="180">
        <f t="shared" si="35"/>
        <v>0</v>
      </c>
      <c r="P639" s="72">
        <v>44</v>
      </c>
      <c r="Q639" s="95">
        <f t="shared" si="46"/>
        <v>1.4388489208633094E-2</v>
      </c>
      <c r="R639" s="10">
        <v>332</v>
      </c>
      <c r="S639" s="85">
        <f t="shared" si="47"/>
        <v>0.10856769130150425</v>
      </c>
      <c r="T639" s="10">
        <v>0</v>
      </c>
      <c r="U639" s="85">
        <f t="shared" si="48"/>
        <v>0</v>
      </c>
      <c r="V639" s="98">
        <f t="shared" si="42"/>
        <v>0.12295618051013735</v>
      </c>
      <c r="W639" s="168" t="s">
        <v>2107</v>
      </c>
    </row>
    <row r="640" spans="1:23">
      <c r="A640" s="38" t="s">
        <v>1682</v>
      </c>
      <c r="B640" s="10" t="s">
        <v>1530</v>
      </c>
      <c r="C640" s="76" t="s">
        <v>27</v>
      </c>
      <c r="D640" s="10" t="s">
        <v>1536</v>
      </c>
      <c r="E640" s="10" t="s">
        <v>22</v>
      </c>
      <c r="F640" s="10">
        <v>8226</v>
      </c>
      <c r="G640" s="10" t="s">
        <v>1533</v>
      </c>
      <c r="H640" s="5">
        <f>190*36+150+128</f>
        <v>7118</v>
      </c>
      <c r="I640" s="69">
        <f t="shared" si="43"/>
        <v>0.8653051300753708</v>
      </c>
      <c r="J640" s="5">
        <f>180*2+8+185</f>
        <v>553</v>
      </c>
      <c r="K640" s="70">
        <f t="shared" si="44"/>
        <v>6.7225869195234628E-2</v>
      </c>
      <c r="L640" s="10">
        <v>36</v>
      </c>
      <c r="M640" s="97">
        <f t="shared" si="45"/>
        <v>4.3763676148796497E-3</v>
      </c>
      <c r="N640" s="72">
        <v>197</v>
      </c>
      <c r="O640" s="180">
        <f t="shared" si="35"/>
        <v>2.3948456114758083</v>
      </c>
      <c r="P640" s="72">
        <v>322</v>
      </c>
      <c r="Q640" s="95">
        <f t="shared" si="46"/>
        <v>3.914417699975687E-2</v>
      </c>
      <c r="R640" s="10">
        <v>0</v>
      </c>
      <c r="S640" s="85">
        <f t="shared" si="47"/>
        <v>0</v>
      </c>
      <c r="T640" s="10">
        <v>0</v>
      </c>
      <c r="U640" s="85">
        <f t="shared" si="48"/>
        <v>0</v>
      </c>
      <c r="V640" s="98">
        <f t="shared" si="42"/>
        <v>2.4339897884755652</v>
      </c>
      <c r="W640" s="168" t="s">
        <v>2107</v>
      </c>
    </row>
    <row r="641" spans="1:23">
      <c r="A641" s="38" t="s">
        <v>1682</v>
      </c>
      <c r="B641" s="10" t="s">
        <v>1530</v>
      </c>
      <c r="C641" s="76" t="s">
        <v>27</v>
      </c>
      <c r="D641" s="10" t="s">
        <v>1534</v>
      </c>
      <c r="E641" s="10" t="s">
        <v>22</v>
      </c>
      <c r="F641" s="10">
        <v>15879</v>
      </c>
      <c r="G641" s="10" t="s">
        <v>1533</v>
      </c>
      <c r="H641" s="5">
        <f>190*20+90+190*56+77</f>
        <v>14607</v>
      </c>
      <c r="I641" s="69">
        <f t="shared" si="43"/>
        <v>0.91989419988664278</v>
      </c>
      <c r="J641" s="5">
        <f>67+169+106</f>
        <v>342</v>
      </c>
      <c r="K641" s="70">
        <f t="shared" si="44"/>
        <v>2.1537880219157379E-2</v>
      </c>
      <c r="L641" s="10">
        <f>12+7</f>
        <v>19</v>
      </c>
      <c r="M641" s="97">
        <f t="shared" si="45"/>
        <v>1.1965489010642987E-3</v>
      </c>
      <c r="N641" s="72">
        <f>81+281</f>
        <v>362</v>
      </c>
      <c r="O641" s="180">
        <f t="shared" si="35"/>
        <v>2.2797405378172431</v>
      </c>
      <c r="P641" s="72">
        <f>103+446</f>
        <v>549</v>
      </c>
      <c r="Q641" s="95">
        <f t="shared" si="46"/>
        <v>3.4573965614963162E-2</v>
      </c>
      <c r="R641" s="10">
        <v>0</v>
      </c>
      <c r="S641" s="85">
        <f t="shared" si="47"/>
        <v>0</v>
      </c>
      <c r="T641" s="10">
        <v>0</v>
      </c>
      <c r="U641" s="85">
        <f t="shared" si="48"/>
        <v>0</v>
      </c>
      <c r="V641" s="98">
        <f t="shared" si="42"/>
        <v>2.3143145034322061</v>
      </c>
      <c r="W641" s="168" t="s">
        <v>2107</v>
      </c>
    </row>
    <row r="642" spans="1:23">
      <c r="A642" s="38" t="s">
        <v>1682</v>
      </c>
      <c r="B642" s="10" t="s">
        <v>1530</v>
      </c>
      <c r="C642" s="10" t="s">
        <v>24</v>
      </c>
      <c r="D642" s="10" t="s">
        <v>1611</v>
      </c>
      <c r="E642" s="10" t="s">
        <v>1539</v>
      </c>
      <c r="F642" s="10">
        <v>5508</v>
      </c>
      <c r="G642" s="10" t="s">
        <v>1544</v>
      </c>
      <c r="H642" s="5">
        <f>180*30</f>
        <v>5400</v>
      </c>
      <c r="I642" s="69">
        <f t="shared" si="43"/>
        <v>0.98039215686274506</v>
      </c>
      <c r="J642" s="5">
        <v>0</v>
      </c>
      <c r="K642" s="70">
        <f t="shared" si="44"/>
        <v>0</v>
      </c>
      <c r="L642" s="10">
        <v>0</v>
      </c>
      <c r="M642" s="97">
        <f t="shared" si="45"/>
        <v>0</v>
      </c>
      <c r="N642" s="72">
        <v>20</v>
      </c>
      <c r="O642" s="180">
        <f t="shared" si="35"/>
        <v>0.36310820624546114</v>
      </c>
      <c r="P642" s="72">
        <v>88</v>
      </c>
      <c r="Q642" s="95">
        <f t="shared" si="46"/>
        <v>1.597676107480029E-2</v>
      </c>
      <c r="R642" s="10">
        <v>0</v>
      </c>
      <c r="S642" s="85">
        <f t="shared" si="47"/>
        <v>0</v>
      </c>
      <c r="T642" s="10">
        <v>0</v>
      </c>
      <c r="U642" s="85">
        <f t="shared" si="48"/>
        <v>0</v>
      </c>
      <c r="V642" s="98">
        <f t="shared" si="42"/>
        <v>0.37908496732026142</v>
      </c>
      <c r="W642" s="168" t="s">
        <v>2104</v>
      </c>
    </row>
    <row r="643" spans="1:23">
      <c r="A643" s="38" t="s">
        <v>1682</v>
      </c>
      <c r="B643" s="10" t="s">
        <v>1530</v>
      </c>
      <c r="C643" s="10" t="s">
        <v>24</v>
      </c>
      <c r="D643" s="10" t="s">
        <v>1611</v>
      </c>
      <c r="E643" s="10" t="s">
        <v>22</v>
      </c>
      <c r="F643" s="10">
        <v>549</v>
      </c>
      <c r="G643" s="10" t="s">
        <v>1544</v>
      </c>
      <c r="H643" s="5">
        <f>180*3</f>
        <v>540</v>
      </c>
      <c r="I643" s="69">
        <f t="shared" si="43"/>
        <v>0.98360655737704916</v>
      </c>
      <c r="J643" s="5">
        <v>0</v>
      </c>
      <c r="K643" s="70">
        <f t="shared" si="44"/>
        <v>0</v>
      </c>
      <c r="L643" s="5">
        <v>0</v>
      </c>
      <c r="M643" s="97">
        <f t="shared" si="45"/>
        <v>0</v>
      </c>
      <c r="N643" s="72">
        <v>0</v>
      </c>
      <c r="O643" s="180">
        <f t="shared" ref="O643:O701" si="49">N643/F643*100</f>
        <v>0</v>
      </c>
      <c r="P643" s="72">
        <v>9</v>
      </c>
      <c r="Q643" s="95">
        <f t="shared" si="46"/>
        <v>1.6393442622950821E-2</v>
      </c>
      <c r="R643" s="10">
        <v>0</v>
      </c>
      <c r="S643" s="85">
        <f t="shared" si="47"/>
        <v>0</v>
      </c>
      <c r="T643" s="10">
        <v>0</v>
      </c>
      <c r="U643" s="85">
        <f t="shared" si="48"/>
        <v>0</v>
      </c>
      <c r="V643" s="98">
        <f t="shared" si="42"/>
        <v>1.6393442622950821E-2</v>
      </c>
      <c r="W643" s="168" t="s">
        <v>2104</v>
      </c>
    </row>
    <row r="644" spans="1:23">
      <c r="A644" s="77" t="s">
        <v>1683</v>
      </c>
      <c r="B644" s="10" t="s">
        <v>1530</v>
      </c>
      <c r="C644" s="76" t="s">
        <v>27</v>
      </c>
      <c r="D644" s="10" t="s">
        <v>1536</v>
      </c>
      <c r="E644" s="10" t="s">
        <v>22</v>
      </c>
      <c r="F644" s="10">
        <v>2929</v>
      </c>
      <c r="G644" s="10" t="s">
        <v>1533</v>
      </c>
      <c r="H644" s="11">
        <f>190*14</f>
        <v>2660</v>
      </c>
      <c r="I644" s="69">
        <f t="shared" si="43"/>
        <v>0.90815978149539089</v>
      </c>
      <c r="J644" s="10">
        <f>180-97</f>
        <v>83</v>
      </c>
      <c r="K644" s="70">
        <f t="shared" si="44"/>
        <v>2.8337316490269715E-2</v>
      </c>
      <c r="L644" s="10">
        <v>31</v>
      </c>
      <c r="M644" s="97">
        <f t="shared" si="45"/>
        <v>1.0583817002389894E-2</v>
      </c>
      <c r="N644" s="72">
        <v>50</v>
      </c>
      <c r="O644" s="180">
        <f t="shared" si="49"/>
        <v>1.7070672584499829</v>
      </c>
      <c r="P644" s="72">
        <v>105</v>
      </c>
      <c r="Q644" s="95">
        <f t="shared" si="46"/>
        <v>3.5848412427449641E-2</v>
      </c>
      <c r="R644" s="10">
        <v>0</v>
      </c>
      <c r="S644" s="85">
        <f t="shared" si="47"/>
        <v>0</v>
      </c>
      <c r="T644" s="10">
        <v>0</v>
      </c>
      <c r="U644" s="85">
        <f t="shared" si="48"/>
        <v>0</v>
      </c>
      <c r="V644" s="98">
        <f t="shared" si="42"/>
        <v>1.7429156708774325</v>
      </c>
      <c r="W644" s="168" t="s">
        <v>2107</v>
      </c>
    </row>
    <row r="645" spans="1:23">
      <c r="A645" s="77" t="s">
        <v>1683</v>
      </c>
      <c r="B645" s="10" t="s">
        <v>1530</v>
      </c>
      <c r="C645" s="68" t="s">
        <v>1533</v>
      </c>
      <c r="D645" s="10" t="s">
        <v>1536</v>
      </c>
      <c r="E645" s="10" t="s">
        <v>1539</v>
      </c>
      <c r="F645" s="10">
        <v>4330</v>
      </c>
      <c r="G645" s="10" t="s">
        <v>1533</v>
      </c>
      <c r="H645" s="11">
        <f>190*16+62+141</f>
        <v>3243</v>
      </c>
      <c r="I645" s="69">
        <f t="shared" si="43"/>
        <v>0.74896073903002314</v>
      </c>
      <c r="J645" s="11">
        <f>180*3+41+97</f>
        <v>678</v>
      </c>
      <c r="K645" s="70">
        <f t="shared" si="44"/>
        <v>0.15658198614318708</v>
      </c>
      <c r="L645" s="10">
        <v>100</v>
      </c>
      <c r="M645" s="97">
        <f t="shared" si="45"/>
        <v>2.3094688221709007E-2</v>
      </c>
      <c r="N645" s="72">
        <v>109</v>
      </c>
      <c r="O645" s="180">
        <f t="shared" si="49"/>
        <v>2.5173210161662816</v>
      </c>
      <c r="P645" s="72">
        <v>200</v>
      </c>
      <c r="Q645" s="95">
        <f t="shared" si="46"/>
        <v>4.6189376443418015E-2</v>
      </c>
      <c r="R645" s="10">
        <v>0</v>
      </c>
      <c r="S645" s="85">
        <f t="shared" si="47"/>
        <v>0</v>
      </c>
      <c r="T645" s="10">
        <v>0</v>
      </c>
      <c r="U645" s="85">
        <f t="shared" si="48"/>
        <v>0</v>
      </c>
      <c r="V645" s="98">
        <f t="shared" si="42"/>
        <v>2.5635103926096994</v>
      </c>
      <c r="W645" s="168" t="s">
        <v>2107</v>
      </c>
    </row>
    <row r="646" spans="1:23">
      <c r="A646" s="77" t="s">
        <v>1683</v>
      </c>
      <c r="B646" s="10" t="s">
        <v>1530</v>
      </c>
      <c r="C646" s="76" t="s">
        <v>27</v>
      </c>
      <c r="D646" s="10" t="s">
        <v>1534</v>
      </c>
      <c r="E646" s="10" t="s">
        <v>22</v>
      </c>
      <c r="F646" s="10">
        <v>3290</v>
      </c>
      <c r="G646" s="10" t="s">
        <v>1533</v>
      </c>
      <c r="H646" s="11">
        <f>190*16</f>
        <v>3040</v>
      </c>
      <c r="I646" s="69">
        <f t="shared" si="43"/>
        <v>0.92401215805471126</v>
      </c>
      <c r="J646" s="11">
        <f>180</f>
        <v>180</v>
      </c>
      <c r="K646" s="70">
        <f t="shared" si="44"/>
        <v>5.4711246200607903E-2</v>
      </c>
      <c r="L646" s="10">
        <v>12</v>
      </c>
      <c r="M646" s="97">
        <f t="shared" si="45"/>
        <v>3.64741641337386E-3</v>
      </c>
      <c r="N646" s="72">
        <f>100-82</f>
        <v>18</v>
      </c>
      <c r="O646" s="180">
        <f t="shared" si="49"/>
        <v>0.54711246200607899</v>
      </c>
      <c r="P646" s="72">
        <v>40</v>
      </c>
      <c r="Q646" s="95">
        <f t="shared" si="46"/>
        <v>1.2158054711246201E-2</v>
      </c>
      <c r="R646" s="10">
        <v>0</v>
      </c>
      <c r="S646" s="85">
        <f t="shared" si="47"/>
        <v>0</v>
      </c>
      <c r="T646" s="10">
        <v>0</v>
      </c>
      <c r="U646" s="85">
        <f t="shared" si="48"/>
        <v>0</v>
      </c>
      <c r="V646" s="98">
        <f t="shared" si="42"/>
        <v>0.55927051671732519</v>
      </c>
      <c r="W646" s="168" t="s">
        <v>2107</v>
      </c>
    </row>
    <row r="647" spans="1:23">
      <c r="A647" s="77" t="s">
        <v>1683</v>
      </c>
      <c r="B647" s="10" t="s">
        <v>1530</v>
      </c>
      <c r="C647" s="68" t="s">
        <v>1533</v>
      </c>
      <c r="D647" s="10" t="s">
        <v>1534</v>
      </c>
      <c r="E647" s="10" t="s">
        <v>1539</v>
      </c>
      <c r="F647" s="10">
        <v>5130</v>
      </c>
      <c r="G647" s="10" t="s">
        <v>1533</v>
      </c>
      <c r="H647" s="11">
        <f>22*190+100+159</f>
        <v>4439</v>
      </c>
      <c r="I647" s="69">
        <f t="shared" si="43"/>
        <v>0.86530214424951268</v>
      </c>
      <c r="J647" s="11">
        <f>180+7+64</f>
        <v>251</v>
      </c>
      <c r="K647" s="70">
        <f t="shared" si="44"/>
        <v>4.8927875243664716E-2</v>
      </c>
      <c r="L647" s="11">
        <f>100+28</f>
        <v>128</v>
      </c>
      <c r="M647" s="97">
        <f t="shared" si="45"/>
        <v>2.4951267056530214E-2</v>
      </c>
      <c r="N647" s="72">
        <f>167+82</f>
        <v>249</v>
      </c>
      <c r="O647" s="180">
        <f t="shared" si="49"/>
        <v>4.8538011695906436</v>
      </c>
      <c r="P647" s="72">
        <v>63</v>
      </c>
      <c r="Q647" s="95">
        <f t="shared" si="46"/>
        <v>1.2280701754385965E-2</v>
      </c>
      <c r="R647" s="10">
        <v>0</v>
      </c>
      <c r="S647" s="85">
        <f t="shared" si="47"/>
        <v>0</v>
      </c>
      <c r="T647" s="10">
        <v>0</v>
      </c>
      <c r="U647" s="85">
        <f t="shared" si="48"/>
        <v>0</v>
      </c>
      <c r="V647" s="98">
        <f t="shared" si="42"/>
        <v>4.8660818713450293</v>
      </c>
      <c r="W647" s="168" t="s">
        <v>2107</v>
      </c>
    </row>
    <row r="648" spans="1:23">
      <c r="A648" s="77" t="s">
        <v>1683</v>
      </c>
      <c r="B648" s="10" t="s">
        <v>1530</v>
      </c>
      <c r="C648" s="76" t="s">
        <v>27</v>
      </c>
      <c r="D648" s="10" t="s">
        <v>1534</v>
      </c>
      <c r="E648" s="10" t="s">
        <v>22</v>
      </c>
      <c r="F648" s="10">
        <v>1871</v>
      </c>
      <c r="G648" s="10" t="s">
        <v>1554</v>
      </c>
      <c r="H648" s="11">
        <f>180*8+67</f>
        <v>1507</v>
      </c>
      <c r="I648" s="69">
        <f t="shared" si="43"/>
        <v>0.80545163014430787</v>
      </c>
      <c r="J648" s="11">
        <v>38</v>
      </c>
      <c r="K648" s="70">
        <f t="shared" si="44"/>
        <v>2.0309994655264563E-2</v>
      </c>
      <c r="L648" s="11">
        <f>180+35</f>
        <v>215</v>
      </c>
      <c r="M648" s="97">
        <f t="shared" si="45"/>
        <v>0.11491181186531267</v>
      </c>
      <c r="N648" s="72">
        <v>69</v>
      </c>
      <c r="O648" s="180">
        <f t="shared" si="49"/>
        <v>3.687867450561197</v>
      </c>
      <c r="P648" s="72">
        <v>24</v>
      </c>
      <c r="Q648" s="95">
        <f t="shared" si="46"/>
        <v>1.2827365045430252E-2</v>
      </c>
      <c r="R648" s="10">
        <v>18</v>
      </c>
      <c r="S648" s="85">
        <f t="shared" si="47"/>
        <v>9.6205237840726876E-3</v>
      </c>
      <c r="T648" s="10">
        <v>0</v>
      </c>
      <c r="U648" s="85">
        <f t="shared" si="48"/>
        <v>0</v>
      </c>
      <c r="V648" s="98">
        <f t="shared" si="42"/>
        <v>3.7103153393907</v>
      </c>
      <c r="W648" s="168" t="s">
        <v>2107</v>
      </c>
    </row>
    <row r="649" spans="1:23">
      <c r="A649" s="77" t="s">
        <v>1683</v>
      </c>
      <c r="B649" s="10" t="s">
        <v>1530</v>
      </c>
      <c r="C649" s="76" t="s">
        <v>27</v>
      </c>
      <c r="D649" s="10" t="s">
        <v>1611</v>
      </c>
      <c r="E649" s="10" t="s">
        <v>22</v>
      </c>
      <c r="F649" s="10">
        <v>6300</v>
      </c>
      <c r="G649" s="10" t="s">
        <v>1554</v>
      </c>
      <c r="H649" s="11">
        <f>180*34</f>
        <v>6120</v>
      </c>
      <c r="I649" s="69">
        <f t="shared" si="43"/>
        <v>0.97142857142857142</v>
      </c>
      <c r="J649" s="11">
        <v>0</v>
      </c>
      <c r="K649" s="70">
        <f t="shared" si="44"/>
        <v>0</v>
      </c>
      <c r="L649" s="10">
        <v>0</v>
      </c>
      <c r="M649" s="97">
        <f t="shared" si="45"/>
        <v>0</v>
      </c>
      <c r="N649" s="72">
        <v>20</v>
      </c>
      <c r="O649" s="180">
        <f t="shared" si="49"/>
        <v>0.31746031746031744</v>
      </c>
      <c r="P649" s="72">
        <v>40</v>
      </c>
      <c r="Q649" s="95">
        <f t="shared" si="46"/>
        <v>6.3492063492063492E-3</v>
      </c>
      <c r="R649" s="10">
        <v>120</v>
      </c>
      <c r="S649" s="85">
        <f t="shared" si="47"/>
        <v>1.9047619047619049E-2</v>
      </c>
      <c r="T649" s="10">
        <v>0</v>
      </c>
      <c r="U649" s="85">
        <f t="shared" si="48"/>
        <v>0</v>
      </c>
      <c r="V649" s="98">
        <f t="shared" si="42"/>
        <v>0.3428571428571428</v>
      </c>
      <c r="W649" s="168" t="s">
        <v>2107</v>
      </c>
    </row>
    <row r="650" spans="1:23">
      <c r="A650" s="77" t="s">
        <v>1684</v>
      </c>
      <c r="B650" s="10" t="s">
        <v>1530</v>
      </c>
      <c r="C650" s="10" t="s">
        <v>24</v>
      </c>
      <c r="D650" s="10" t="s">
        <v>1536</v>
      </c>
      <c r="E650" s="10" t="s">
        <v>22</v>
      </c>
      <c r="F650" s="10">
        <v>1869</v>
      </c>
      <c r="G650" s="10" t="s">
        <v>1532</v>
      </c>
      <c r="H650" s="11">
        <f>180*8+114</f>
        <v>1554</v>
      </c>
      <c r="I650" s="69">
        <f t="shared" si="43"/>
        <v>0.8314606741573034</v>
      </c>
      <c r="J650" s="11">
        <v>39</v>
      </c>
      <c r="K650" s="70">
        <f t="shared" si="44"/>
        <v>2.0866773675762441E-2</v>
      </c>
      <c r="L650" s="10">
        <v>0</v>
      </c>
      <c r="M650" s="97">
        <f t="shared" si="45"/>
        <v>0</v>
      </c>
      <c r="N650" s="72">
        <v>91</v>
      </c>
      <c r="O650" s="180">
        <f t="shared" si="49"/>
        <v>4.868913857677903</v>
      </c>
      <c r="P650" s="72">
        <v>185</v>
      </c>
      <c r="Q650" s="95">
        <f t="shared" si="46"/>
        <v>9.8983413590155167E-2</v>
      </c>
      <c r="R650" s="10">
        <v>0</v>
      </c>
      <c r="S650" s="85">
        <f t="shared" si="47"/>
        <v>0</v>
      </c>
      <c r="T650" s="10">
        <v>0</v>
      </c>
      <c r="U650" s="85">
        <f t="shared" si="48"/>
        <v>0</v>
      </c>
      <c r="V650" s="98">
        <f t="shared" si="42"/>
        <v>4.9678972712680585</v>
      </c>
      <c r="W650" s="168" t="s">
        <v>2104</v>
      </c>
    </row>
    <row r="651" spans="1:23">
      <c r="A651" s="77" t="s">
        <v>1684</v>
      </c>
      <c r="B651" s="10" t="s">
        <v>1530</v>
      </c>
      <c r="C651" s="76" t="s">
        <v>27</v>
      </c>
      <c r="D651" s="10" t="s">
        <v>1534</v>
      </c>
      <c r="E651" s="10" t="s">
        <v>1539</v>
      </c>
      <c r="F651" s="10">
        <v>6120</v>
      </c>
      <c r="G651" s="10" t="s">
        <v>1533</v>
      </c>
      <c r="H651" s="11">
        <f>190*29</f>
        <v>5510</v>
      </c>
      <c r="I651" s="69">
        <f t="shared" si="43"/>
        <v>0.90032679738562094</v>
      </c>
      <c r="J651" s="11">
        <f>180*2</f>
        <v>360</v>
      </c>
      <c r="K651" s="70">
        <f t="shared" si="44"/>
        <v>5.8823529411764705E-2</v>
      </c>
      <c r="L651" s="10">
        <f>152-44</f>
        <v>108</v>
      </c>
      <c r="M651" s="97">
        <f t="shared" si="45"/>
        <v>1.7647058823529412E-2</v>
      </c>
      <c r="N651" s="72">
        <v>92</v>
      </c>
      <c r="O651" s="180">
        <f t="shared" si="49"/>
        <v>1.5032679738562091</v>
      </c>
      <c r="P651" s="72">
        <v>50</v>
      </c>
      <c r="Q651" s="95">
        <f t="shared" si="46"/>
        <v>8.1699346405228763E-3</v>
      </c>
      <c r="R651" s="10">
        <v>0</v>
      </c>
      <c r="S651" s="85">
        <f t="shared" si="47"/>
        <v>0</v>
      </c>
      <c r="T651" s="10">
        <v>0</v>
      </c>
      <c r="U651" s="85">
        <f t="shared" si="48"/>
        <v>0</v>
      </c>
      <c r="V651" s="98">
        <f t="shared" si="42"/>
        <v>1.511437908496732</v>
      </c>
      <c r="W651" s="168" t="s">
        <v>2107</v>
      </c>
    </row>
    <row r="652" spans="1:23">
      <c r="A652" s="77" t="s">
        <v>1684</v>
      </c>
      <c r="B652" s="10" t="s">
        <v>1530</v>
      </c>
      <c r="C652" s="76" t="s">
        <v>27</v>
      </c>
      <c r="D652" s="10" t="s">
        <v>1534</v>
      </c>
      <c r="E652" s="10" t="s">
        <v>22</v>
      </c>
      <c r="F652" s="10">
        <v>4661</v>
      </c>
      <c r="G652" s="10" t="s">
        <v>1533</v>
      </c>
      <c r="H652" s="11">
        <f>190*19+31+25+63</f>
        <v>3729</v>
      </c>
      <c r="I652" s="69">
        <f t="shared" si="43"/>
        <v>0.80004290924694277</v>
      </c>
      <c r="J652" s="11">
        <f>180*2+116+177</f>
        <v>653</v>
      </c>
      <c r="K652" s="70">
        <f t="shared" si="44"/>
        <v>0.14009869126796826</v>
      </c>
      <c r="L652" s="10">
        <f>113+44</f>
        <v>157</v>
      </c>
      <c r="M652" s="97">
        <f t="shared" si="45"/>
        <v>3.3683758850032185E-2</v>
      </c>
      <c r="N652" s="72">
        <v>80</v>
      </c>
      <c r="O652" s="180">
        <f t="shared" si="49"/>
        <v>1.7163698777086462</v>
      </c>
      <c r="P652" s="72">
        <v>42</v>
      </c>
      <c r="Q652" s="95">
        <f t="shared" si="46"/>
        <v>9.0109418579703924E-3</v>
      </c>
      <c r="R652" s="10">
        <v>0</v>
      </c>
      <c r="S652" s="85">
        <f t="shared" si="47"/>
        <v>0</v>
      </c>
      <c r="T652" s="10">
        <v>0</v>
      </c>
      <c r="U652" s="85">
        <f t="shared" si="48"/>
        <v>0</v>
      </c>
      <c r="V652" s="98">
        <f t="shared" si="42"/>
        <v>1.7253808195666167</v>
      </c>
      <c r="W652" s="168" t="s">
        <v>2107</v>
      </c>
    </row>
    <row r="653" spans="1:23">
      <c r="A653" s="77" t="s">
        <v>1684</v>
      </c>
      <c r="B653" s="10" t="s">
        <v>1538</v>
      </c>
      <c r="C653" s="68" t="s">
        <v>1533</v>
      </c>
      <c r="D653" s="68" t="s">
        <v>1559</v>
      </c>
      <c r="E653" s="10" t="s">
        <v>1685</v>
      </c>
      <c r="F653" s="10">
        <v>7030</v>
      </c>
      <c r="G653" s="10" t="s">
        <v>1533</v>
      </c>
      <c r="H653" s="11">
        <f>190*18+190*19</f>
        <v>7030</v>
      </c>
      <c r="I653" s="69">
        <f t="shared" ref="I653:I684" si="50">H653/F653</f>
        <v>1</v>
      </c>
      <c r="J653" s="11">
        <v>0</v>
      </c>
      <c r="K653" s="70">
        <f t="shared" ref="K653:K684" si="51">J653/F653</f>
        <v>0</v>
      </c>
      <c r="L653" s="11">
        <v>0</v>
      </c>
      <c r="M653" s="97">
        <f t="shared" ref="M653:M684" si="52">L653/F653</f>
        <v>0</v>
      </c>
      <c r="N653" s="72">
        <v>0</v>
      </c>
      <c r="O653" s="180">
        <f t="shared" si="49"/>
        <v>0</v>
      </c>
      <c r="P653" s="72">
        <v>0</v>
      </c>
      <c r="Q653" s="95">
        <f t="shared" ref="Q653:Q684" si="53">P653/F653</f>
        <v>0</v>
      </c>
      <c r="R653" s="10">
        <v>0</v>
      </c>
      <c r="S653" s="85">
        <f t="shared" ref="S653:S684" si="54">R653/F653</f>
        <v>0</v>
      </c>
      <c r="T653" s="10">
        <v>0</v>
      </c>
      <c r="U653" s="85">
        <f t="shared" ref="U653:U684" si="55">T653/F653</f>
        <v>0</v>
      </c>
      <c r="V653" s="98">
        <f t="shared" si="42"/>
        <v>0</v>
      </c>
      <c r="W653" s="168" t="s">
        <v>1109</v>
      </c>
    </row>
    <row r="654" spans="1:23">
      <c r="A654" s="77" t="s">
        <v>1684</v>
      </c>
      <c r="B654" s="10" t="s">
        <v>1530</v>
      </c>
      <c r="C654" s="10" t="s">
        <v>1605</v>
      </c>
      <c r="D654" s="10" t="s">
        <v>1536</v>
      </c>
      <c r="E654" s="10" t="s">
        <v>22</v>
      </c>
      <c r="F654" s="10">
        <v>4000</v>
      </c>
      <c r="G654" s="10" t="s">
        <v>1605</v>
      </c>
      <c r="H654" s="11">
        <f>100*36+93</f>
        <v>3693</v>
      </c>
      <c r="I654" s="69">
        <f t="shared" si="50"/>
        <v>0.92325000000000002</v>
      </c>
      <c r="J654" s="11">
        <v>0</v>
      </c>
      <c r="K654" s="70">
        <f t="shared" si="51"/>
        <v>0</v>
      </c>
      <c r="L654" s="10">
        <v>0</v>
      </c>
      <c r="M654" s="97">
        <f t="shared" si="52"/>
        <v>0</v>
      </c>
      <c r="N654" s="72">
        <v>250</v>
      </c>
      <c r="O654" s="180">
        <f t="shared" si="49"/>
        <v>6.25</v>
      </c>
      <c r="P654" s="72">
        <v>57</v>
      </c>
      <c r="Q654" s="95">
        <f t="shared" si="53"/>
        <v>1.4250000000000001E-2</v>
      </c>
      <c r="R654" s="10">
        <v>0</v>
      </c>
      <c r="S654" s="85">
        <f t="shared" si="54"/>
        <v>0</v>
      </c>
      <c r="T654" s="10">
        <v>0</v>
      </c>
      <c r="U654" s="85">
        <f t="shared" si="55"/>
        <v>0</v>
      </c>
      <c r="V654" s="98">
        <f t="shared" si="42"/>
        <v>6.2642499999999997</v>
      </c>
      <c r="W654" s="168" t="s">
        <v>1195</v>
      </c>
    </row>
    <row r="655" spans="1:23">
      <c r="A655" s="77" t="s">
        <v>1686</v>
      </c>
      <c r="B655" s="10" t="s">
        <v>1530</v>
      </c>
      <c r="C655" s="10" t="s">
        <v>24</v>
      </c>
      <c r="D655" s="10" t="s">
        <v>1536</v>
      </c>
      <c r="E655" s="10" t="s">
        <v>22</v>
      </c>
      <c r="F655" s="10">
        <v>940</v>
      </c>
      <c r="G655" s="10" t="s">
        <v>1544</v>
      </c>
      <c r="H655" s="11">
        <f>180*5</f>
        <v>900</v>
      </c>
      <c r="I655" s="69">
        <f t="shared" si="50"/>
        <v>0.95744680851063835</v>
      </c>
      <c r="J655" s="36">
        <v>0</v>
      </c>
      <c r="K655" s="70">
        <f t="shared" si="51"/>
        <v>0</v>
      </c>
      <c r="L655" s="10">
        <v>0</v>
      </c>
      <c r="M655" s="97">
        <f t="shared" si="52"/>
        <v>0</v>
      </c>
      <c r="N655" s="72">
        <v>3</v>
      </c>
      <c r="O655" s="180">
        <f t="shared" si="49"/>
        <v>0.31914893617021273</v>
      </c>
      <c r="P655" s="72">
        <v>37</v>
      </c>
      <c r="Q655" s="95">
        <f t="shared" si="53"/>
        <v>3.9361702127659576E-2</v>
      </c>
      <c r="R655" s="10">
        <v>0</v>
      </c>
      <c r="S655" s="85">
        <f t="shared" si="54"/>
        <v>0</v>
      </c>
      <c r="T655" s="10">
        <v>0</v>
      </c>
      <c r="U655" s="85">
        <f t="shared" si="55"/>
        <v>0</v>
      </c>
      <c r="V655" s="98">
        <f t="shared" si="42"/>
        <v>0.35851063829787233</v>
      </c>
      <c r="W655" s="168" t="s">
        <v>2104</v>
      </c>
    </row>
    <row r="656" spans="1:23">
      <c r="A656" s="77" t="s">
        <v>1686</v>
      </c>
      <c r="B656" s="10" t="s">
        <v>1530</v>
      </c>
      <c r="C656" s="68" t="s">
        <v>1533</v>
      </c>
      <c r="D656" s="10" t="s">
        <v>1534</v>
      </c>
      <c r="E656" s="10" t="s">
        <v>22</v>
      </c>
      <c r="F656" s="10">
        <v>2841</v>
      </c>
      <c r="G656" s="10" t="s">
        <v>1533</v>
      </c>
      <c r="H656" s="11">
        <f>180*8+110</f>
        <v>1550</v>
      </c>
      <c r="I656" s="69">
        <f t="shared" si="50"/>
        <v>0.54558254135867656</v>
      </c>
      <c r="J656" s="11">
        <f>180*5+110</f>
        <v>1010</v>
      </c>
      <c r="K656" s="70">
        <f t="shared" si="51"/>
        <v>0.35550862372404085</v>
      </c>
      <c r="L656" s="10">
        <v>165</v>
      </c>
      <c r="M656" s="97">
        <f t="shared" si="52"/>
        <v>5.8078141499472019E-2</v>
      </c>
      <c r="N656" s="72">
        <v>124</v>
      </c>
      <c r="O656" s="180">
        <f t="shared" si="49"/>
        <v>4.3646603308694125</v>
      </c>
      <c r="P656" s="72">
        <v>52</v>
      </c>
      <c r="Q656" s="95">
        <f t="shared" si="53"/>
        <v>1.8303414290742698E-2</v>
      </c>
      <c r="R656" s="10">
        <v>0</v>
      </c>
      <c r="S656" s="85">
        <f t="shared" si="54"/>
        <v>0</v>
      </c>
      <c r="T656" s="10">
        <v>0</v>
      </c>
      <c r="U656" s="85">
        <f t="shared" si="55"/>
        <v>0</v>
      </c>
      <c r="V656" s="98">
        <f t="shared" si="42"/>
        <v>4.3829637451601551</v>
      </c>
      <c r="W656" s="168" t="s">
        <v>2107</v>
      </c>
    </row>
    <row r="657" spans="1:23">
      <c r="A657" s="77" t="s">
        <v>1686</v>
      </c>
      <c r="B657" s="10" t="s">
        <v>1530</v>
      </c>
      <c r="C657" s="10" t="s">
        <v>24</v>
      </c>
      <c r="D657" s="10" t="s">
        <v>1536</v>
      </c>
      <c r="E657" s="10" t="s">
        <v>22</v>
      </c>
      <c r="F657" s="10">
        <v>612</v>
      </c>
      <c r="G657" s="10" t="s">
        <v>1532</v>
      </c>
      <c r="H657" s="11">
        <f>180*2+66+62</f>
        <v>488</v>
      </c>
      <c r="I657" s="69">
        <f t="shared" si="50"/>
        <v>0.79738562091503273</v>
      </c>
      <c r="J657" s="11">
        <v>51</v>
      </c>
      <c r="K657" s="70">
        <f t="shared" si="51"/>
        <v>8.3333333333333329E-2</v>
      </c>
      <c r="L657" s="10">
        <v>0</v>
      </c>
      <c r="M657" s="97">
        <f t="shared" si="52"/>
        <v>0</v>
      </c>
      <c r="N657" s="72">
        <v>0</v>
      </c>
      <c r="O657" s="180">
        <f t="shared" si="49"/>
        <v>0</v>
      </c>
      <c r="P657" s="72">
        <v>28</v>
      </c>
      <c r="Q657" s="95">
        <f t="shared" si="53"/>
        <v>4.5751633986928102E-2</v>
      </c>
      <c r="R657" s="10">
        <v>45</v>
      </c>
      <c r="S657" s="85">
        <f t="shared" si="54"/>
        <v>7.3529411764705885E-2</v>
      </c>
      <c r="T657" s="10">
        <v>0</v>
      </c>
      <c r="U657" s="85">
        <f t="shared" si="55"/>
        <v>0</v>
      </c>
      <c r="V657" s="98">
        <f t="shared" si="42"/>
        <v>0.11928104575163398</v>
      </c>
      <c r="W657" s="168" t="s">
        <v>2104</v>
      </c>
    </row>
    <row r="658" spans="1:23">
      <c r="A658" s="77" t="s">
        <v>1686</v>
      </c>
      <c r="B658" s="10" t="s">
        <v>1530</v>
      </c>
      <c r="C658" s="68" t="s">
        <v>1533</v>
      </c>
      <c r="D658" s="10" t="s">
        <v>1536</v>
      </c>
      <c r="E658" s="10" t="s">
        <v>22</v>
      </c>
      <c r="F658" s="10">
        <v>3420</v>
      </c>
      <c r="G658" s="10" t="s">
        <v>1533</v>
      </c>
      <c r="H658" s="11">
        <f>190*6+62+190*9+128+70</f>
        <v>3110</v>
      </c>
      <c r="I658" s="69">
        <f t="shared" si="50"/>
        <v>0.90935672514619881</v>
      </c>
      <c r="J658" s="11">
        <v>15</v>
      </c>
      <c r="K658" s="70">
        <f t="shared" si="51"/>
        <v>4.3859649122807015E-3</v>
      </c>
      <c r="L658" s="10">
        <v>0</v>
      </c>
      <c r="M658" s="97">
        <f t="shared" si="52"/>
        <v>0</v>
      </c>
      <c r="N658" s="72">
        <f>87+146</f>
        <v>233</v>
      </c>
      <c r="O658" s="180">
        <f t="shared" si="49"/>
        <v>6.8128654970760234</v>
      </c>
      <c r="P658" s="72">
        <f>41+21</f>
        <v>62</v>
      </c>
      <c r="Q658" s="95">
        <f t="shared" si="53"/>
        <v>1.8128654970760234E-2</v>
      </c>
      <c r="R658" s="10">
        <v>0</v>
      </c>
      <c r="S658" s="85">
        <f t="shared" si="54"/>
        <v>0</v>
      </c>
      <c r="T658" s="10">
        <v>0</v>
      </c>
      <c r="U658" s="85">
        <f t="shared" si="55"/>
        <v>0</v>
      </c>
      <c r="V658" s="98">
        <f t="shared" si="42"/>
        <v>6.8309941520467836</v>
      </c>
      <c r="W658" s="168" t="s">
        <v>2107</v>
      </c>
    </row>
    <row r="659" spans="1:23">
      <c r="A659" s="77" t="s">
        <v>1686</v>
      </c>
      <c r="B659" s="10" t="s">
        <v>1530</v>
      </c>
      <c r="C659" s="68" t="s">
        <v>1533</v>
      </c>
      <c r="D659" s="10" t="s">
        <v>1536</v>
      </c>
      <c r="E659" s="10" t="s">
        <v>22</v>
      </c>
      <c r="F659" s="10">
        <v>3450</v>
      </c>
      <c r="G659" s="10" t="s">
        <v>1533</v>
      </c>
      <c r="H659" s="11">
        <f>190*11+127+159</f>
        <v>2376</v>
      </c>
      <c r="I659" s="69">
        <f t="shared" si="50"/>
        <v>0.68869565217391304</v>
      </c>
      <c r="J659" s="11">
        <f>190*2+13+175</f>
        <v>568</v>
      </c>
      <c r="K659" s="70">
        <f t="shared" si="51"/>
        <v>0.16463768115942029</v>
      </c>
      <c r="L659" s="11">
        <f>67+79</f>
        <v>146</v>
      </c>
      <c r="M659" s="97">
        <f t="shared" si="52"/>
        <v>4.2318840579710144E-2</v>
      </c>
      <c r="N659" s="72">
        <v>184</v>
      </c>
      <c r="O659" s="180">
        <f t="shared" si="49"/>
        <v>5.3333333333333339</v>
      </c>
      <c r="P659" s="72">
        <v>176</v>
      </c>
      <c r="Q659" s="95">
        <f t="shared" si="53"/>
        <v>5.1014492753623186E-2</v>
      </c>
      <c r="R659" s="10">
        <v>0</v>
      </c>
      <c r="S659" s="85">
        <f t="shared" si="54"/>
        <v>0</v>
      </c>
      <c r="T659" s="10">
        <v>0</v>
      </c>
      <c r="U659" s="85">
        <f t="shared" si="55"/>
        <v>0</v>
      </c>
      <c r="V659" s="98">
        <f t="shared" si="42"/>
        <v>5.3843478260869571</v>
      </c>
      <c r="W659" s="168" t="s">
        <v>2107</v>
      </c>
    </row>
    <row r="660" spans="1:23">
      <c r="A660" s="77" t="s">
        <v>1686</v>
      </c>
      <c r="B660" s="10" t="s">
        <v>1530</v>
      </c>
      <c r="C660" s="68" t="s">
        <v>1533</v>
      </c>
      <c r="D660" s="10" t="s">
        <v>1534</v>
      </c>
      <c r="E660" s="10" t="s">
        <v>22</v>
      </c>
      <c r="F660" s="10">
        <v>360</v>
      </c>
      <c r="G660" s="10" t="s">
        <v>1533</v>
      </c>
      <c r="H660" s="11">
        <f>25+140</f>
        <v>165</v>
      </c>
      <c r="I660" s="69">
        <f t="shared" si="50"/>
        <v>0.45833333333333331</v>
      </c>
      <c r="J660" s="11">
        <v>164</v>
      </c>
      <c r="K660" s="70">
        <f t="shared" si="51"/>
        <v>0.45555555555555555</v>
      </c>
      <c r="L660" s="10">
        <v>0</v>
      </c>
      <c r="M660" s="97">
        <f t="shared" si="52"/>
        <v>0</v>
      </c>
      <c r="N660" s="72">
        <v>23</v>
      </c>
      <c r="O660" s="180">
        <f t="shared" si="49"/>
        <v>6.3888888888888884</v>
      </c>
      <c r="P660" s="72">
        <v>8</v>
      </c>
      <c r="Q660" s="95">
        <f t="shared" si="53"/>
        <v>2.2222222222222223E-2</v>
      </c>
      <c r="R660" s="10">
        <v>0</v>
      </c>
      <c r="S660" s="85">
        <f t="shared" si="54"/>
        <v>0</v>
      </c>
      <c r="T660" s="10">
        <v>0</v>
      </c>
      <c r="U660" s="85">
        <f t="shared" si="55"/>
        <v>0</v>
      </c>
      <c r="V660" s="98">
        <f t="shared" si="42"/>
        <v>6.4111111111111105</v>
      </c>
      <c r="W660" s="168" t="s">
        <v>2107</v>
      </c>
    </row>
    <row r="661" spans="1:23">
      <c r="A661" s="77" t="s">
        <v>1686</v>
      </c>
      <c r="B661" s="10" t="s">
        <v>1538</v>
      </c>
      <c r="C661" s="68" t="s">
        <v>1533</v>
      </c>
      <c r="D661" s="68" t="s">
        <v>1559</v>
      </c>
      <c r="E661" s="10" t="s">
        <v>1539</v>
      </c>
      <c r="F661" s="10">
        <v>7980</v>
      </c>
      <c r="G661" s="10" t="s">
        <v>1533</v>
      </c>
      <c r="H661" s="11">
        <f>190*42</f>
        <v>7980</v>
      </c>
      <c r="I661" s="69">
        <f t="shared" si="50"/>
        <v>1</v>
      </c>
      <c r="J661" s="11">
        <v>0</v>
      </c>
      <c r="K661" s="70">
        <f t="shared" si="51"/>
        <v>0</v>
      </c>
      <c r="L661" s="10">
        <v>0</v>
      </c>
      <c r="M661" s="97">
        <f t="shared" si="52"/>
        <v>0</v>
      </c>
      <c r="N661" s="72">
        <v>0</v>
      </c>
      <c r="O661" s="180">
        <f t="shared" si="49"/>
        <v>0</v>
      </c>
      <c r="P661" s="72">
        <v>0</v>
      </c>
      <c r="Q661" s="95">
        <f t="shared" si="53"/>
        <v>0</v>
      </c>
      <c r="R661" s="10">
        <v>0</v>
      </c>
      <c r="S661" s="85">
        <f t="shared" si="54"/>
        <v>0</v>
      </c>
      <c r="T661" s="10">
        <v>0</v>
      </c>
      <c r="U661" s="85">
        <f t="shared" si="55"/>
        <v>0</v>
      </c>
      <c r="V661" s="98">
        <f t="shared" si="42"/>
        <v>0</v>
      </c>
      <c r="W661" s="168" t="s">
        <v>1109</v>
      </c>
    </row>
    <row r="662" spans="1:23">
      <c r="A662" s="77" t="s">
        <v>1686</v>
      </c>
      <c r="B662" s="10" t="s">
        <v>1530</v>
      </c>
      <c r="C662" s="10" t="s">
        <v>1605</v>
      </c>
      <c r="D662" s="10" t="s">
        <v>1536</v>
      </c>
      <c r="E662" s="10" t="s">
        <v>22</v>
      </c>
      <c r="F662" s="10">
        <v>4480</v>
      </c>
      <c r="G662" s="10" t="s">
        <v>1605</v>
      </c>
      <c r="H662" s="11">
        <f>100*43+7+31</f>
        <v>4338</v>
      </c>
      <c r="I662" s="69">
        <f t="shared" si="50"/>
        <v>0.96830357142857137</v>
      </c>
      <c r="J662" s="11">
        <v>0</v>
      </c>
      <c r="K662" s="70">
        <f t="shared" si="51"/>
        <v>0</v>
      </c>
      <c r="L662" s="10">
        <v>0</v>
      </c>
      <c r="M662" s="97">
        <f t="shared" si="52"/>
        <v>0</v>
      </c>
      <c r="N662" s="72">
        <v>105</v>
      </c>
      <c r="O662" s="180">
        <f t="shared" si="49"/>
        <v>2.34375</v>
      </c>
      <c r="P662" s="72">
        <v>37</v>
      </c>
      <c r="Q662" s="95">
        <f t="shared" si="53"/>
        <v>8.2589285714285716E-3</v>
      </c>
      <c r="R662" s="10">
        <v>0</v>
      </c>
      <c r="S662" s="85">
        <f t="shared" si="54"/>
        <v>0</v>
      </c>
      <c r="T662" s="10">
        <v>0</v>
      </c>
      <c r="U662" s="85">
        <f t="shared" si="55"/>
        <v>0</v>
      </c>
      <c r="V662" s="98">
        <f t="shared" si="42"/>
        <v>2.3520089285714287</v>
      </c>
      <c r="W662" s="168" t="s">
        <v>2106</v>
      </c>
    </row>
    <row r="663" spans="1:23">
      <c r="A663" s="77" t="s">
        <v>1687</v>
      </c>
      <c r="B663" s="10" t="s">
        <v>1530</v>
      </c>
      <c r="C663" s="68" t="s">
        <v>1533</v>
      </c>
      <c r="D663" s="10" t="s">
        <v>1536</v>
      </c>
      <c r="E663" s="10" t="s">
        <v>22</v>
      </c>
      <c r="F663" s="10">
        <v>2700</v>
      </c>
      <c r="G663" s="10" t="s">
        <v>1533</v>
      </c>
      <c r="H663" s="11">
        <f>190*11+110</f>
        <v>2200</v>
      </c>
      <c r="I663" s="69">
        <f t="shared" si="50"/>
        <v>0.81481481481481477</v>
      </c>
      <c r="J663" s="11">
        <v>74</v>
      </c>
      <c r="K663" s="70">
        <f t="shared" si="51"/>
        <v>2.7407407407407408E-2</v>
      </c>
      <c r="L663" s="10">
        <v>147</v>
      </c>
      <c r="M663" s="97">
        <f t="shared" si="52"/>
        <v>5.4444444444444441E-2</v>
      </c>
      <c r="N663" s="72">
        <v>182</v>
      </c>
      <c r="O663" s="180">
        <f t="shared" si="49"/>
        <v>6.7407407407407405</v>
      </c>
      <c r="P663" s="72">
        <v>97</v>
      </c>
      <c r="Q663" s="95">
        <f t="shared" si="53"/>
        <v>3.5925925925925924E-2</v>
      </c>
      <c r="R663" s="10">
        <v>0</v>
      </c>
      <c r="S663" s="85">
        <f t="shared" si="54"/>
        <v>0</v>
      </c>
      <c r="T663" s="10">
        <v>0</v>
      </c>
      <c r="U663" s="85">
        <f t="shared" si="55"/>
        <v>0</v>
      </c>
      <c r="V663" s="98">
        <f t="shared" si="42"/>
        <v>6.7766666666666664</v>
      </c>
      <c r="W663" s="168" t="s">
        <v>2107</v>
      </c>
    </row>
    <row r="664" spans="1:23">
      <c r="A664" s="77" t="s">
        <v>1687</v>
      </c>
      <c r="B664" s="10" t="s">
        <v>1530</v>
      </c>
      <c r="C664" s="68" t="s">
        <v>1533</v>
      </c>
      <c r="D664" s="10" t="s">
        <v>1536</v>
      </c>
      <c r="E664" s="10" t="s">
        <v>22</v>
      </c>
      <c r="F664" s="10">
        <v>5089</v>
      </c>
      <c r="G664" s="10" t="s">
        <v>1533</v>
      </c>
      <c r="H664" s="11">
        <f>180*2+70+15</f>
        <v>445</v>
      </c>
      <c r="I664" s="69">
        <f t="shared" si="50"/>
        <v>8.74435056003144E-2</v>
      </c>
      <c r="J664" s="11">
        <f>180*22+163</f>
        <v>4123</v>
      </c>
      <c r="K664" s="70">
        <f t="shared" si="51"/>
        <v>0.81017881705639616</v>
      </c>
      <c r="L664" s="10">
        <v>0</v>
      </c>
      <c r="M664" s="97">
        <f t="shared" si="52"/>
        <v>0</v>
      </c>
      <c r="N664" s="72">
        <v>378</v>
      </c>
      <c r="O664" s="180">
        <f t="shared" si="49"/>
        <v>7.4277854195323245</v>
      </c>
      <c r="P664" s="72">
        <v>143</v>
      </c>
      <c r="Q664" s="95">
        <f t="shared" si="53"/>
        <v>2.8099823147966201E-2</v>
      </c>
      <c r="R664" s="10">
        <v>0</v>
      </c>
      <c r="S664" s="85">
        <f t="shared" si="54"/>
        <v>0</v>
      </c>
      <c r="T664" s="10">
        <v>0</v>
      </c>
      <c r="U664" s="85">
        <f t="shared" si="55"/>
        <v>0</v>
      </c>
      <c r="V664" s="98">
        <f t="shared" si="42"/>
        <v>7.4558852426802904</v>
      </c>
      <c r="W664" s="168" t="s">
        <v>2107</v>
      </c>
    </row>
    <row r="665" spans="1:23">
      <c r="A665" s="77" t="s">
        <v>1687</v>
      </c>
      <c r="B665" s="10" t="s">
        <v>1530</v>
      </c>
      <c r="C665" s="68" t="s">
        <v>1533</v>
      </c>
      <c r="D665" s="10" t="s">
        <v>1536</v>
      </c>
      <c r="E665" s="10" t="s">
        <v>22</v>
      </c>
      <c r="F665" s="10">
        <v>4780</v>
      </c>
      <c r="G665" s="10" t="s">
        <v>1533</v>
      </c>
      <c r="H665" s="11">
        <f>190*13+50+31+83</f>
        <v>2634</v>
      </c>
      <c r="I665" s="69">
        <f t="shared" si="50"/>
        <v>0.55104602510460254</v>
      </c>
      <c r="J665" s="11">
        <f>190*6+15+26+92+34</f>
        <v>1307</v>
      </c>
      <c r="K665" s="70">
        <f t="shared" si="51"/>
        <v>0.27343096234309622</v>
      </c>
      <c r="L665" s="11">
        <f>101+103</f>
        <v>204</v>
      </c>
      <c r="M665" s="97">
        <f t="shared" si="52"/>
        <v>4.2677824267782424E-2</v>
      </c>
      <c r="N665" s="72">
        <v>320</v>
      </c>
      <c r="O665" s="180">
        <f t="shared" si="49"/>
        <v>6.6945606694560666</v>
      </c>
      <c r="P665" s="72">
        <v>148</v>
      </c>
      <c r="Q665" s="95">
        <f t="shared" si="53"/>
        <v>3.0962343096234309E-2</v>
      </c>
      <c r="R665" s="10">
        <v>167</v>
      </c>
      <c r="S665" s="85">
        <f t="shared" si="54"/>
        <v>3.4937238493723849E-2</v>
      </c>
      <c r="T665" s="10">
        <v>0</v>
      </c>
      <c r="U665" s="85">
        <f t="shared" si="55"/>
        <v>0</v>
      </c>
      <c r="V665" s="98">
        <f t="shared" si="42"/>
        <v>6.760460251046025</v>
      </c>
      <c r="W665" s="168" t="s">
        <v>2107</v>
      </c>
    </row>
    <row r="666" spans="1:23">
      <c r="A666" s="77" t="s">
        <v>1687</v>
      </c>
      <c r="B666" s="10" t="s">
        <v>1530</v>
      </c>
      <c r="C666" s="10" t="s">
        <v>31</v>
      </c>
      <c r="D666" s="10" t="s">
        <v>1611</v>
      </c>
      <c r="E666" s="10" t="s">
        <v>22</v>
      </c>
      <c r="F666" s="10">
        <v>2940</v>
      </c>
      <c r="G666" s="10" t="s">
        <v>1688</v>
      </c>
      <c r="H666" s="11">
        <f>180*15</f>
        <v>2700</v>
      </c>
      <c r="I666" s="69">
        <f t="shared" si="50"/>
        <v>0.91836734693877553</v>
      </c>
      <c r="J666" s="11">
        <v>0</v>
      </c>
      <c r="K666" s="70">
        <f t="shared" si="51"/>
        <v>0</v>
      </c>
      <c r="L666" s="10">
        <v>0</v>
      </c>
      <c r="M666" s="97">
        <f t="shared" si="52"/>
        <v>0</v>
      </c>
      <c r="N666" s="72">
        <v>109</v>
      </c>
      <c r="O666" s="180">
        <f t="shared" si="49"/>
        <v>3.7074829931972788</v>
      </c>
      <c r="P666" s="72">
        <v>131</v>
      </c>
      <c r="Q666" s="95">
        <f t="shared" si="53"/>
        <v>4.4557823129251703E-2</v>
      </c>
      <c r="R666" s="10">
        <v>0</v>
      </c>
      <c r="S666" s="85">
        <f t="shared" si="54"/>
        <v>0</v>
      </c>
      <c r="T666" s="10">
        <v>0</v>
      </c>
      <c r="U666" s="85">
        <f t="shared" si="55"/>
        <v>0</v>
      </c>
      <c r="V666" s="98">
        <f t="shared" si="42"/>
        <v>3.7520408163265304</v>
      </c>
      <c r="W666" s="168" t="s">
        <v>2107</v>
      </c>
    </row>
    <row r="667" spans="1:23">
      <c r="A667" s="77" t="s">
        <v>1687</v>
      </c>
      <c r="B667" s="10" t="s">
        <v>1530</v>
      </c>
      <c r="C667" s="68" t="s">
        <v>1533</v>
      </c>
      <c r="D667" s="10" t="s">
        <v>1534</v>
      </c>
      <c r="E667" s="10" t="s">
        <v>22</v>
      </c>
      <c r="F667" s="10">
        <v>540</v>
      </c>
      <c r="G667" s="10" t="s">
        <v>1533</v>
      </c>
      <c r="H667" s="11">
        <f>55</f>
        <v>55</v>
      </c>
      <c r="I667" s="69">
        <f t="shared" si="50"/>
        <v>0.10185185185185185</v>
      </c>
      <c r="J667" s="11">
        <v>178</v>
      </c>
      <c r="K667" s="70">
        <f t="shared" si="51"/>
        <v>0.32962962962962961</v>
      </c>
      <c r="L667" s="10">
        <v>178</v>
      </c>
      <c r="M667" s="97">
        <f t="shared" si="52"/>
        <v>0.32962962962962961</v>
      </c>
      <c r="N667" s="72">
        <v>85</v>
      </c>
      <c r="O667" s="180">
        <f t="shared" si="49"/>
        <v>15.74074074074074</v>
      </c>
      <c r="P667" s="72">
        <v>44</v>
      </c>
      <c r="Q667" s="95">
        <f t="shared" si="53"/>
        <v>8.1481481481481488E-2</v>
      </c>
      <c r="R667" s="10">
        <v>0</v>
      </c>
      <c r="S667" s="85">
        <f t="shared" si="54"/>
        <v>0</v>
      </c>
      <c r="T667" s="10">
        <v>0</v>
      </c>
      <c r="U667" s="85">
        <f t="shared" si="55"/>
        <v>0</v>
      </c>
      <c r="V667" s="98">
        <f t="shared" si="42"/>
        <v>15.822222222222223</v>
      </c>
      <c r="W667" s="168" t="s">
        <v>2107</v>
      </c>
    </row>
    <row r="668" spans="1:23">
      <c r="A668" s="77" t="s">
        <v>1689</v>
      </c>
      <c r="B668" s="10" t="s">
        <v>1530</v>
      </c>
      <c r="C668" s="68" t="s">
        <v>1533</v>
      </c>
      <c r="D668" s="10" t="s">
        <v>1531</v>
      </c>
      <c r="E668" s="10" t="s">
        <v>22</v>
      </c>
      <c r="F668" s="10">
        <v>6833</v>
      </c>
      <c r="G668" s="10" t="s">
        <v>1533</v>
      </c>
      <c r="H668" s="11">
        <f>190*13+138</f>
        <v>2608</v>
      </c>
      <c r="I668" s="69">
        <f t="shared" si="50"/>
        <v>0.3816771549831699</v>
      </c>
      <c r="J668" s="11">
        <f>180*18+87+110</f>
        <v>3437</v>
      </c>
      <c r="K668" s="70">
        <f t="shared" si="51"/>
        <v>0.50300014634860235</v>
      </c>
      <c r="L668" s="11">
        <f>61+124</f>
        <v>185</v>
      </c>
      <c r="M668" s="97">
        <f t="shared" si="52"/>
        <v>2.7074491438606761E-2</v>
      </c>
      <c r="N668" s="72">
        <v>258</v>
      </c>
      <c r="O668" s="180">
        <f t="shared" si="49"/>
        <v>3.775793941167862</v>
      </c>
      <c r="P668" s="72">
        <v>272</v>
      </c>
      <c r="Q668" s="95">
        <f t="shared" si="53"/>
        <v>3.9806819844870479E-2</v>
      </c>
      <c r="R668" s="10">
        <v>73</v>
      </c>
      <c r="S668" s="85">
        <f t="shared" si="54"/>
        <v>1.0683447973071858E-2</v>
      </c>
      <c r="T668" s="10">
        <v>0</v>
      </c>
      <c r="U668" s="85">
        <f t="shared" si="55"/>
        <v>0</v>
      </c>
      <c r="V668" s="98">
        <f t="shared" si="42"/>
        <v>3.8262842089858045</v>
      </c>
      <c r="W668" s="168" t="s">
        <v>2107</v>
      </c>
    </row>
    <row r="669" spans="1:23">
      <c r="A669" s="77" t="s">
        <v>1689</v>
      </c>
      <c r="B669" s="10" t="s">
        <v>1530</v>
      </c>
      <c r="C669" s="68" t="s">
        <v>1533</v>
      </c>
      <c r="D669" s="10" t="s">
        <v>1536</v>
      </c>
      <c r="E669" s="10" t="s">
        <v>22</v>
      </c>
      <c r="F669" s="10">
        <v>3880</v>
      </c>
      <c r="G669" s="10" t="s">
        <v>1533</v>
      </c>
      <c r="H669" s="11">
        <f>190*15+107+80+106</f>
        <v>3143</v>
      </c>
      <c r="I669" s="69">
        <f t="shared" si="50"/>
        <v>0.81005154639175259</v>
      </c>
      <c r="J669" s="11">
        <f>116+28</f>
        <v>144</v>
      </c>
      <c r="K669" s="70">
        <f t="shared" si="51"/>
        <v>3.711340206185567E-2</v>
      </c>
      <c r="L669" s="11">
        <f>77+141</f>
        <v>218</v>
      </c>
      <c r="M669" s="97">
        <f t="shared" si="52"/>
        <v>5.618556701030928E-2</v>
      </c>
      <c r="N669" s="72">
        <v>158</v>
      </c>
      <c r="O669" s="180">
        <f t="shared" si="49"/>
        <v>4.072164948453608</v>
      </c>
      <c r="P669" s="72">
        <v>68</v>
      </c>
      <c r="Q669" s="95">
        <f t="shared" si="53"/>
        <v>1.7525773195876289E-2</v>
      </c>
      <c r="R669" s="10">
        <f>13+136</f>
        <v>149</v>
      </c>
      <c r="S669" s="85">
        <f t="shared" si="54"/>
        <v>3.8402061855670105E-2</v>
      </c>
      <c r="T669" s="10">
        <v>0</v>
      </c>
      <c r="U669" s="85">
        <f t="shared" si="55"/>
        <v>0</v>
      </c>
      <c r="V669" s="98">
        <f t="shared" si="42"/>
        <v>4.1280927835051546</v>
      </c>
      <c r="W669" s="168" t="s">
        <v>2107</v>
      </c>
    </row>
    <row r="670" spans="1:23">
      <c r="A670" s="77" t="s">
        <v>1689</v>
      </c>
      <c r="B670" s="10" t="s">
        <v>1530</v>
      </c>
      <c r="C670" s="68" t="s">
        <v>1533</v>
      </c>
      <c r="D670" s="10" t="s">
        <v>1536</v>
      </c>
      <c r="E670" s="10" t="s">
        <v>22</v>
      </c>
      <c r="F670" s="10">
        <v>1260</v>
      </c>
      <c r="G670" s="10" t="s">
        <v>1533</v>
      </c>
      <c r="H670" s="11">
        <f>180*5+17+145</f>
        <v>1062</v>
      </c>
      <c r="I670" s="69">
        <f t="shared" si="50"/>
        <v>0.84285714285714286</v>
      </c>
      <c r="J670" s="11">
        <v>0</v>
      </c>
      <c r="K670" s="70">
        <f t="shared" si="51"/>
        <v>0</v>
      </c>
      <c r="L670" s="11">
        <v>63</v>
      </c>
      <c r="M670" s="97">
        <f t="shared" si="52"/>
        <v>0.05</v>
      </c>
      <c r="N670" s="72">
        <v>78</v>
      </c>
      <c r="O670" s="180">
        <f t="shared" si="49"/>
        <v>6.1904761904761907</v>
      </c>
      <c r="P670" s="72">
        <v>57</v>
      </c>
      <c r="Q670" s="95">
        <f t="shared" si="53"/>
        <v>4.5238095238095237E-2</v>
      </c>
      <c r="R670" s="10">
        <v>0</v>
      </c>
      <c r="S670" s="85">
        <f t="shared" si="54"/>
        <v>0</v>
      </c>
      <c r="T670" s="10">
        <v>0</v>
      </c>
      <c r="U670" s="85">
        <f t="shared" si="55"/>
        <v>0</v>
      </c>
      <c r="V670" s="98">
        <f t="shared" si="42"/>
        <v>6.2357142857142858</v>
      </c>
      <c r="W670" s="168" t="s">
        <v>1195</v>
      </c>
    </row>
    <row r="671" spans="1:23">
      <c r="A671" s="77" t="s">
        <v>1689</v>
      </c>
      <c r="B671" s="10" t="s">
        <v>1530</v>
      </c>
      <c r="C671" s="10" t="s">
        <v>31</v>
      </c>
      <c r="D671" s="10" t="s">
        <v>1611</v>
      </c>
      <c r="E671" s="10" t="s">
        <v>22</v>
      </c>
      <c r="F671" s="10">
        <v>2360</v>
      </c>
      <c r="G671" s="10" t="s">
        <v>1688</v>
      </c>
      <c r="H671" s="11">
        <f>180*8</f>
        <v>1440</v>
      </c>
      <c r="I671" s="69">
        <f t="shared" si="50"/>
        <v>0.61016949152542377</v>
      </c>
      <c r="J671" s="11">
        <v>0</v>
      </c>
      <c r="K671" s="70">
        <f t="shared" si="51"/>
        <v>0</v>
      </c>
      <c r="L671" s="11">
        <v>0</v>
      </c>
      <c r="M671" s="97">
        <f t="shared" si="52"/>
        <v>0</v>
      </c>
      <c r="N671" s="72">
        <v>250</v>
      </c>
      <c r="O671" s="180">
        <f t="shared" si="49"/>
        <v>10.59322033898305</v>
      </c>
      <c r="P671" s="72">
        <v>670</v>
      </c>
      <c r="Q671" s="95">
        <f t="shared" si="53"/>
        <v>0.28389830508474578</v>
      </c>
      <c r="R671" s="10">
        <v>0</v>
      </c>
      <c r="S671" s="85">
        <f t="shared" si="54"/>
        <v>0</v>
      </c>
      <c r="T671" s="10">
        <v>0</v>
      </c>
      <c r="U671" s="85">
        <f t="shared" si="55"/>
        <v>0</v>
      </c>
      <c r="V671" s="98">
        <f t="shared" si="42"/>
        <v>10.877118644067796</v>
      </c>
      <c r="W671" s="168" t="s">
        <v>1195</v>
      </c>
    </row>
    <row r="672" spans="1:23">
      <c r="A672" s="77" t="s">
        <v>1690</v>
      </c>
      <c r="B672" s="10" t="s">
        <v>1530</v>
      </c>
      <c r="C672" s="68" t="s">
        <v>1533</v>
      </c>
      <c r="D672" s="10" t="s">
        <v>1531</v>
      </c>
      <c r="E672" s="10" t="s">
        <v>22</v>
      </c>
      <c r="F672" s="10">
        <v>6335</v>
      </c>
      <c r="G672" s="10" t="s">
        <v>1533</v>
      </c>
      <c r="H672" s="11">
        <f>180*22+130</f>
        <v>4090</v>
      </c>
      <c r="I672" s="69">
        <f t="shared" si="50"/>
        <v>0.64561957379636936</v>
      </c>
      <c r="J672" s="11">
        <f>180*9+133</f>
        <v>1753</v>
      </c>
      <c r="K672" s="70">
        <f t="shared" si="51"/>
        <v>0.27671665351223362</v>
      </c>
      <c r="L672" s="11">
        <f>190</f>
        <v>190</v>
      </c>
      <c r="M672" s="97">
        <f t="shared" si="52"/>
        <v>2.999210734017364E-2</v>
      </c>
      <c r="N672" s="72">
        <v>45</v>
      </c>
      <c r="O672" s="180">
        <f t="shared" si="49"/>
        <v>0.71033938437253352</v>
      </c>
      <c r="P672" s="72">
        <v>257</v>
      </c>
      <c r="Q672" s="95">
        <f t="shared" si="53"/>
        <v>4.0568271507498026E-2</v>
      </c>
      <c r="R672" s="10">
        <v>0</v>
      </c>
      <c r="S672" s="85">
        <f t="shared" si="54"/>
        <v>0</v>
      </c>
      <c r="T672" s="10">
        <v>0</v>
      </c>
      <c r="U672" s="85">
        <f t="shared" si="55"/>
        <v>0</v>
      </c>
      <c r="V672" s="98">
        <f t="shared" si="42"/>
        <v>0.7509076558800315</v>
      </c>
      <c r="W672" s="168" t="s">
        <v>2107</v>
      </c>
    </row>
    <row r="673" spans="1:23">
      <c r="A673" s="77" t="s">
        <v>1690</v>
      </c>
      <c r="B673" s="10" t="s">
        <v>1530</v>
      </c>
      <c r="C673" s="68" t="s">
        <v>1533</v>
      </c>
      <c r="D673" s="10" t="s">
        <v>1534</v>
      </c>
      <c r="E673" s="10" t="s">
        <v>22</v>
      </c>
      <c r="F673" s="10">
        <v>3780</v>
      </c>
      <c r="G673" s="10" t="s">
        <v>1533</v>
      </c>
      <c r="H673" s="11">
        <f>190*16+52+102+84+163</f>
        <v>3441</v>
      </c>
      <c r="I673" s="69">
        <f t="shared" si="50"/>
        <v>0.9103174603174603</v>
      </c>
      <c r="J673" s="11">
        <f>80</f>
        <v>80</v>
      </c>
      <c r="K673" s="70">
        <f t="shared" si="51"/>
        <v>2.1164021164021163E-2</v>
      </c>
      <c r="L673" s="11">
        <v>56</v>
      </c>
      <c r="M673" s="97">
        <f t="shared" si="52"/>
        <v>1.4814814814814815E-2</v>
      </c>
      <c r="N673" s="72">
        <v>126</v>
      </c>
      <c r="O673" s="180">
        <f t="shared" si="49"/>
        <v>3.3333333333333335</v>
      </c>
      <c r="P673" s="72">
        <v>21</v>
      </c>
      <c r="Q673" s="95">
        <f t="shared" si="53"/>
        <v>5.5555555555555558E-3</v>
      </c>
      <c r="R673" s="10">
        <v>56</v>
      </c>
      <c r="S673" s="85">
        <f t="shared" si="54"/>
        <v>1.4814814814814815E-2</v>
      </c>
      <c r="T673" s="10">
        <v>0</v>
      </c>
      <c r="U673" s="85">
        <f t="shared" si="55"/>
        <v>0</v>
      </c>
      <c r="V673" s="98">
        <f t="shared" si="42"/>
        <v>3.3537037037037036</v>
      </c>
      <c r="W673" s="168" t="s">
        <v>2107</v>
      </c>
    </row>
    <row r="674" spans="1:23">
      <c r="A674" s="77" t="s">
        <v>1690</v>
      </c>
      <c r="B674" s="10" t="s">
        <v>1530</v>
      </c>
      <c r="C674" s="68" t="s">
        <v>1533</v>
      </c>
      <c r="D674" s="10" t="s">
        <v>1536</v>
      </c>
      <c r="E674" s="10" t="s">
        <v>22</v>
      </c>
      <c r="F674" s="10">
        <v>509</v>
      </c>
      <c r="G674" s="10" t="s">
        <v>1533</v>
      </c>
      <c r="H674" s="11">
        <f>180+69</f>
        <v>249</v>
      </c>
      <c r="I674" s="69">
        <f t="shared" si="50"/>
        <v>0.48919449901768175</v>
      </c>
      <c r="J674" s="11">
        <f>60+88+15</f>
        <v>163</v>
      </c>
      <c r="K674" s="70">
        <f t="shared" si="51"/>
        <v>0.32023575638506874</v>
      </c>
      <c r="L674" s="11">
        <v>15</v>
      </c>
      <c r="M674" s="97">
        <f t="shared" si="52"/>
        <v>2.9469548133595286E-2</v>
      </c>
      <c r="N674" s="72">
        <v>59</v>
      </c>
      <c r="O674" s="180">
        <f t="shared" si="49"/>
        <v>11.591355599214145</v>
      </c>
      <c r="P674" s="72">
        <v>18</v>
      </c>
      <c r="Q674" s="95">
        <f t="shared" si="53"/>
        <v>3.536345776031434E-2</v>
      </c>
      <c r="R674" s="10">
        <v>5</v>
      </c>
      <c r="S674" s="85">
        <f t="shared" si="54"/>
        <v>9.823182711198428E-3</v>
      </c>
      <c r="T674" s="10">
        <v>0</v>
      </c>
      <c r="U674" s="85">
        <f t="shared" si="55"/>
        <v>0</v>
      </c>
      <c r="V674" s="98">
        <f t="shared" si="42"/>
        <v>11.636542239685657</v>
      </c>
      <c r="W674" s="168" t="s">
        <v>2107</v>
      </c>
    </row>
    <row r="675" spans="1:23">
      <c r="A675" s="77" t="s">
        <v>1691</v>
      </c>
      <c r="B675" s="10" t="s">
        <v>1530</v>
      </c>
      <c r="C675" s="68" t="s">
        <v>1533</v>
      </c>
      <c r="D675" s="10" t="s">
        <v>1531</v>
      </c>
      <c r="E675" s="10" t="s">
        <v>22</v>
      </c>
      <c r="F675" s="10">
        <v>5992</v>
      </c>
      <c r="G675" s="10" t="s">
        <v>1533</v>
      </c>
      <c r="H675" s="11">
        <f>180*18+176</f>
        <v>3416</v>
      </c>
      <c r="I675" s="69">
        <f t="shared" si="50"/>
        <v>0.57009345794392519</v>
      </c>
      <c r="J675" s="11">
        <f>180*11+47+172</f>
        <v>2199</v>
      </c>
      <c r="K675" s="70">
        <f t="shared" si="51"/>
        <v>0.36698931909212285</v>
      </c>
      <c r="L675" s="11">
        <f>190</f>
        <v>190</v>
      </c>
      <c r="M675" s="97">
        <f t="shared" si="52"/>
        <v>3.1708945260347128E-2</v>
      </c>
      <c r="N675" s="72">
        <v>105</v>
      </c>
      <c r="O675" s="180">
        <f t="shared" si="49"/>
        <v>1.7523364485981308</v>
      </c>
      <c r="P675" s="72">
        <v>82</v>
      </c>
      <c r="Q675" s="95">
        <f t="shared" si="53"/>
        <v>1.3684913217623497E-2</v>
      </c>
      <c r="R675" s="10">
        <v>0</v>
      </c>
      <c r="S675" s="85">
        <f t="shared" si="54"/>
        <v>0</v>
      </c>
      <c r="T675" s="10">
        <v>0</v>
      </c>
      <c r="U675" s="85">
        <f t="shared" si="55"/>
        <v>0</v>
      </c>
      <c r="V675" s="98">
        <f t="shared" si="42"/>
        <v>1.7660213618157543</v>
      </c>
      <c r="W675" s="168" t="s">
        <v>2107</v>
      </c>
    </row>
    <row r="676" spans="1:23">
      <c r="A676" s="77" t="s">
        <v>1691</v>
      </c>
      <c r="B676" s="10" t="s">
        <v>1530</v>
      </c>
      <c r="C676" s="68" t="s">
        <v>1533</v>
      </c>
      <c r="D676" s="10" t="s">
        <v>1536</v>
      </c>
      <c r="E676" s="10" t="s">
        <v>22</v>
      </c>
      <c r="F676" s="10">
        <v>2650</v>
      </c>
      <c r="G676" s="10" t="s">
        <v>1533</v>
      </c>
      <c r="H676" s="11">
        <f>190*4+190*7+150</f>
        <v>2240</v>
      </c>
      <c r="I676" s="69">
        <f t="shared" si="50"/>
        <v>0.84528301886792456</v>
      </c>
      <c r="J676" s="11">
        <f>190+69</f>
        <v>259</v>
      </c>
      <c r="K676" s="70">
        <f t="shared" si="51"/>
        <v>9.7735849056603777E-2</v>
      </c>
      <c r="L676" s="11">
        <v>32</v>
      </c>
      <c r="M676" s="97">
        <f t="shared" si="52"/>
        <v>1.2075471698113207E-2</v>
      </c>
      <c r="N676" s="72">
        <v>95</v>
      </c>
      <c r="O676" s="180">
        <f t="shared" si="49"/>
        <v>3.5849056603773586</v>
      </c>
      <c r="P676" s="72">
        <v>24</v>
      </c>
      <c r="Q676" s="95">
        <f t="shared" si="53"/>
        <v>9.0566037735849061E-3</v>
      </c>
      <c r="R676" s="10">
        <v>0</v>
      </c>
      <c r="S676" s="85">
        <f t="shared" si="54"/>
        <v>0</v>
      </c>
      <c r="T676" s="10">
        <v>0</v>
      </c>
      <c r="U676" s="85">
        <f t="shared" si="55"/>
        <v>0</v>
      </c>
      <c r="V676" s="98">
        <f t="shared" si="42"/>
        <v>3.5939622641509437</v>
      </c>
      <c r="W676" s="168" t="s">
        <v>2107</v>
      </c>
    </row>
    <row r="677" spans="1:23">
      <c r="A677" s="77" t="s">
        <v>1691</v>
      </c>
      <c r="B677" s="10" t="s">
        <v>1530</v>
      </c>
      <c r="C677" s="68" t="s">
        <v>1533</v>
      </c>
      <c r="D677" s="10" t="s">
        <v>1534</v>
      </c>
      <c r="E677" s="10" t="s">
        <v>22</v>
      </c>
      <c r="F677" s="10">
        <v>7252</v>
      </c>
      <c r="G677" s="10" t="s">
        <v>1533</v>
      </c>
      <c r="H677" s="11">
        <f>190*7+27+190*25+187</f>
        <v>6294</v>
      </c>
      <c r="I677" s="69">
        <f t="shared" si="50"/>
        <v>0.86789851075565361</v>
      </c>
      <c r="J677" s="11">
        <f>190*2+45</f>
        <v>425</v>
      </c>
      <c r="K677" s="70">
        <f t="shared" si="51"/>
        <v>5.8604522890237175E-2</v>
      </c>
      <c r="L677" s="11">
        <f>68</f>
        <v>68</v>
      </c>
      <c r="M677" s="97">
        <f t="shared" si="52"/>
        <v>9.3767236624379482E-3</v>
      </c>
      <c r="N677" s="72">
        <v>333</v>
      </c>
      <c r="O677" s="180">
        <f t="shared" si="49"/>
        <v>4.591836734693878</v>
      </c>
      <c r="P677" s="72">
        <v>120</v>
      </c>
      <c r="Q677" s="95">
        <f t="shared" si="53"/>
        <v>1.6547159404302261E-2</v>
      </c>
      <c r="R677" s="10">
        <v>12</v>
      </c>
      <c r="S677" s="85">
        <f t="shared" si="54"/>
        <v>1.6547159404302261E-3</v>
      </c>
      <c r="T677" s="10">
        <v>0</v>
      </c>
      <c r="U677" s="85">
        <f t="shared" si="55"/>
        <v>0</v>
      </c>
      <c r="V677" s="98">
        <f t="shared" si="42"/>
        <v>4.6100386100386102</v>
      </c>
      <c r="W677" s="168" t="s">
        <v>2107</v>
      </c>
    </row>
    <row r="678" spans="1:23">
      <c r="A678" s="77" t="s">
        <v>1691</v>
      </c>
      <c r="B678" s="10" t="s">
        <v>1556</v>
      </c>
      <c r="C678" s="10" t="s">
        <v>24</v>
      </c>
      <c r="D678" s="10" t="s">
        <v>1550</v>
      </c>
      <c r="E678" s="10" t="s">
        <v>22</v>
      </c>
      <c r="F678" s="10">
        <v>6880</v>
      </c>
      <c r="G678" s="10" t="s">
        <v>1544</v>
      </c>
      <c r="H678" s="11">
        <f>180*37</f>
        <v>6660</v>
      </c>
      <c r="I678" s="69">
        <f t="shared" si="50"/>
        <v>0.96802325581395354</v>
      </c>
      <c r="J678" s="11">
        <v>0</v>
      </c>
      <c r="K678" s="70">
        <f t="shared" si="51"/>
        <v>0</v>
      </c>
      <c r="L678" s="11">
        <v>0</v>
      </c>
      <c r="M678" s="97">
        <f t="shared" si="52"/>
        <v>0</v>
      </c>
      <c r="N678" s="72">
        <v>0</v>
      </c>
      <c r="O678" s="180">
        <f t="shared" si="49"/>
        <v>0</v>
      </c>
      <c r="P678" s="72">
        <v>220</v>
      </c>
      <c r="Q678" s="95">
        <f t="shared" si="53"/>
        <v>3.1976744186046513E-2</v>
      </c>
      <c r="R678" s="10">
        <v>0</v>
      </c>
      <c r="S678" s="85">
        <f t="shared" si="54"/>
        <v>0</v>
      </c>
      <c r="T678" s="10">
        <v>0</v>
      </c>
      <c r="U678" s="85">
        <f t="shared" si="55"/>
        <v>0</v>
      </c>
      <c r="V678" s="98">
        <f t="shared" si="42"/>
        <v>3.1976744186046513E-2</v>
      </c>
      <c r="W678" s="168" t="s">
        <v>2104</v>
      </c>
    </row>
    <row r="679" spans="1:23">
      <c r="A679" s="99" t="s">
        <v>1692</v>
      </c>
      <c r="B679" s="10" t="s">
        <v>1530</v>
      </c>
      <c r="C679" s="68" t="s">
        <v>1533</v>
      </c>
      <c r="D679" s="10" t="s">
        <v>1531</v>
      </c>
      <c r="E679" s="10" t="s">
        <v>22</v>
      </c>
      <c r="F679" s="10">
        <v>5386</v>
      </c>
      <c r="G679" s="10" t="s">
        <v>1533</v>
      </c>
      <c r="H679" s="11">
        <f>180*16+84</f>
        <v>2964</v>
      </c>
      <c r="I679" s="69">
        <f t="shared" si="50"/>
        <v>0.55031563312291121</v>
      </c>
      <c r="J679" s="11">
        <f>180*6</f>
        <v>1080</v>
      </c>
      <c r="K679" s="70">
        <f t="shared" si="51"/>
        <v>0.20051986632008911</v>
      </c>
      <c r="L679" s="11">
        <f>180*7</f>
        <v>1260</v>
      </c>
      <c r="M679" s="97">
        <f t="shared" si="52"/>
        <v>0.23393984404010398</v>
      </c>
      <c r="N679" s="72">
        <v>13</v>
      </c>
      <c r="O679" s="180">
        <f t="shared" si="49"/>
        <v>0.24136650575566285</v>
      </c>
      <c r="P679" s="72">
        <v>69</v>
      </c>
      <c r="Q679" s="95">
        <f t="shared" si="53"/>
        <v>1.2810991459339028E-2</v>
      </c>
      <c r="R679" s="10">
        <v>0</v>
      </c>
      <c r="S679" s="85">
        <f t="shared" si="54"/>
        <v>0</v>
      </c>
      <c r="T679" s="10">
        <v>0</v>
      </c>
      <c r="U679" s="85">
        <f t="shared" si="55"/>
        <v>0</v>
      </c>
      <c r="V679" s="98">
        <f t="shared" si="42"/>
        <v>0.25417749721500188</v>
      </c>
      <c r="W679" s="168" t="s">
        <v>2107</v>
      </c>
    </row>
    <row r="680" spans="1:23">
      <c r="A680" s="99" t="s">
        <v>1692</v>
      </c>
      <c r="B680" s="10" t="s">
        <v>1530</v>
      </c>
      <c r="C680" s="68" t="s">
        <v>1533</v>
      </c>
      <c r="D680" s="10" t="s">
        <v>1534</v>
      </c>
      <c r="E680" s="10" t="s">
        <v>22</v>
      </c>
      <c r="F680" s="10">
        <v>6107</v>
      </c>
      <c r="G680" s="10" t="s">
        <v>1533</v>
      </c>
      <c r="H680" s="11">
        <f>190*27+3+91</f>
        <v>5224</v>
      </c>
      <c r="I680" s="69">
        <f t="shared" si="50"/>
        <v>0.8554118224987719</v>
      </c>
      <c r="J680" s="11">
        <f>190+145+155</f>
        <v>490</v>
      </c>
      <c r="K680" s="70">
        <f t="shared" si="51"/>
        <v>8.0235794989356471E-2</v>
      </c>
      <c r="L680" s="11">
        <v>13</v>
      </c>
      <c r="M680" s="97">
        <f t="shared" si="52"/>
        <v>2.1287047650237431E-3</v>
      </c>
      <c r="N680" s="72">
        <v>228</v>
      </c>
      <c r="O680" s="180">
        <f t="shared" si="49"/>
        <v>3.7334206648108728</v>
      </c>
      <c r="P680" s="72">
        <v>152</v>
      </c>
      <c r="Q680" s="95">
        <f t="shared" si="53"/>
        <v>2.4889471098739152E-2</v>
      </c>
      <c r="R680" s="10">
        <v>0</v>
      </c>
      <c r="S680" s="85">
        <f t="shared" si="54"/>
        <v>0</v>
      </c>
      <c r="T680" s="10">
        <v>0</v>
      </c>
      <c r="U680" s="85">
        <f t="shared" si="55"/>
        <v>0</v>
      </c>
      <c r="V680" s="98">
        <f t="shared" si="42"/>
        <v>3.7583101359096118</v>
      </c>
      <c r="W680" s="168" t="s">
        <v>2107</v>
      </c>
    </row>
    <row r="681" spans="1:23">
      <c r="A681" s="99" t="s">
        <v>1692</v>
      </c>
      <c r="B681" s="10" t="s">
        <v>1530</v>
      </c>
      <c r="C681" s="68" t="s">
        <v>1533</v>
      </c>
      <c r="D681" s="10" t="s">
        <v>1536</v>
      </c>
      <c r="E681" s="10" t="s">
        <v>22</v>
      </c>
      <c r="F681" s="10">
        <v>4318</v>
      </c>
      <c r="G681" s="10" t="s">
        <v>1533</v>
      </c>
      <c r="H681" s="11">
        <f>190*15+40+62</f>
        <v>2952</v>
      </c>
      <c r="I681" s="69">
        <f t="shared" si="50"/>
        <v>0.68364983788791112</v>
      </c>
      <c r="J681" s="11">
        <f>190*4+121+145</f>
        <v>1026</v>
      </c>
      <c r="K681" s="70">
        <f t="shared" si="51"/>
        <v>0.23761000463177398</v>
      </c>
      <c r="L681" s="11">
        <v>53</v>
      </c>
      <c r="M681" s="97">
        <f t="shared" si="52"/>
        <v>1.2274201018990273E-2</v>
      </c>
      <c r="N681" s="72">
        <v>130</v>
      </c>
      <c r="O681" s="180">
        <f t="shared" si="49"/>
        <v>3.0106530801296896</v>
      </c>
      <c r="P681" s="72">
        <v>157</v>
      </c>
      <c r="Q681" s="95">
        <f t="shared" si="53"/>
        <v>3.635942566002779E-2</v>
      </c>
      <c r="R681" s="10">
        <v>0</v>
      </c>
      <c r="S681" s="85">
        <f t="shared" si="54"/>
        <v>0</v>
      </c>
      <c r="T681" s="10">
        <v>0</v>
      </c>
      <c r="U681" s="85">
        <f t="shared" si="55"/>
        <v>0</v>
      </c>
      <c r="V681" s="98">
        <f t="shared" si="42"/>
        <v>3.0470125057897173</v>
      </c>
      <c r="W681" s="168" t="s">
        <v>2107</v>
      </c>
    </row>
    <row r="682" spans="1:23">
      <c r="A682" s="99" t="s">
        <v>1692</v>
      </c>
      <c r="B682" s="10" t="s">
        <v>1556</v>
      </c>
      <c r="C682" s="10" t="s">
        <v>24</v>
      </c>
      <c r="D682" s="10" t="s">
        <v>1550</v>
      </c>
      <c r="E682" s="10" t="s">
        <v>22</v>
      </c>
      <c r="F682" s="10">
        <v>14320</v>
      </c>
      <c r="G682" s="10" t="s">
        <v>1544</v>
      </c>
      <c r="H682" s="11">
        <f>180*24+180*53</f>
        <v>13860</v>
      </c>
      <c r="I682" s="69">
        <f t="shared" si="50"/>
        <v>0.96787709497206709</v>
      </c>
      <c r="J682" s="11">
        <v>0</v>
      </c>
      <c r="K682" s="70">
        <f t="shared" si="51"/>
        <v>0</v>
      </c>
      <c r="L682" s="11">
        <v>0</v>
      </c>
      <c r="M682" s="97">
        <f t="shared" si="52"/>
        <v>0</v>
      </c>
      <c r="N682" s="72">
        <v>0</v>
      </c>
      <c r="O682" s="180">
        <f t="shared" si="49"/>
        <v>0</v>
      </c>
      <c r="P682" s="88">
        <f>140+320</f>
        <v>460</v>
      </c>
      <c r="Q682" s="95">
        <f t="shared" si="53"/>
        <v>3.2122905027932962E-2</v>
      </c>
      <c r="R682" s="10">
        <v>0</v>
      </c>
      <c r="S682" s="85">
        <f t="shared" si="54"/>
        <v>0</v>
      </c>
      <c r="T682" s="10">
        <v>0</v>
      </c>
      <c r="U682" s="85">
        <f t="shared" si="55"/>
        <v>0</v>
      </c>
      <c r="V682" s="98">
        <f t="shared" si="42"/>
        <v>3.2122905027932962E-2</v>
      </c>
      <c r="W682" s="168" t="s">
        <v>2104</v>
      </c>
    </row>
    <row r="683" spans="1:23">
      <c r="A683" s="99" t="s">
        <v>1693</v>
      </c>
      <c r="B683" s="10" t="s">
        <v>1530</v>
      </c>
      <c r="C683" s="68" t="s">
        <v>1533</v>
      </c>
      <c r="D683" s="10" t="s">
        <v>1531</v>
      </c>
      <c r="E683" s="10" t="s">
        <v>22</v>
      </c>
      <c r="F683" s="10">
        <v>5757</v>
      </c>
      <c r="G683" s="10" t="s">
        <v>1533</v>
      </c>
      <c r="H683" s="11">
        <f>180*14+19</f>
        <v>2539</v>
      </c>
      <c r="I683" s="69">
        <f t="shared" si="50"/>
        <v>0.44102831335765158</v>
      </c>
      <c r="J683" s="11">
        <f>180*4+62</f>
        <v>782</v>
      </c>
      <c r="K683" s="70">
        <f t="shared" si="51"/>
        <v>0.13583463609518848</v>
      </c>
      <c r="L683" s="11">
        <f>180*11+149+80</f>
        <v>2209</v>
      </c>
      <c r="M683" s="97">
        <f t="shared" si="52"/>
        <v>0.38370679173180477</v>
      </c>
      <c r="N683" s="72">
        <v>80</v>
      </c>
      <c r="O683" s="180">
        <f t="shared" si="49"/>
        <v>1.3896126454750739</v>
      </c>
      <c r="P683" s="72">
        <v>147</v>
      </c>
      <c r="Q683" s="95">
        <f t="shared" si="53"/>
        <v>2.5534132360604481E-2</v>
      </c>
      <c r="R683" s="10">
        <v>0</v>
      </c>
      <c r="S683" s="85">
        <f t="shared" si="54"/>
        <v>0</v>
      </c>
      <c r="T683" s="10">
        <v>0</v>
      </c>
      <c r="U683" s="85">
        <f t="shared" si="55"/>
        <v>0</v>
      </c>
      <c r="V683" s="98">
        <f t="shared" si="42"/>
        <v>1.4151467778356783</v>
      </c>
      <c r="W683" s="168" t="s">
        <v>2107</v>
      </c>
    </row>
    <row r="684" spans="1:23">
      <c r="A684" s="99" t="s">
        <v>1693</v>
      </c>
      <c r="B684" s="10" t="s">
        <v>1530</v>
      </c>
      <c r="C684" s="10" t="s">
        <v>31</v>
      </c>
      <c r="D684" s="10" t="s">
        <v>1536</v>
      </c>
      <c r="E684" s="10" t="s">
        <v>22</v>
      </c>
      <c r="F684" s="10">
        <v>3988</v>
      </c>
      <c r="G684" s="10" t="s">
        <v>1537</v>
      </c>
      <c r="H684" s="11">
        <f>180*7</f>
        <v>1260</v>
      </c>
      <c r="I684" s="69">
        <f t="shared" si="50"/>
        <v>0.3159478435305918</v>
      </c>
      <c r="J684" s="11">
        <f>180*6+180</f>
        <v>1260</v>
      </c>
      <c r="K684" s="70">
        <f t="shared" si="51"/>
        <v>0.3159478435305918</v>
      </c>
      <c r="L684" s="11">
        <v>165</v>
      </c>
      <c r="M684" s="97">
        <f t="shared" si="52"/>
        <v>4.1374122367101307E-2</v>
      </c>
      <c r="N684" s="72">
        <v>560</v>
      </c>
      <c r="O684" s="180">
        <f t="shared" si="49"/>
        <v>14.042126379137413</v>
      </c>
      <c r="P684" s="72">
        <v>203</v>
      </c>
      <c r="Q684" s="95">
        <f t="shared" si="53"/>
        <v>5.0902708124373121E-2</v>
      </c>
      <c r="R684" s="10">
        <f>180*3</f>
        <v>540</v>
      </c>
      <c r="S684" s="85">
        <f t="shared" si="54"/>
        <v>0.13540621865596791</v>
      </c>
      <c r="T684" s="10">
        <v>0</v>
      </c>
      <c r="U684" s="85">
        <f t="shared" si="55"/>
        <v>0</v>
      </c>
      <c r="V684" s="98">
        <f t="shared" ref="V684:V690" si="56">O684+Q684+S685+U684</f>
        <v>14.093029087261785</v>
      </c>
      <c r="W684" s="168" t="s">
        <v>2107</v>
      </c>
    </row>
    <row r="685" spans="1:23">
      <c r="A685" s="99" t="s">
        <v>1693</v>
      </c>
      <c r="B685" s="10" t="s">
        <v>1530</v>
      </c>
      <c r="C685" s="10" t="s">
        <v>31</v>
      </c>
      <c r="D685" s="10" t="s">
        <v>1536</v>
      </c>
      <c r="E685" s="10" t="s">
        <v>22</v>
      </c>
      <c r="F685" s="10">
        <v>1000</v>
      </c>
      <c r="G685" s="10" t="s">
        <v>1616</v>
      </c>
      <c r="H685" s="11">
        <f>180*4</f>
        <v>720</v>
      </c>
      <c r="I685" s="69">
        <f t="shared" ref="I685:I701" si="57">H685/F685</f>
        <v>0.72</v>
      </c>
      <c r="J685" s="11">
        <v>0</v>
      </c>
      <c r="K685" s="70">
        <f t="shared" ref="K685:K701" si="58">J685/F685</f>
        <v>0</v>
      </c>
      <c r="L685" s="11">
        <v>0</v>
      </c>
      <c r="M685" s="97">
        <f t="shared" ref="M685:M701" si="59">L685/F685</f>
        <v>0</v>
      </c>
      <c r="N685" s="72">
        <v>100</v>
      </c>
      <c r="O685" s="180">
        <f t="shared" si="49"/>
        <v>10</v>
      </c>
      <c r="P685" s="72">
        <v>180</v>
      </c>
      <c r="Q685" s="95">
        <f t="shared" ref="Q685:Q701" si="60">P685/F685</f>
        <v>0.18</v>
      </c>
      <c r="R685" s="10">
        <v>0</v>
      </c>
      <c r="S685" s="85">
        <f t="shared" ref="S685:S701" si="61">R685/F685</f>
        <v>0</v>
      </c>
      <c r="T685" s="10">
        <v>0</v>
      </c>
      <c r="U685" s="85">
        <f t="shared" ref="U685:U701" si="62">T685/F685</f>
        <v>0</v>
      </c>
      <c r="V685" s="98">
        <f t="shared" si="56"/>
        <v>10.18</v>
      </c>
      <c r="W685" s="168" t="s">
        <v>2106</v>
      </c>
    </row>
    <row r="686" spans="1:23">
      <c r="A686" s="99" t="s">
        <v>1693</v>
      </c>
      <c r="B686" s="10" t="s">
        <v>1530</v>
      </c>
      <c r="C686" s="76" t="s">
        <v>27</v>
      </c>
      <c r="D686" s="10" t="s">
        <v>1534</v>
      </c>
      <c r="E686" s="10" t="s">
        <v>22</v>
      </c>
      <c r="F686" s="10">
        <v>3120</v>
      </c>
      <c r="G686" s="10" t="s">
        <v>1533</v>
      </c>
      <c r="H686" s="11">
        <f>190*14+99+42</f>
        <v>2801</v>
      </c>
      <c r="I686" s="69">
        <f t="shared" si="57"/>
        <v>0.89775641025641029</v>
      </c>
      <c r="J686" s="11">
        <f>35+26</f>
        <v>61</v>
      </c>
      <c r="K686" s="70">
        <f t="shared" si="58"/>
        <v>1.9551282051282051E-2</v>
      </c>
      <c r="L686" s="11">
        <v>11</v>
      </c>
      <c r="M686" s="97">
        <f t="shared" si="59"/>
        <v>3.5256410256410257E-3</v>
      </c>
      <c r="N686" s="72">
        <v>175</v>
      </c>
      <c r="O686" s="180">
        <f t="shared" si="49"/>
        <v>5.6089743589743595</v>
      </c>
      <c r="P686" s="72">
        <v>72</v>
      </c>
      <c r="Q686" s="95">
        <f t="shared" si="60"/>
        <v>2.3076923076923078E-2</v>
      </c>
      <c r="R686" s="10">
        <v>0</v>
      </c>
      <c r="S686" s="85">
        <f t="shared" si="61"/>
        <v>0</v>
      </c>
      <c r="T686" s="10">
        <v>0</v>
      </c>
      <c r="U686" s="85">
        <f t="shared" si="62"/>
        <v>0</v>
      </c>
      <c r="V686" s="98">
        <f t="shared" si="56"/>
        <v>5.6320512820512825</v>
      </c>
      <c r="W686" s="168" t="s">
        <v>2107</v>
      </c>
    </row>
    <row r="687" spans="1:23">
      <c r="A687" s="99" t="s">
        <v>1693</v>
      </c>
      <c r="B687" s="10" t="s">
        <v>1530</v>
      </c>
      <c r="C687" s="10" t="s">
        <v>31</v>
      </c>
      <c r="D687" s="68" t="s">
        <v>1559</v>
      </c>
      <c r="E687" s="10" t="s">
        <v>1539</v>
      </c>
      <c r="F687" s="10">
        <v>1080</v>
      </c>
      <c r="G687" s="10" t="s">
        <v>1537</v>
      </c>
      <c r="H687" s="11">
        <f>180*6</f>
        <v>1080</v>
      </c>
      <c r="I687" s="69">
        <f t="shared" si="57"/>
        <v>1</v>
      </c>
      <c r="J687" s="11">
        <v>0</v>
      </c>
      <c r="K687" s="70">
        <f t="shared" si="58"/>
        <v>0</v>
      </c>
      <c r="L687" s="11">
        <v>0</v>
      </c>
      <c r="M687" s="97">
        <f t="shared" si="59"/>
        <v>0</v>
      </c>
      <c r="N687" s="72">
        <v>0</v>
      </c>
      <c r="O687" s="180">
        <f t="shared" si="49"/>
        <v>0</v>
      </c>
      <c r="P687" s="72">
        <v>0</v>
      </c>
      <c r="Q687" s="95">
        <f t="shared" si="60"/>
        <v>0</v>
      </c>
      <c r="R687" s="10">
        <v>0</v>
      </c>
      <c r="S687" s="85">
        <f t="shared" si="61"/>
        <v>0</v>
      </c>
      <c r="T687" s="10">
        <v>0</v>
      </c>
      <c r="U687" s="85">
        <f t="shared" si="62"/>
        <v>0</v>
      </c>
      <c r="V687" s="98">
        <f t="shared" si="56"/>
        <v>0</v>
      </c>
      <c r="W687" s="168" t="s">
        <v>1109</v>
      </c>
    </row>
    <row r="688" spans="1:23">
      <c r="A688" s="99" t="s">
        <v>1693</v>
      </c>
      <c r="B688" s="10" t="s">
        <v>1556</v>
      </c>
      <c r="C688" s="10" t="s">
        <v>24</v>
      </c>
      <c r="D688" s="10" t="s">
        <v>1550</v>
      </c>
      <c r="E688" s="10" t="s">
        <v>22</v>
      </c>
      <c r="F688" s="10">
        <v>7065</v>
      </c>
      <c r="G688" s="10" t="s">
        <v>1544</v>
      </c>
      <c r="H688" s="11">
        <f>180*23+180*15</f>
        <v>6840</v>
      </c>
      <c r="I688" s="69">
        <f t="shared" si="57"/>
        <v>0.96815286624203822</v>
      </c>
      <c r="J688" s="11">
        <v>0</v>
      </c>
      <c r="K688" s="70">
        <f t="shared" si="58"/>
        <v>0</v>
      </c>
      <c r="L688" s="11">
        <v>0</v>
      </c>
      <c r="M688" s="97">
        <f t="shared" si="59"/>
        <v>0</v>
      </c>
      <c r="N688" s="72">
        <v>0</v>
      </c>
      <c r="O688" s="180">
        <f t="shared" si="49"/>
        <v>0</v>
      </c>
      <c r="P688" s="88">
        <f>135+90</f>
        <v>225</v>
      </c>
      <c r="Q688" s="95">
        <f t="shared" si="60"/>
        <v>3.1847133757961783E-2</v>
      </c>
      <c r="R688" s="10">
        <v>0</v>
      </c>
      <c r="S688" s="85">
        <f t="shared" si="61"/>
        <v>0</v>
      </c>
      <c r="T688" s="10">
        <v>0</v>
      </c>
      <c r="U688" s="85">
        <f t="shared" si="62"/>
        <v>0</v>
      </c>
      <c r="V688" s="98">
        <f t="shared" si="56"/>
        <v>3.1847133757961783E-2</v>
      </c>
      <c r="W688" s="168" t="s">
        <v>2104</v>
      </c>
    </row>
    <row r="689" spans="1:23">
      <c r="A689" s="100" t="s">
        <v>1694</v>
      </c>
      <c r="B689" s="10" t="s">
        <v>1556</v>
      </c>
      <c r="C689" s="10" t="s">
        <v>24</v>
      </c>
      <c r="D689" s="10" t="s">
        <v>1550</v>
      </c>
      <c r="E689" s="10" t="s">
        <v>22</v>
      </c>
      <c r="F689" s="10">
        <v>19530</v>
      </c>
      <c r="G689" s="10" t="s">
        <v>1544</v>
      </c>
      <c r="H689" s="11">
        <f>180*105</f>
        <v>18900</v>
      </c>
      <c r="I689" s="69">
        <f t="shared" si="57"/>
        <v>0.967741935483871</v>
      </c>
      <c r="J689" s="36">
        <v>0</v>
      </c>
      <c r="K689" s="70">
        <f t="shared" si="58"/>
        <v>0</v>
      </c>
      <c r="L689" s="36">
        <v>0</v>
      </c>
      <c r="M689" s="97">
        <f t="shared" si="59"/>
        <v>0</v>
      </c>
      <c r="N689" s="72">
        <v>0</v>
      </c>
      <c r="O689" s="180">
        <f t="shared" si="49"/>
        <v>0</v>
      </c>
      <c r="P689" s="72">
        <v>630</v>
      </c>
      <c r="Q689" s="95">
        <f t="shared" si="60"/>
        <v>3.2258064516129031E-2</v>
      </c>
      <c r="R689" s="10">
        <v>0</v>
      </c>
      <c r="S689" s="85">
        <f t="shared" si="61"/>
        <v>0</v>
      </c>
      <c r="T689" s="10">
        <v>0</v>
      </c>
      <c r="U689" s="85">
        <f t="shared" si="62"/>
        <v>0</v>
      </c>
      <c r="V689" s="98">
        <f t="shared" si="56"/>
        <v>3.2258064516129031E-2</v>
      </c>
      <c r="W689" s="168" t="s">
        <v>2104</v>
      </c>
    </row>
    <row r="690" spans="1:23">
      <c r="A690" s="100" t="s">
        <v>1694</v>
      </c>
      <c r="B690" s="10" t="s">
        <v>1530</v>
      </c>
      <c r="C690" s="68" t="s">
        <v>1533</v>
      </c>
      <c r="D690" s="10" t="s">
        <v>1536</v>
      </c>
      <c r="E690" s="10" t="s">
        <v>1539</v>
      </c>
      <c r="F690" s="10">
        <v>4186</v>
      </c>
      <c r="G690" s="10" t="s">
        <v>1533</v>
      </c>
      <c r="H690" s="11">
        <f>190*7+135+190*10</f>
        <v>3365</v>
      </c>
      <c r="I690" s="69">
        <f t="shared" si="57"/>
        <v>0.80387004300047782</v>
      </c>
      <c r="J690" s="36">
        <f>100+180+133</f>
        <v>413</v>
      </c>
      <c r="K690" s="70">
        <f t="shared" si="58"/>
        <v>9.8662207357859535E-2</v>
      </c>
      <c r="L690" s="36">
        <f>30+20</f>
        <v>50</v>
      </c>
      <c r="M690" s="97">
        <f t="shared" si="59"/>
        <v>1.1944577161968466E-2</v>
      </c>
      <c r="N690" s="72">
        <f>123+54</f>
        <v>177</v>
      </c>
      <c r="O690" s="180">
        <f t="shared" si="49"/>
        <v>4.2283803153368371</v>
      </c>
      <c r="P690" s="72">
        <f>118+63</f>
        <v>181</v>
      </c>
      <c r="Q690" s="95">
        <f t="shared" si="60"/>
        <v>4.3239369326325848E-2</v>
      </c>
      <c r="R690" s="10">
        <v>0</v>
      </c>
      <c r="S690" s="85">
        <f t="shared" si="61"/>
        <v>0</v>
      </c>
      <c r="T690" s="10">
        <v>0</v>
      </c>
      <c r="U690" s="85">
        <f t="shared" si="62"/>
        <v>0</v>
      </c>
      <c r="V690" s="98">
        <f t="shared" si="56"/>
        <v>4.2716196846631629</v>
      </c>
      <c r="W690" s="168" t="s">
        <v>2107</v>
      </c>
    </row>
    <row r="691" spans="1:23">
      <c r="A691" s="100" t="s">
        <v>1694</v>
      </c>
      <c r="B691" s="10" t="s">
        <v>1530</v>
      </c>
      <c r="C691" s="76" t="s">
        <v>27</v>
      </c>
      <c r="D691" s="10" t="s">
        <v>1536</v>
      </c>
      <c r="E691" s="10" t="s">
        <v>22</v>
      </c>
      <c r="F691" s="10">
        <v>2788</v>
      </c>
      <c r="G691" s="10" t="s">
        <v>1533</v>
      </c>
      <c r="H691" s="11">
        <f>190*5+100+45+190*5+148+124</f>
        <v>2317</v>
      </c>
      <c r="I691" s="69">
        <f t="shared" si="57"/>
        <v>0.83106169296987087</v>
      </c>
      <c r="J691" s="36">
        <f>104+19</f>
        <v>123</v>
      </c>
      <c r="K691" s="70">
        <f t="shared" si="58"/>
        <v>4.4117647058823532E-2</v>
      </c>
      <c r="L691" s="36">
        <f>22+26</f>
        <v>48</v>
      </c>
      <c r="M691" s="97">
        <f t="shared" si="59"/>
        <v>1.721664275466284E-2</v>
      </c>
      <c r="N691" s="72">
        <f>100+50</f>
        <v>150</v>
      </c>
      <c r="O691" s="180">
        <f t="shared" si="49"/>
        <v>5.3802008608321374</v>
      </c>
      <c r="P691" s="72">
        <f>100+50</f>
        <v>150</v>
      </c>
      <c r="Q691" s="95">
        <f t="shared" si="60"/>
        <v>5.3802008608321378E-2</v>
      </c>
      <c r="R691" s="10">
        <v>0</v>
      </c>
      <c r="S691" s="85">
        <f t="shared" si="61"/>
        <v>0</v>
      </c>
      <c r="T691" s="10">
        <v>0</v>
      </c>
      <c r="U691" s="85">
        <f t="shared" si="62"/>
        <v>0</v>
      </c>
      <c r="V691" s="98">
        <f>O691+Q691+S693+U691</f>
        <v>5.4340028694404587</v>
      </c>
      <c r="W691" s="168" t="s">
        <v>2107</v>
      </c>
    </row>
    <row r="692" spans="1:23">
      <c r="A692" s="100" t="s">
        <v>1695</v>
      </c>
      <c r="B692" s="10" t="s">
        <v>1530</v>
      </c>
      <c r="C692" s="76" t="s">
        <v>29</v>
      </c>
      <c r="D692" s="10" t="s">
        <v>1536</v>
      </c>
      <c r="E692" s="10" t="s">
        <v>22</v>
      </c>
      <c r="F692" s="10">
        <v>3158</v>
      </c>
      <c r="G692" s="10" t="s">
        <v>1545</v>
      </c>
      <c r="H692" s="11">
        <f>180+85+180*4+95+10</f>
        <v>1090</v>
      </c>
      <c r="I692" s="69">
        <f t="shared" si="57"/>
        <v>0.34515516149461684</v>
      </c>
      <c r="J692" s="36">
        <f>180*5+72+180*3+108+123</f>
        <v>1743</v>
      </c>
      <c r="K692" s="70">
        <f t="shared" si="58"/>
        <v>0.55193160227992399</v>
      </c>
      <c r="L692" s="11">
        <v>0</v>
      </c>
      <c r="M692" s="97">
        <f t="shared" si="59"/>
        <v>0</v>
      </c>
      <c r="N692" s="72">
        <f>85+83</f>
        <v>168</v>
      </c>
      <c r="O692" s="180">
        <f t="shared" si="49"/>
        <v>5.3198226725775806</v>
      </c>
      <c r="P692" s="88">
        <f>55+102</f>
        <v>157</v>
      </c>
      <c r="Q692" s="95">
        <f t="shared" si="60"/>
        <v>4.9715009499683341E-2</v>
      </c>
      <c r="R692" s="10">
        <v>0</v>
      </c>
      <c r="S692" s="85">
        <f t="shared" si="61"/>
        <v>0</v>
      </c>
      <c r="T692" s="10">
        <v>0</v>
      </c>
      <c r="U692" s="85">
        <f t="shared" si="62"/>
        <v>0</v>
      </c>
      <c r="V692" s="98">
        <f t="shared" ref="V692:V701" si="63">O692+Q692+S694+U692</f>
        <v>5.3695376820772642</v>
      </c>
      <c r="W692" s="168" t="s">
        <v>2107</v>
      </c>
    </row>
    <row r="693" spans="1:23">
      <c r="A693" s="100" t="s">
        <v>1695</v>
      </c>
      <c r="B693" s="10" t="s">
        <v>1530</v>
      </c>
      <c r="C693" s="68" t="s">
        <v>1533</v>
      </c>
      <c r="D693" s="10" t="s">
        <v>1536</v>
      </c>
      <c r="E693" s="5" t="s">
        <v>1539</v>
      </c>
      <c r="F693" s="10">
        <v>2754</v>
      </c>
      <c r="G693" s="10" t="s">
        <v>1533</v>
      </c>
      <c r="H693" s="11">
        <f>190*12+10+68</f>
        <v>2358</v>
      </c>
      <c r="I693" s="69">
        <f t="shared" si="57"/>
        <v>0.85620915032679734</v>
      </c>
      <c r="J693" s="11">
        <f>167</f>
        <v>167</v>
      </c>
      <c r="K693" s="70">
        <f t="shared" si="58"/>
        <v>6.0639070442992014E-2</v>
      </c>
      <c r="L693" s="11">
        <v>30</v>
      </c>
      <c r="M693" s="97">
        <f t="shared" si="59"/>
        <v>1.0893246187363835E-2</v>
      </c>
      <c r="N693" s="88">
        <v>55</v>
      </c>
      <c r="O693" s="180">
        <f t="shared" si="49"/>
        <v>1.9970951343500365</v>
      </c>
      <c r="P693" s="88">
        <f>65+79</f>
        <v>144</v>
      </c>
      <c r="Q693" s="95">
        <f t="shared" si="60"/>
        <v>5.2287581699346407E-2</v>
      </c>
      <c r="R693" s="11">
        <v>0</v>
      </c>
      <c r="S693" s="85">
        <f t="shared" si="61"/>
        <v>0</v>
      </c>
      <c r="T693" s="11">
        <v>0</v>
      </c>
      <c r="U693" s="85">
        <f t="shared" si="62"/>
        <v>0</v>
      </c>
      <c r="V693" s="98">
        <f t="shared" si="63"/>
        <v>2.0493827160493829</v>
      </c>
      <c r="W693" s="168" t="s">
        <v>2107</v>
      </c>
    </row>
    <row r="694" spans="1:23">
      <c r="A694" s="100" t="s">
        <v>1695</v>
      </c>
      <c r="B694" s="10" t="s">
        <v>1530</v>
      </c>
      <c r="C694" s="76" t="s">
        <v>27</v>
      </c>
      <c r="D694" s="10" t="s">
        <v>1536</v>
      </c>
      <c r="E694" s="10" t="s">
        <v>22</v>
      </c>
      <c r="F694" s="10">
        <v>1683</v>
      </c>
      <c r="G694" s="10" t="s">
        <v>1533</v>
      </c>
      <c r="H694" s="11">
        <f>190*6+66+83</f>
        <v>1289</v>
      </c>
      <c r="I694" s="69">
        <f t="shared" si="57"/>
        <v>0.76589423648247179</v>
      </c>
      <c r="J694" s="11">
        <f>180+26</f>
        <v>206</v>
      </c>
      <c r="K694" s="70">
        <f t="shared" si="58"/>
        <v>0.12240047534165181</v>
      </c>
      <c r="L694" s="36">
        <v>28</v>
      </c>
      <c r="M694" s="97">
        <f t="shared" si="59"/>
        <v>1.6636957813428402E-2</v>
      </c>
      <c r="N694" s="88">
        <v>53</v>
      </c>
      <c r="O694" s="180">
        <f t="shared" si="49"/>
        <v>3.1491384432560903</v>
      </c>
      <c r="P694" s="88">
        <f>186-79</f>
        <v>107</v>
      </c>
      <c r="Q694" s="95">
        <f t="shared" si="60"/>
        <v>6.3576945929887108E-2</v>
      </c>
      <c r="R694" s="10">
        <v>0</v>
      </c>
      <c r="S694" s="85">
        <f t="shared" si="61"/>
        <v>0</v>
      </c>
      <c r="T694" s="10">
        <v>0</v>
      </c>
      <c r="U694" s="85">
        <f t="shared" si="62"/>
        <v>0</v>
      </c>
      <c r="V694" s="98">
        <f t="shared" si="63"/>
        <v>3.2127153891859774</v>
      </c>
      <c r="W694" s="168" t="s">
        <v>2107</v>
      </c>
    </row>
    <row r="695" spans="1:23">
      <c r="A695" s="100" t="s">
        <v>1695</v>
      </c>
      <c r="B695" s="10" t="s">
        <v>1556</v>
      </c>
      <c r="C695" s="10" t="s">
        <v>24</v>
      </c>
      <c r="D695" s="10" t="s">
        <v>1550</v>
      </c>
      <c r="E695" s="10" t="s">
        <v>22</v>
      </c>
      <c r="F695" s="10">
        <v>15250</v>
      </c>
      <c r="G695" s="10" t="s">
        <v>1544</v>
      </c>
      <c r="H695" s="11">
        <f>180*82</f>
        <v>14760</v>
      </c>
      <c r="I695" s="69">
        <f t="shared" si="57"/>
        <v>0.96786885245901644</v>
      </c>
      <c r="J695" s="11">
        <v>0</v>
      </c>
      <c r="K695" s="70">
        <f t="shared" si="58"/>
        <v>0</v>
      </c>
      <c r="L695" s="36">
        <v>0</v>
      </c>
      <c r="M695" s="97">
        <f t="shared" si="59"/>
        <v>0</v>
      </c>
      <c r="N695" s="88">
        <v>0</v>
      </c>
      <c r="O695" s="180">
        <f t="shared" si="49"/>
        <v>0</v>
      </c>
      <c r="P695" s="88">
        <f>300+190</f>
        <v>490</v>
      </c>
      <c r="Q695" s="95">
        <f t="shared" si="60"/>
        <v>3.2131147540983604E-2</v>
      </c>
      <c r="R695" s="10">
        <v>0</v>
      </c>
      <c r="S695" s="85">
        <f t="shared" si="61"/>
        <v>0</v>
      </c>
      <c r="T695" s="10">
        <v>0</v>
      </c>
      <c r="U695" s="85">
        <f t="shared" si="62"/>
        <v>0</v>
      </c>
      <c r="V695" s="98">
        <f t="shared" si="63"/>
        <v>3.2131147540983604E-2</v>
      </c>
      <c r="W695" s="168" t="s">
        <v>2104</v>
      </c>
    </row>
    <row r="696" spans="1:23">
      <c r="A696" s="100" t="s">
        <v>1696</v>
      </c>
      <c r="B696" s="10" t="s">
        <v>1530</v>
      </c>
      <c r="C696" s="76" t="s">
        <v>29</v>
      </c>
      <c r="D696" s="10" t="s">
        <v>1536</v>
      </c>
      <c r="E696" s="10" t="s">
        <v>22</v>
      </c>
      <c r="F696" s="10">
        <v>9692</v>
      </c>
      <c r="G696" s="10" t="s">
        <v>1545</v>
      </c>
      <c r="H696" s="11">
        <f>180*9+10+180*9+170+170+9</f>
        <v>3599</v>
      </c>
      <c r="I696" s="69">
        <f t="shared" si="57"/>
        <v>0.37133718530747006</v>
      </c>
      <c r="J696" s="11">
        <f>190*7+180*3+176+190*13+57+14+175+180*3</f>
        <v>5302</v>
      </c>
      <c r="K696" s="70">
        <f t="shared" si="58"/>
        <v>0.54704911267024348</v>
      </c>
      <c r="L696" s="36">
        <v>0</v>
      </c>
      <c r="M696" s="97">
        <f t="shared" si="59"/>
        <v>0</v>
      </c>
      <c r="N696" s="88">
        <f>273+260</f>
        <v>533</v>
      </c>
      <c r="O696" s="180">
        <f t="shared" si="49"/>
        <v>5.4993809327280232</v>
      </c>
      <c r="P696" s="88">
        <f>95+163</f>
        <v>258</v>
      </c>
      <c r="Q696" s="95">
        <f t="shared" si="60"/>
        <v>2.6619892695006191E-2</v>
      </c>
      <c r="R696" s="10">
        <v>0</v>
      </c>
      <c r="S696" s="85">
        <f t="shared" si="61"/>
        <v>0</v>
      </c>
      <c r="T696" s="10">
        <v>0</v>
      </c>
      <c r="U696" s="85">
        <f t="shared" si="62"/>
        <v>0</v>
      </c>
      <c r="V696" s="98">
        <f t="shared" si="63"/>
        <v>5.5260008254230293</v>
      </c>
      <c r="W696" s="168" t="s">
        <v>2107</v>
      </c>
    </row>
    <row r="697" spans="1:23">
      <c r="A697" s="100" t="s">
        <v>1696</v>
      </c>
      <c r="B697" s="10" t="s">
        <v>1556</v>
      </c>
      <c r="C697" s="10" t="s">
        <v>24</v>
      </c>
      <c r="D697" s="10" t="s">
        <v>1550</v>
      </c>
      <c r="E697" s="10" t="s">
        <v>22</v>
      </c>
      <c r="F697" s="10">
        <v>6510</v>
      </c>
      <c r="G697" s="10" t="s">
        <v>1544</v>
      </c>
      <c r="H697" s="11">
        <f>180*35</f>
        <v>6300</v>
      </c>
      <c r="I697" s="69">
        <f t="shared" si="57"/>
        <v>0.967741935483871</v>
      </c>
      <c r="J697" s="11">
        <v>0</v>
      </c>
      <c r="K697" s="70">
        <f t="shared" si="58"/>
        <v>0</v>
      </c>
      <c r="L697" s="36">
        <v>0</v>
      </c>
      <c r="M697" s="97">
        <f t="shared" si="59"/>
        <v>0</v>
      </c>
      <c r="N697" s="88">
        <v>0</v>
      </c>
      <c r="O697" s="180">
        <f t="shared" si="49"/>
        <v>0</v>
      </c>
      <c r="P697" s="88">
        <v>210</v>
      </c>
      <c r="Q697" s="95">
        <f t="shared" si="60"/>
        <v>3.2258064516129031E-2</v>
      </c>
      <c r="R697" s="10">
        <v>0</v>
      </c>
      <c r="S697" s="85">
        <f t="shared" si="61"/>
        <v>0</v>
      </c>
      <c r="T697" s="10">
        <v>0</v>
      </c>
      <c r="U697" s="85">
        <f t="shared" si="62"/>
        <v>0</v>
      </c>
      <c r="V697" s="98">
        <f t="shared" si="63"/>
        <v>3.2258064516129031E-2</v>
      </c>
      <c r="W697" s="168" t="s">
        <v>2104</v>
      </c>
    </row>
    <row r="698" spans="1:23">
      <c r="A698" s="99" t="s">
        <v>1697</v>
      </c>
      <c r="B698" s="10" t="s">
        <v>1530</v>
      </c>
      <c r="C698" s="10" t="s">
        <v>31</v>
      </c>
      <c r="D698" s="10" t="s">
        <v>1536</v>
      </c>
      <c r="E698" s="10" t="s">
        <v>22</v>
      </c>
      <c r="F698" s="10">
        <v>6067</v>
      </c>
      <c r="G698" s="10" t="s">
        <v>1537</v>
      </c>
      <c r="H698" s="11">
        <f>180*21+30</f>
        <v>3810</v>
      </c>
      <c r="I698" s="69">
        <f t="shared" si="57"/>
        <v>0.62798747321575743</v>
      </c>
      <c r="J698" s="11">
        <f>180*5+55+116</f>
        <v>1071</v>
      </c>
      <c r="K698" s="70">
        <f t="shared" si="58"/>
        <v>0.1765287621559255</v>
      </c>
      <c r="L698" s="11">
        <f>190*2+67</f>
        <v>447</v>
      </c>
      <c r="M698" s="97">
        <f t="shared" si="59"/>
        <v>7.367727047964398E-2</v>
      </c>
      <c r="N698" s="101">
        <v>200</v>
      </c>
      <c r="O698" s="180">
        <f t="shared" si="49"/>
        <v>3.2965221691115874</v>
      </c>
      <c r="P698" s="88">
        <v>539</v>
      </c>
      <c r="Q698" s="95">
        <f t="shared" si="60"/>
        <v>8.8841272457557283E-2</v>
      </c>
      <c r="R698" s="10">
        <v>0</v>
      </c>
      <c r="S698" s="85">
        <f t="shared" si="61"/>
        <v>0</v>
      </c>
      <c r="T698" s="10">
        <v>0</v>
      </c>
      <c r="U698" s="85">
        <f t="shared" si="62"/>
        <v>0</v>
      </c>
      <c r="V698" s="98">
        <f t="shared" si="63"/>
        <v>3.3853634415691447</v>
      </c>
      <c r="W698" s="168" t="s">
        <v>2107</v>
      </c>
    </row>
    <row r="699" spans="1:23">
      <c r="A699" s="99" t="s">
        <v>1697</v>
      </c>
      <c r="B699" s="10" t="s">
        <v>1530</v>
      </c>
      <c r="C699" s="76" t="s">
        <v>29</v>
      </c>
      <c r="D699" s="10" t="s">
        <v>1536</v>
      </c>
      <c r="E699" s="10" t="s">
        <v>22</v>
      </c>
      <c r="F699" s="10">
        <v>3396</v>
      </c>
      <c r="G699" s="10" t="s">
        <v>1545</v>
      </c>
      <c r="H699" s="11">
        <f>180*6+33+68</f>
        <v>1181</v>
      </c>
      <c r="I699" s="69">
        <f t="shared" si="57"/>
        <v>0.34776207302709067</v>
      </c>
      <c r="J699" s="11">
        <f>190*9+139+21</f>
        <v>1870</v>
      </c>
      <c r="K699" s="70">
        <f t="shared" si="58"/>
        <v>0.55064782096584219</v>
      </c>
      <c r="L699" s="11">
        <v>0</v>
      </c>
      <c r="M699" s="97">
        <f t="shared" si="59"/>
        <v>0</v>
      </c>
      <c r="N699" s="101">
        <v>243</v>
      </c>
      <c r="O699" s="180">
        <f t="shared" si="49"/>
        <v>7.1554770318021195</v>
      </c>
      <c r="P699" s="88">
        <v>102</v>
      </c>
      <c r="Q699" s="95">
        <f t="shared" si="60"/>
        <v>3.0035335689045935E-2</v>
      </c>
      <c r="R699" s="10">
        <v>0</v>
      </c>
      <c r="S699" s="85">
        <f t="shared" si="61"/>
        <v>0</v>
      </c>
      <c r="T699" s="10">
        <v>0</v>
      </c>
      <c r="U699" s="85">
        <f t="shared" si="62"/>
        <v>0</v>
      </c>
      <c r="V699" s="98">
        <f t="shared" si="63"/>
        <v>7.1855123674911656</v>
      </c>
      <c r="W699" s="168" t="s">
        <v>2107</v>
      </c>
    </row>
    <row r="700" spans="1:23">
      <c r="A700" s="99" t="s">
        <v>1697</v>
      </c>
      <c r="B700" s="10" t="s">
        <v>1530</v>
      </c>
      <c r="C700" s="76" t="s">
        <v>29</v>
      </c>
      <c r="D700" s="10" t="s">
        <v>1536</v>
      </c>
      <c r="E700" s="10" t="s">
        <v>22</v>
      </c>
      <c r="F700" s="10">
        <v>1836</v>
      </c>
      <c r="G700" s="10" t="s">
        <v>1545</v>
      </c>
      <c r="H700" s="11">
        <f>180*2+171+147</f>
        <v>678</v>
      </c>
      <c r="I700" s="69">
        <f t="shared" si="57"/>
        <v>0.36928104575163401</v>
      </c>
      <c r="J700" s="11">
        <f>190*5+15+51</f>
        <v>1016</v>
      </c>
      <c r="K700" s="70">
        <f t="shared" si="58"/>
        <v>0.55337690631808278</v>
      </c>
      <c r="L700" s="11">
        <v>106</v>
      </c>
      <c r="M700" s="97">
        <f t="shared" si="59"/>
        <v>5.7734204793028321E-2</v>
      </c>
      <c r="N700" s="101">
        <v>36</v>
      </c>
      <c r="O700" s="180">
        <f t="shared" si="49"/>
        <v>1.9607843137254901</v>
      </c>
      <c r="P700" s="88">
        <v>0</v>
      </c>
      <c r="Q700" s="95">
        <f t="shared" si="60"/>
        <v>0</v>
      </c>
      <c r="R700" s="10">
        <v>0</v>
      </c>
      <c r="S700" s="85">
        <f t="shared" si="61"/>
        <v>0</v>
      </c>
      <c r="T700" s="10">
        <v>0</v>
      </c>
      <c r="U700" s="85">
        <f t="shared" si="62"/>
        <v>0</v>
      </c>
      <c r="V700" s="98">
        <f t="shared" si="63"/>
        <v>1.9607843137254901</v>
      </c>
      <c r="W700" s="168" t="s">
        <v>2107</v>
      </c>
    </row>
    <row r="701" spans="1:23">
      <c r="A701" s="99" t="s">
        <v>1697</v>
      </c>
      <c r="B701" s="10" t="s">
        <v>1530</v>
      </c>
      <c r="C701" s="10" t="s">
        <v>24</v>
      </c>
      <c r="D701" s="10" t="s">
        <v>1611</v>
      </c>
      <c r="E701" s="10" t="s">
        <v>22</v>
      </c>
      <c r="F701" s="10">
        <v>1486</v>
      </c>
      <c r="G701" s="10" t="s">
        <v>1544</v>
      </c>
      <c r="H701" s="11">
        <f>180*8</f>
        <v>1440</v>
      </c>
      <c r="I701" s="69">
        <f t="shared" si="57"/>
        <v>0.96904441453566625</v>
      </c>
      <c r="J701" s="11">
        <v>0</v>
      </c>
      <c r="K701" s="70">
        <f t="shared" si="58"/>
        <v>0</v>
      </c>
      <c r="L701" s="11">
        <v>0</v>
      </c>
      <c r="M701" s="97">
        <f t="shared" si="59"/>
        <v>0</v>
      </c>
      <c r="N701" s="101">
        <v>10</v>
      </c>
      <c r="O701" s="180">
        <f t="shared" si="49"/>
        <v>0.67294751009421261</v>
      </c>
      <c r="P701" s="88">
        <v>6</v>
      </c>
      <c r="Q701" s="95">
        <f t="shared" si="60"/>
        <v>4.0376850605652759E-3</v>
      </c>
      <c r="R701" s="10">
        <v>0</v>
      </c>
      <c r="S701" s="85">
        <f t="shared" si="61"/>
        <v>0</v>
      </c>
      <c r="T701" s="10">
        <v>30</v>
      </c>
      <c r="U701" s="85">
        <f t="shared" si="62"/>
        <v>2.0188425302826378E-2</v>
      </c>
      <c r="V701" s="98">
        <f t="shared" si="63"/>
        <v>0.69717362045760423</v>
      </c>
      <c r="W701" s="168" t="s">
        <v>2104</v>
      </c>
    </row>
  </sheetData>
  <autoFilter ref="A1:X701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8"/>
  <sheetViews>
    <sheetView workbookViewId="0">
      <selection activeCell="D22" sqref="D22"/>
    </sheetView>
  </sheetViews>
  <sheetFormatPr defaultRowHeight="15"/>
  <cols>
    <col min="1" max="1" width="10.42578125" bestFit="1" customWidth="1"/>
    <col min="2" max="2" width="10" customWidth="1"/>
    <col min="3" max="3" width="21.7109375" bestFit="1" customWidth="1"/>
    <col min="4" max="4" width="9.28515625" bestFit="1" customWidth="1"/>
    <col min="5" max="5" width="10.42578125" bestFit="1" customWidth="1"/>
    <col min="6" max="6" width="15.7109375" bestFit="1" customWidth="1"/>
    <col min="7" max="7" width="14.5703125" bestFit="1" customWidth="1"/>
  </cols>
  <sheetData>
    <row r="1" spans="1:7">
      <c r="A1" s="5" t="s">
        <v>1698</v>
      </c>
      <c r="B1" s="5" t="s">
        <v>1773</v>
      </c>
      <c r="C1" s="5" t="s">
        <v>1774</v>
      </c>
      <c r="D1" s="5" t="s">
        <v>1775</v>
      </c>
      <c r="E1" s="5" t="s">
        <v>1776</v>
      </c>
      <c r="F1" s="5" t="s">
        <v>1777</v>
      </c>
      <c r="G1" s="5" t="s">
        <v>1778</v>
      </c>
    </row>
    <row r="2" spans="1:7">
      <c r="A2" s="11" t="s">
        <v>1173</v>
      </c>
      <c r="B2" s="11" t="s">
        <v>1530</v>
      </c>
      <c r="C2" s="99" t="s">
        <v>24</v>
      </c>
      <c r="D2" s="11">
        <v>180</v>
      </c>
      <c r="E2" s="11" t="s">
        <v>1779</v>
      </c>
      <c r="F2" s="11" t="s">
        <v>1780</v>
      </c>
      <c r="G2" s="110">
        <v>737.44</v>
      </c>
    </row>
    <row r="3" spans="1:7">
      <c r="A3" s="11" t="s">
        <v>1781</v>
      </c>
      <c r="B3" s="11" t="s">
        <v>1782</v>
      </c>
      <c r="C3" s="111" t="s">
        <v>31</v>
      </c>
      <c r="D3" s="11">
        <v>180</v>
      </c>
      <c r="E3" s="11" t="s">
        <v>1783</v>
      </c>
      <c r="F3" s="11" t="s">
        <v>1784</v>
      </c>
      <c r="G3" s="11">
        <v>399.51</v>
      </c>
    </row>
    <row r="4" spans="1:7">
      <c r="A4" s="11" t="s">
        <v>1781</v>
      </c>
      <c r="B4" s="11" t="s">
        <v>1782</v>
      </c>
      <c r="C4" s="111" t="s">
        <v>31</v>
      </c>
      <c r="D4" s="11">
        <v>180</v>
      </c>
      <c r="E4" s="11" t="s">
        <v>1783</v>
      </c>
      <c r="F4" s="11" t="s">
        <v>1785</v>
      </c>
      <c r="G4" s="11">
        <v>399.51</v>
      </c>
    </row>
    <row r="5" spans="1:7">
      <c r="A5" s="11" t="s">
        <v>1781</v>
      </c>
      <c r="B5" s="11" t="s">
        <v>1782</v>
      </c>
      <c r="C5" s="99" t="s">
        <v>24</v>
      </c>
      <c r="D5" s="11">
        <v>180</v>
      </c>
      <c r="E5" s="11" t="s">
        <v>1786</v>
      </c>
      <c r="F5" s="11" t="s">
        <v>1787</v>
      </c>
      <c r="G5" s="11">
        <v>399.51</v>
      </c>
    </row>
    <row r="6" spans="1:7">
      <c r="A6" s="11" t="s">
        <v>1788</v>
      </c>
      <c r="B6" s="11" t="s">
        <v>1782</v>
      </c>
      <c r="C6" s="112" t="s">
        <v>1533</v>
      </c>
      <c r="D6" s="11">
        <v>190</v>
      </c>
      <c r="E6" s="11" t="s">
        <v>1789</v>
      </c>
      <c r="F6" s="11" t="s">
        <v>1790</v>
      </c>
      <c r="G6" s="11">
        <v>399.51</v>
      </c>
    </row>
    <row r="7" spans="1:7">
      <c r="A7" s="11" t="s">
        <v>1788</v>
      </c>
      <c r="B7" s="11" t="s">
        <v>1782</v>
      </c>
      <c r="C7" s="112" t="s">
        <v>1533</v>
      </c>
      <c r="D7" s="11">
        <v>190</v>
      </c>
      <c r="E7" s="11" t="s">
        <v>1789</v>
      </c>
      <c r="F7" s="11" t="s">
        <v>1791</v>
      </c>
      <c r="G7" s="11">
        <v>399.51</v>
      </c>
    </row>
    <row r="8" spans="1:7">
      <c r="A8" s="11" t="s">
        <v>1197</v>
      </c>
      <c r="B8" s="11" t="s">
        <v>1782</v>
      </c>
      <c r="C8" s="111" t="s">
        <v>27</v>
      </c>
      <c r="D8" s="11">
        <v>180</v>
      </c>
      <c r="E8" s="11" t="s">
        <v>1786</v>
      </c>
      <c r="F8" s="11" t="s">
        <v>1792</v>
      </c>
      <c r="G8" s="11">
        <v>399.51</v>
      </c>
    </row>
    <row r="9" spans="1:7">
      <c r="A9" s="99" t="s">
        <v>1793</v>
      </c>
      <c r="B9" s="11" t="s">
        <v>1530</v>
      </c>
      <c r="C9" s="99" t="s">
        <v>29</v>
      </c>
      <c r="D9" s="11">
        <v>180</v>
      </c>
      <c r="E9" s="11" t="s">
        <v>1794</v>
      </c>
      <c r="F9" s="11" t="s">
        <v>1795</v>
      </c>
      <c r="G9" s="110">
        <v>737.44</v>
      </c>
    </row>
    <row r="10" spans="1:7">
      <c r="A10" s="11" t="s">
        <v>1796</v>
      </c>
      <c r="B10" s="11" t="s">
        <v>1530</v>
      </c>
      <c r="C10" s="99" t="s">
        <v>24</v>
      </c>
      <c r="D10" s="11">
        <v>180</v>
      </c>
      <c r="E10" s="11" t="s">
        <v>1797</v>
      </c>
      <c r="F10" s="11" t="s">
        <v>1798</v>
      </c>
      <c r="G10" s="110">
        <v>737.44</v>
      </c>
    </row>
    <row r="11" spans="1:7">
      <c r="A11" s="11" t="s">
        <v>1796</v>
      </c>
      <c r="B11" s="11" t="s">
        <v>1530</v>
      </c>
      <c r="C11" s="99" t="s">
        <v>29</v>
      </c>
      <c r="D11" s="11">
        <v>180</v>
      </c>
      <c r="E11" s="11" t="s">
        <v>1797</v>
      </c>
      <c r="F11" s="11" t="s">
        <v>1799</v>
      </c>
      <c r="G11" s="110">
        <v>737.44</v>
      </c>
    </row>
    <row r="12" spans="1:7">
      <c r="A12" s="11" t="s">
        <v>1796</v>
      </c>
      <c r="B12" s="11" t="s">
        <v>1530</v>
      </c>
      <c r="C12" s="99" t="s">
        <v>31</v>
      </c>
      <c r="D12" s="11">
        <v>180</v>
      </c>
      <c r="E12" s="11" t="s">
        <v>1797</v>
      </c>
      <c r="F12" s="11" t="s">
        <v>1800</v>
      </c>
      <c r="G12" s="110">
        <v>737.44</v>
      </c>
    </row>
    <row r="13" spans="1:7">
      <c r="A13" s="11" t="s">
        <v>1796</v>
      </c>
      <c r="B13" s="11" t="s">
        <v>1530</v>
      </c>
      <c r="C13" s="111" t="s">
        <v>27</v>
      </c>
      <c r="D13" s="11">
        <v>180</v>
      </c>
      <c r="E13" s="11" t="s">
        <v>1797</v>
      </c>
      <c r="F13" s="11" t="s">
        <v>1801</v>
      </c>
      <c r="G13" s="110">
        <v>737.44</v>
      </c>
    </row>
    <row r="14" spans="1:7">
      <c r="A14" s="11" t="s">
        <v>1802</v>
      </c>
      <c r="B14" s="11" t="s">
        <v>1782</v>
      </c>
      <c r="C14" s="111" t="s">
        <v>31</v>
      </c>
      <c r="D14" s="11">
        <v>180</v>
      </c>
      <c r="E14" s="11" t="s">
        <v>1783</v>
      </c>
      <c r="F14" s="11" t="s">
        <v>1803</v>
      </c>
      <c r="G14" s="11">
        <v>399.51</v>
      </c>
    </row>
    <row r="15" spans="1:7">
      <c r="A15" s="11" t="s">
        <v>1802</v>
      </c>
      <c r="B15" s="11" t="s">
        <v>1782</v>
      </c>
      <c r="C15" s="111" t="s">
        <v>31</v>
      </c>
      <c r="D15" s="11">
        <v>180</v>
      </c>
      <c r="E15" s="11" t="s">
        <v>1783</v>
      </c>
      <c r="F15" s="11" t="s">
        <v>1804</v>
      </c>
      <c r="G15" s="11">
        <v>399.51</v>
      </c>
    </row>
    <row r="16" spans="1:7">
      <c r="A16" s="11" t="s">
        <v>1802</v>
      </c>
      <c r="B16" s="11" t="s">
        <v>1782</v>
      </c>
      <c r="C16" s="111" t="s">
        <v>31</v>
      </c>
      <c r="D16" s="11">
        <v>180</v>
      </c>
      <c r="E16" s="11" t="s">
        <v>1783</v>
      </c>
      <c r="F16" s="11" t="s">
        <v>1805</v>
      </c>
      <c r="G16" s="11">
        <v>399.51</v>
      </c>
    </row>
    <row r="17" spans="1:7">
      <c r="A17" s="11" t="s">
        <v>1200</v>
      </c>
      <c r="B17" s="11" t="s">
        <v>1530</v>
      </c>
      <c r="C17" s="99" t="s">
        <v>29</v>
      </c>
      <c r="D17" s="11">
        <v>185</v>
      </c>
      <c r="E17" s="11" t="s">
        <v>1794</v>
      </c>
      <c r="F17" s="11" t="s">
        <v>1806</v>
      </c>
      <c r="G17" s="110">
        <v>737.44</v>
      </c>
    </row>
    <row r="18" spans="1:7">
      <c r="A18" s="99" t="s">
        <v>1675</v>
      </c>
      <c r="B18" s="11" t="s">
        <v>1556</v>
      </c>
      <c r="C18" s="99" t="s">
        <v>29</v>
      </c>
      <c r="D18" s="11">
        <v>170</v>
      </c>
      <c r="E18" s="11" t="s">
        <v>1786</v>
      </c>
      <c r="F18" s="11" t="s">
        <v>1807</v>
      </c>
      <c r="G18" s="11">
        <v>784.49</v>
      </c>
    </row>
    <row r="19" spans="1:7">
      <c r="A19" s="99" t="s">
        <v>1675</v>
      </c>
      <c r="B19" s="11" t="s">
        <v>1556</v>
      </c>
      <c r="C19" s="99" t="s">
        <v>29</v>
      </c>
      <c r="D19" s="11">
        <v>170</v>
      </c>
      <c r="E19" s="11" t="s">
        <v>1786</v>
      </c>
      <c r="F19" s="11" t="s">
        <v>1808</v>
      </c>
      <c r="G19" s="11">
        <v>784.49</v>
      </c>
    </row>
    <row r="20" spans="1:7">
      <c r="A20" s="99" t="s">
        <v>1675</v>
      </c>
      <c r="B20" s="11" t="s">
        <v>1556</v>
      </c>
      <c r="C20" s="99" t="s">
        <v>29</v>
      </c>
      <c r="D20" s="11">
        <v>170</v>
      </c>
      <c r="E20" s="11" t="s">
        <v>1786</v>
      </c>
      <c r="F20" s="11" t="s">
        <v>1809</v>
      </c>
      <c r="G20" s="11">
        <v>784.49</v>
      </c>
    </row>
    <row r="21" spans="1:7">
      <c r="A21" s="99" t="s">
        <v>1675</v>
      </c>
      <c r="B21" s="11" t="s">
        <v>1556</v>
      </c>
      <c r="C21" s="111" t="s">
        <v>27</v>
      </c>
      <c r="D21" s="11">
        <v>170</v>
      </c>
      <c r="E21" s="11" t="s">
        <v>1786</v>
      </c>
      <c r="F21" s="11" t="s">
        <v>1810</v>
      </c>
      <c r="G21" s="11">
        <v>784.49</v>
      </c>
    </row>
    <row r="22" spans="1:7">
      <c r="A22" s="99" t="s">
        <v>1675</v>
      </c>
      <c r="B22" s="11" t="s">
        <v>1556</v>
      </c>
      <c r="C22" s="111" t="s">
        <v>27</v>
      </c>
      <c r="D22" s="11">
        <v>170</v>
      </c>
      <c r="E22" s="11" t="s">
        <v>1786</v>
      </c>
      <c r="F22" s="11" t="s">
        <v>1811</v>
      </c>
      <c r="G22" s="11">
        <v>784.49</v>
      </c>
    </row>
    <row r="23" spans="1:7">
      <c r="A23" s="11" t="s">
        <v>953</v>
      </c>
      <c r="B23" s="11" t="s">
        <v>1530</v>
      </c>
      <c r="C23" s="111" t="s">
        <v>27</v>
      </c>
      <c r="D23" s="11">
        <v>180</v>
      </c>
      <c r="E23" s="11" t="s">
        <v>1812</v>
      </c>
      <c r="F23" s="11" t="s">
        <v>1813</v>
      </c>
      <c r="G23" s="110">
        <v>645.83000000000004</v>
      </c>
    </row>
    <row r="24" spans="1:7">
      <c r="A24" s="11" t="s">
        <v>953</v>
      </c>
      <c r="B24" s="11" t="s">
        <v>1530</v>
      </c>
      <c r="C24" s="111" t="s">
        <v>27</v>
      </c>
      <c r="D24" s="11">
        <v>180</v>
      </c>
      <c r="E24" s="11" t="s">
        <v>1812</v>
      </c>
      <c r="F24" s="11" t="s">
        <v>1814</v>
      </c>
      <c r="G24" s="110">
        <v>645.83000000000004</v>
      </c>
    </row>
    <row r="25" spans="1:7">
      <c r="A25" s="11" t="s">
        <v>953</v>
      </c>
      <c r="B25" s="11" t="s">
        <v>1530</v>
      </c>
      <c r="C25" s="111" t="s">
        <v>27</v>
      </c>
      <c r="D25" s="11">
        <v>180</v>
      </c>
      <c r="E25" s="11" t="s">
        <v>1812</v>
      </c>
      <c r="F25" s="11" t="s">
        <v>1815</v>
      </c>
      <c r="G25" s="110">
        <v>645.83000000000004</v>
      </c>
    </row>
    <row r="26" spans="1:7">
      <c r="A26" s="11" t="s">
        <v>953</v>
      </c>
      <c r="B26" s="11" t="s">
        <v>1530</v>
      </c>
      <c r="C26" s="99" t="s">
        <v>29</v>
      </c>
      <c r="D26" s="11">
        <v>180</v>
      </c>
      <c r="E26" s="11" t="s">
        <v>1812</v>
      </c>
      <c r="F26" s="11" t="s">
        <v>1816</v>
      </c>
      <c r="G26" s="110">
        <v>645.83000000000004</v>
      </c>
    </row>
    <row r="27" spans="1:7">
      <c r="A27" s="11" t="s">
        <v>953</v>
      </c>
      <c r="B27" s="11" t="s">
        <v>1530</v>
      </c>
      <c r="C27" s="111" t="s">
        <v>27</v>
      </c>
      <c r="D27" s="11">
        <v>180</v>
      </c>
      <c r="E27" s="11" t="s">
        <v>1812</v>
      </c>
      <c r="F27" s="11" t="s">
        <v>1817</v>
      </c>
      <c r="G27" s="110">
        <v>645.83000000000004</v>
      </c>
    </row>
    <row r="28" spans="1:7">
      <c r="A28" s="11" t="s">
        <v>1818</v>
      </c>
      <c r="B28" s="11" t="s">
        <v>1530</v>
      </c>
      <c r="C28" s="99" t="s">
        <v>29</v>
      </c>
      <c r="D28" s="11">
        <v>180</v>
      </c>
      <c r="E28" s="11" t="s">
        <v>1797</v>
      </c>
      <c r="F28" s="11" t="s">
        <v>1819</v>
      </c>
      <c r="G28" s="110">
        <v>737.44</v>
      </c>
    </row>
    <row r="29" spans="1:7">
      <c r="A29" s="11" t="s">
        <v>1818</v>
      </c>
      <c r="B29" s="11" t="s">
        <v>1530</v>
      </c>
      <c r="C29" s="99" t="s">
        <v>31</v>
      </c>
      <c r="D29" s="11">
        <v>180</v>
      </c>
      <c r="E29" s="11" t="s">
        <v>1797</v>
      </c>
      <c r="F29" s="11" t="s">
        <v>1820</v>
      </c>
      <c r="G29" s="110">
        <v>737.44</v>
      </c>
    </row>
    <row r="30" spans="1:7">
      <c r="A30" s="11" t="s">
        <v>1204</v>
      </c>
      <c r="B30" s="11" t="s">
        <v>1530</v>
      </c>
      <c r="C30" s="111" t="s">
        <v>31</v>
      </c>
      <c r="D30" s="11">
        <v>180</v>
      </c>
      <c r="E30" s="11" t="s">
        <v>1821</v>
      </c>
      <c r="F30" s="11" t="s">
        <v>1822</v>
      </c>
      <c r="G30" s="110">
        <v>737.44</v>
      </c>
    </row>
    <row r="31" spans="1:7">
      <c r="A31" s="99" t="s">
        <v>1615</v>
      </c>
      <c r="B31" s="11" t="s">
        <v>1556</v>
      </c>
      <c r="C31" s="99" t="s">
        <v>29</v>
      </c>
      <c r="D31" s="11">
        <v>170</v>
      </c>
      <c r="E31" s="11" t="s">
        <v>1823</v>
      </c>
      <c r="F31" s="11" t="s">
        <v>1824</v>
      </c>
      <c r="G31" s="110">
        <v>737.44</v>
      </c>
    </row>
    <row r="32" spans="1:7">
      <c r="A32" s="11" t="s">
        <v>1825</v>
      </c>
      <c r="B32" s="11" t="s">
        <v>1530</v>
      </c>
      <c r="C32" s="99" t="s">
        <v>29</v>
      </c>
      <c r="D32" s="11">
        <v>180</v>
      </c>
      <c r="E32" s="11" t="s">
        <v>1797</v>
      </c>
      <c r="F32" s="11" t="s">
        <v>1826</v>
      </c>
      <c r="G32" s="110">
        <v>737.44</v>
      </c>
    </row>
    <row r="33" spans="1:7">
      <c r="A33" s="11" t="s">
        <v>1825</v>
      </c>
      <c r="B33" s="11" t="s">
        <v>1530</v>
      </c>
      <c r="C33" s="99" t="s">
        <v>24</v>
      </c>
      <c r="D33" s="11">
        <v>175</v>
      </c>
      <c r="E33" s="11" t="s">
        <v>1827</v>
      </c>
      <c r="F33" s="11" t="s">
        <v>1828</v>
      </c>
      <c r="G33" s="110">
        <v>737.44</v>
      </c>
    </row>
    <row r="34" spans="1:7">
      <c r="A34" s="11" t="s">
        <v>1705</v>
      </c>
      <c r="B34" s="11" t="s">
        <v>1530</v>
      </c>
      <c r="C34" s="11" t="s">
        <v>1605</v>
      </c>
      <c r="D34" s="11">
        <v>180</v>
      </c>
      <c r="E34" s="11" t="s">
        <v>1829</v>
      </c>
      <c r="F34" s="11" t="s">
        <v>1830</v>
      </c>
      <c r="G34" s="110">
        <v>737.44</v>
      </c>
    </row>
    <row r="35" spans="1:7">
      <c r="A35" s="11" t="s">
        <v>1705</v>
      </c>
      <c r="B35" s="11" t="s">
        <v>1530</v>
      </c>
      <c r="C35" s="99" t="s">
        <v>24</v>
      </c>
      <c r="D35" s="11">
        <v>190</v>
      </c>
      <c r="E35" s="11" t="s">
        <v>1829</v>
      </c>
      <c r="F35" s="11" t="s">
        <v>1831</v>
      </c>
      <c r="G35" s="110">
        <v>737.44</v>
      </c>
    </row>
    <row r="36" spans="1:7">
      <c r="A36" s="11" t="s">
        <v>1252</v>
      </c>
      <c r="B36" s="11" t="s">
        <v>1530</v>
      </c>
      <c r="C36" s="99" t="s">
        <v>24</v>
      </c>
      <c r="D36" s="11">
        <v>180</v>
      </c>
      <c r="E36" s="11" t="s">
        <v>1779</v>
      </c>
      <c r="F36" s="11" t="s">
        <v>1832</v>
      </c>
      <c r="G36" s="110">
        <v>737.44</v>
      </c>
    </row>
    <row r="37" spans="1:7">
      <c r="A37" s="11" t="s">
        <v>1833</v>
      </c>
      <c r="B37" s="11" t="s">
        <v>1530</v>
      </c>
      <c r="C37" s="111" t="s">
        <v>27</v>
      </c>
      <c r="D37" s="11">
        <v>180</v>
      </c>
      <c r="E37" s="11" t="s">
        <v>1797</v>
      </c>
      <c r="F37" s="11" t="s">
        <v>1834</v>
      </c>
      <c r="G37" s="110">
        <v>737.44</v>
      </c>
    </row>
    <row r="38" spans="1:7">
      <c r="A38" s="11" t="s">
        <v>1734</v>
      </c>
      <c r="B38" s="11" t="s">
        <v>1782</v>
      </c>
      <c r="C38" s="111" t="s">
        <v>31</v>
      </c>
      <c r="D38" s="11">
        <v>180</v>
      </c>
      <c r="E38" s="11" t="s">
        <v>1783</v>
      </c>
      <c r="F38" s="11" t="s">
        <v>1835</v>
      </c>
      <c r="G38" s="11">
        <v>399.51</v>
      </c>
    </row>
    <row r="39" spans="1:7">
      <c r="A39" s="11" t="s">
        <v>1734</v>
      </c>
      <c r="B39" s="11" t="s">
        <v>1782</v>
      </c>
      <c r="C39" s="111" t="s">
        <v>31</v>
      </c>
      <c r="D39" s="11">
        <v>180</v>
      </c>
      <c r="E39" s="11" t="s">
        <v>1783</v>
      </c>
      <c r="F39" s="11" t="s">
        <v>1836</v>
      </c>
      <c r="G39" s="11">
        <v>399.51</v>
      </c>
    </row>
    <row r="40" spans="1:7">
      <c r="A40" s="11" t="s">
        <v>1734</v>
      </c>
      <c r="B40" s="11" t="s">
        <v>1782</v>
      </c>
      <c r="C40" s="111" t="s">
        <v>31</v>
      </c>
      <c r="D40" s="11">
        <v>180</v>
      </c>
      <c r="E40" s="11" t="s">
        <v>1783</v>
      </c>
      <c r="F40" s="11" t="s">
        <v>1837</v>
      </c>
      <c r="G40" s="11">
        <v>399.51</v>
      </c>
    </row>
    <row r="41" spans="1:7">
      <c r="A41" s="11" t="s">
        <v>1214</v>
      </c>
      <c r="B41" s="11" t="s">
        <v>1530</v>
      </c>
      <c r="C41" s="99" t="s">
        <v>24</v>
      </c>
      <c r="D41" s="11">
        <v>180</v>
      </c>
      <c r="E41" s="11" t="s">
        <v>1779</v>
      </c>
      <c r="F41" s="11" t="s">
        <v>1838</v>
      </c>
      <c r="G41" s="110">
        <v>737.44</v>
      </c>
    </row>
    <row r="42" spans="1:7">
      <c r="A42" s="11" t="s">
        <v>1214</v>
      </c>
      <c r="B42" s="11" t="s">
        <v>1782</v>
      </c>
      <c r="C42" s="111" t="s">
        <v>31</v>
      </c>
      <c r="D42" s="11">
        <v>180</v>
      </c>
      <c r="E42" s="11" t="s">
        <v>1783</v>
      </c>
      <c r="F42" s="11" t="s">
        <v>1839</v>
      </c>
      <c r="G42" s="11">
        <v>399.51</v>
      </c>
    </row>
    <row r="43" spans="1:7">
      <c r="A43" s="11" t="s">
        <v>1214</v>
      </c>
      <c r="B43" s="11" t="s">
        <v>1782</v>
      </c>
      <c r="C43" s="111" t="s">
        <v>31</v>
      </c>
      <c r="D43" s="11">
        <v>180</v>
      </c>
      <c r="E43" s="11" t="s">
        <v>1783</v>
      </c>
      <c r="F43" s="11" t="s">
        <v>1840</v>
      </c>
      <c r="G43" s="11">
        <v>399.51</v>
      </c>
    </row>
    <row r="44" spans="1:7">
      <c r="A44" s="11" t="s">
        <v>1214</v>
      </c>
      <c r="B44" s="11" t="s">
        <v>1782</v>
      </c>
      <c r="C44" s="111" t="s">
        <v>31</v>
      </c>
      <c r="D44" s="11">
        <v>180</v>
      </c>
      <c r="E44" s="11" t="s">
        <v>1783</v>
      </c>
      <c r="F44" s="11" t="s">
        <v>1841</v>
      </c>
      <c r="G44" s="11">
        <v>399.51</v>
      </c>
    </row>
    <row r="45" spans="1:7">
      <c r="A45" s="11" t="s">
        <v>1735</v>
      </c>
      <c r="B45" s="11" t="s">
        <v>1530</v>
      </c>
      <c r="C45" s="11" t="s">
        <v>1842</v>
      </c>
      <c r="D45" s="11">
        <v>10</v>
      </c>
      <c r="E45" s="11" t="s">
        <v>1843</v>
      </c>
      <c r="F45" s="11" t="s">
        <v>1844</v>
      </c>
      <c r="G45" s="110">
        <v>737.44</v>
      </c>
    </row>
    <row r="46" spans="1:7">
      <c r="A46" s="11" t="s">
        <v>978</v>
      </c>
      <c r="B46" s="11" t="s">
        <v>1530</v>
      </c>
      <c r="C46" s="111" t="s">
        <v>27</v>
      </c>
      <c r="D46" s="11">
        <v>180</v>
      </c>
      <c r="E46" s="11" t="s">
        <v>1845</v>
      </c>
      <c r="F46" s="11" t="s">
        <v>1846</v>
      </c>
      <c r="G46" s="110">
        <v>737.44</v>
      </c>
    </row>
    <row r="47" spans="1:7">
      <c r="A47" s="11" t="s">
        <v>978</v>
      </c>
      <c r="B47" s="11" t="s">
        <v>1530</v>
      </c>
      <c r="C47" s="111" t="s">
        <v>27</v>
      </c>
      <c r="D47" s="11">
        <v>180</v>
      </c>
      <c r="E47" s="11" t="s">
        <v>1845</v>
      </c>
      <c r="F47" s="11" t="s">
        <v>1847</v>
      </c>
      <c r="G47" s="110">
        <v>737.44</v>
      </c>
    </row>
    <row r="48" spans="1:7">
      <c r="A48" s="11" t="s">
        <v>978</v>
      </c>
      <c r="B48" s="11" t="s">
        <v>1530</v>
      </c>
      <c r="C48" s="99" t="s">
        <v>29</v>
      </c>
      <c r="D48" s="11">
        <v>180</v>
      </c>
      <c r="E48" s="11" t="s">
        <v>1845</v>
      </c>
      <c r="F48" s="11" t="s">
        <v>1848</v>
      </c>
      <c r="G48" s="110">
        <v>737.44</v>
      </c>
    </row>
    <row r="49" spans="1:7">
      <c r="A49" s="11" t="s">
        <v>1268</v>
      </c>
      <c r="B49" s="11" t="s">
        <v>1530</v>
      </c>
      <c r="C49" s="111" t="s">
        <v>27</v>
      </c>
      <c r="D49" s="11">
        <v>180</v>
      </c>
      <c r="E49" s="11" t="s">
        <v>1845</v>
      </c>
      <c r="F49" s="11" t="s">
        <v>1849</v>
      </c>
      <c r="G49" s="110">
        <v>737.44</v>
      </c>
    </row>
    <row r="50" spans="1:7">
      <c r="A50" s="11" t="s">
        <v>1268</v>
      </c>
      <c r="B50" s="11" t="s">
        <v>1530</v>
      </c>
      <c r="C50" s="99" t="s">
        <v>24</v>
      </c>
      <c r="D50" s="11">
        <v>180</v>
      </c>
      <c r="E50" s="11" t="s">
        <v>1797</v>
      </c>
      <c r="F50" s="11" t="s">
        <v>1850</v>
      </c>
      <c r="G50" s="110">
        <v>737.44</v>
      </c>
    </row>
    <row r="51" spans="1:7">
      <c r="A51" s="11" t="s">
        <v>1268</v>
      </c>
      <c r="B51" s="11" t="s">
        <v>1530</v>
      </c>
      <c r="C51" s="99" t="s">
        <v>31</v>
      </c>
      <c r="D51" s="11">
        <v>180</v>
      </c>
      <c r="E51" s="11" t="s">
        <v>1797</v>
      </c>
      <c r="F51" s="11" t="s">
        <v>1851</v>
      </c>
      <c r="G51" s="110">
        <v>737.44</v>
      </c>
    </row>
    <row r="52" spans="1:7">
      <c r="A52" s="113" t="s">
        <v>1591</v>
      </c>
      <c r="B52" s="11" t="s">
        <v>1556</v>
      </c>
      <c r="C52" s="99" t="s">
        <v>29</v>
      </c>
      <c r="D52" s="11">
        <v>170</v>
      </c>
      <c r="E52" s="11" t="s">
        <v>1786</v>
      </c>
      <c r="F52" s="11" t="s">
        <v>1852</v>
      </c>
      <c r="G52" s="11">
        <v>784.49</v>
      </c>
    </row>
    <row r="53" spans="1:7">
      <c r="A53" s="113" t="s">
        <v>1591</v>
      </c>
      <c r="B53" s="11" t="s">
        <v>1556</v>
      </c>
      <c r="C53" s="99" t="s">
        <v>29</v>
      </c>
      <c r="D53" s="11">
        <v>170</v>
      </c>
      <c r="E53" s="11" t="s">
        <v>1786</v>
      </c>
      <c r="F53" s="11" t="s">
        <v>1853</v>
      </c>
      <c r="G53" s="11">
        <v>784.49</v>
      </c>
    </row>
    <row r="54" spans="1:7">
      <c r="A54" s="113" t="s">
        <v>1591</v>
      </c>
      <c r="B54" s="11" t="s">
        <v>1556</v>
      </c>
      <c r="C54" s="99" t="s">
        <v>29</v>
      </c>
      <c r="D54" s="11">
        <v>170</v>
      </c>
      <c r="E54" s="11" t="s">
        <v>1786</v>
      </c>
      <c r="F54" s="11" t="s">
        <v>1854</v>
      </c>
      <c r="G54" s="11">
        <v>784.49</v>
      </c>
    </row>
    <row r="55" spans="1:7">
      <c r="A55" s="113" t="s">
        <v>1591</v>
      </c>
      <c r="B55" s="11" t="s">
        <v>1556</v>
      </c>
      <c r="C55" s="99" t="s">
        <v>29</v>
      </c>
      <c r="D55" s="11">
        <v>170</v>
      </c>
      <c r="E55" s="11" t="s">
        <v>1786</v>
      </c>
      <c r="F55" s="11" t="s">
        <v>1855</v>
      </c>
      <c r="G55" s="11">
        <v>784.49</v>
      </c>
    </row>
    <row r="56" spans="1:7">
      <c r="A56" s="11" t="s">
        <v>1706</v>
      </c>
      <c r="B56" s="11" t="s">
        <v>1782</v>
      </c>
      <c r="C56" s="111" t="s">
        <v>31</v>
      </c>
      <c r="D56" s="11">
        <v>180</v>
      </c>
      <c r="E56" s="11" t="s">
        <v>1789</v>
      </c>
      <c r="F56" s="11" t="s">
        <v>1856</v>
      </c>
      <c r="G56" s="11">
        <v>399.51</v>
      </c>
    </row>
    <row r="57" spans="1:7">
      <c r="A57" s="11" t="s">
        <v>1706</v>
      </c>
      <c r="B57" s="11" t="s">
        <v>1782</v>
      </c>
      <c r="C57" s="111" t="s">
        <v>31</v>
      </c>
      <c r="D57" s="11">
        <v>180</v>
      </c>
      <c r="E57" s="11" t="s">
        <v>1789</v>
      </c>
      <c r="F57" s="11" t="s">
        <v>1857</v>
      </c>
      <c r="G57" s="11">
        <v>399.51</v>
      </c>
    </row>
    <row r="58" spans="1:7">
      <c r="A58" s="11" t="s">
        <v>1706</v>
      </c>
      <c r="B58" s="11" t="s">
        <v>1782</v>
      </c>
      <c r="C58" s="111" t="s">
        <v>31</v>
      </c>
      <c r="D58" s="11">
        <v>180</v>
      </c>
      <c r="E58" s="11" t="s">
        <v>1783</v>
      </c>
      <c r="F58" s="11" t="s">
        <v>1858</v>
      </c>
      <c r="G58" s="11">
        <v>399.51</v>
      </c>
    </row>
    <row r="59" spans="1:7">
      <c r="A59" s="11" t="s">
        <v>992</v>
      </c>
      <c r="B59" s="11" t="s">
        <v>1530</v>
      </c>
      <c r="C59" s="111" t="s">
        <v>27</v>
      </c>
      <c r="D59" s="11">
        <v>180</v>
      </c>
      <c r="E59" s="11" t="s">
        <v>1812</v>
      </c>
      <c r="F59" s="11" t="s">
        <v>1859</v>
      </c>
      <c r="G59" s="110">
        <v>645.83000000000004</v>
      </c>
    </row>
    <row r="60" spans="1:7">
      <c r="A60" s="11" t="s">
        <v>992</v>
      </c>
      <c r="B60" s="11" t="s">
        <v>1530</v>
      </c>
      <c r="C60" s="111" t="s">
        <v>27</v>
      </c>
      <c r="D60" s="11">
        <v>180</v>
      </c>
      <c r="E60" s="11" t="s">
        <v>1812</v>
      </c>
      <c r="F60" s="11" t="s">
        <v>1860</v>
      </c>
      <c r="G60" s="110">
        <v>645.83000000000004</v>
      </c>
    </row>
    <row r="61" spans="1:7">
      <c r="A61" s="11" t="s">
        <v>992</v>
      </c>
      <c r="B61" s="11" t="s">
        <v>1530</v>
      </c>
      <c r="C61" s="99" t="s">
        <v>29</v>
      </c>
      <c r="D61" s="11">
        <v>180</v>
      </c>
      <c r="E61" s="11" t="s">
        <v>1812</v>
      </c>
      <c r="F61" s="11" t="s">
        <v>1861</v>
      </c>
      <c r="G61" s="110">
        <v>645.83000000000004</v>
      </c>
    </row>
    <row r="62" spans="1:7">
      <c r="A62" s="11" t="s">
        <v>1222</v>
      </c>
      <c r="B62" s="11" t="s">
        <v>1782</v>
      </c>
      <c r="C62" s="111" t="s">
        <v>31</v>
      </c>
      <c r="D62" s="11">
        <v>180</v>
      </c>
      <c r="E62" s="11" t="s">
        <v>1783</v>
      </c>
      <c r="F62" s="11" t="s">
        <v>1862</v>
      </c>
      <c r="G62" s="11">
        <v>399.51</v>
      </c>
    </row>
    <row r="63" spans="1:7">
      <c r="A63" s="11" t="s">
        <v>1222</v>
      </c>
      <c r="B63" s="11" t="s">
        <v>1782</v>
      </c>
      <c r="C63" s="111" t="s">
        <v>31</v>
      </c>
      <c r="D63" s="11">
        <v>180</v>
      </c>
      <c r="E63" s="11" t="s">
        <v>1783</v>
      </c>
      <c r="F63" s="11" t="s">
        <v>1863</v>
      </c>
      <c r="G63" s="11">
        <v>399.51</v>
      </c>
    </row>
    <row r="64" spans="1:7">
      <c r="A64" s="11" t="s">
        <v>1707</v>
      </c>
      <c r="B64" s="11" t="s">
        <v>1530</v>
      </c>
      <c r="C64" s="11" t="s">
        <v>1605</v>
      </c>
      <c r="D64" s="11">
        <v>155</v>
      </c>
      <c r="E64" s="11" t="s">
        <v>1797</v>
      </c>
      <c r="F64" s="11" t="s">
        <v>1864</v>
      </c>
      <c r="G64" s="110">
        <v>737.44</v>
      </c>
    </row>
    <row r="65" spans="1:7">
      <c r="A65" s="11" t="s">
        <v>1707</v>
      </c>
      <c r="B65" s="11" t="s">
        <v>1530</v>
      </c>
      <c r="C65" s="11" t="s">
        <v>1605</v>
      </c>
      <c r="D65" s="11">
        <v>155</v>
      </c>
      <c r="E65" s="11" t="s">
        <v>1797</v>
      </c>
      <c r="F65" s="11" t="s">
        <v>1865</v>
      </c>
      <c r="G65" s="110">
        <v>737.44</v>
      </c>
    </row>
    <row r="66" spans="1:7">
      <c r="A66" s="11" t="s">
        <v>997</v>
      </c>
      <c r="B66" s="11" t="s">
        <v>1530</v>
      </c>
      <c r="C66" s="99" t="s">
        <v>24</v>
      </c>
      <c r="D66" s="11">
        <v>180</v>
      </c>
      <c r="E66" s="11" t="s">
        <v>1779</v>
      </c>
      <c r="F66" s="11" t="s">
        <v>1866</v>
      </c>
      <c r="G66" s="110">
        <v>737.44</v>
      </c>
    </row>
    <row r="67" spans="1:7">
      <c r="A67" s="11" t="s">
        <v>997</v>
      </c>
      <c r="B67" s="11" t="s">
        <v>1530</v>
      </c>
      <c r="C67" s="99" t="s">
        <v>31</v>
      </c>
      <c r="D67" s="11">
        <v>180</v>
      </c>
      <c r="E67" s="11" t="s">
        <v>1779</v>
      </c>
      <c r="F67" s="11" t="s">
        <v>1867</v>
      </c>
      <c r="G67" s="110">
        <v>737.44</v>
      </c>
    </row>
    <row r="68" spans="1:7">
      <c r="A68" s="11" t="s">
        <v>1868</v>
      </c>
      <c r="B68" s="11" t="s">
        <v>1782</v>
      </c>
      <c r="C68" s="111" t="s">
        <v>31</v>
      </c>
      <c r="D68" s="11">
        <v>180</v>
      </c>
      <c r="E68" s="11" t="s">
        <v>1783</v>
      </c>
      <c r="F68" s="11" t="s">
        <v>1869</v>
      </c>
      <c r="G68" s="11">
        <v>399.51</v>
      </c>
    </row>
    <row r="69" spans="1:7">
      <c r="A69" s="11" t="s">
        <v>1868</v>
      </c>
      <c r="B69" s="11" t="s">
        <v>1782</v>
      </c>
      <c r="C69" s="111" t="s">
        <v>31</v>
      </c>
      <c r="D69" s="11">
        <v>180</v>
      </c>
      <c r="E69" s="11" t="s">
        <v>1783</v>
      </c>
      <c r="F69" s="11" t="s">
        <v>1870</v>
      </c>
      <c r="G69" s="11">
        <v>399.51</v>
      </c>
    </row>
    <row r="70" spans="1:7">
      <c r="A70" s="11" t="s">
        <v>1868</v>
      </c>
      <c r="B70" s="11" t="s">
        <v>1782</v>
      </c>
      <c r="C70" s="111" t="s">
        <v>31</v>
      </c>
      <c r="D70" s="11">
        <v>180</v>
      </c>
      <c r="E70" s="11" t="s">
        <v>1783</v>
      </c>
      <c r="F70" s="11" t="s">
        <v>1871</v>
      </c>
      <c r="G70" s="11">
        <v>399.51</v>
      </c>
    </row>
    <row r="71" spans="1:7">
      <c r="A71" s="11" t="s">
        <v>1738</v>
      </c>
      <c r="B71" s="11" t="s">
        <v>1530</v>
      </c>
      <c r="C71" s="111" t="s">
        <v>27</v>
      </c>
      <c r="D71" s="11">
        <v>180</v>
      </c>
      <c r="E71" s="11" t="s">
        <v>1812</v>
      </c>
      <c r="F71" s="11" t="s">
        <v>1872</v>
      </c>
      <c r="G71" s="110">
        <v>645.83000000000004</v>
      </c>
    </row>
    <row r="72" spans="1:7">
      <c r="A72" s="11" t="s">
        <v>1738</v>
      </c>
      <c r="B72" s="11" t="s">
        <v>1530</v>
      </c>
      <c r="C72" s="111" t="s">
        <v>27</v>
      </c>
      <c r="D72" s="11">
        <v>180</v>
      </c>
      <c r="E72" s="11" t="s">
        <v>1812</v>
      </c>
      <c r="F72" s="11" t="s">
        <v>1873</v>
      </c>
      <c r="G72" s="110">
        <v>645.83000000000004</v>
      </c>
    </row>
    <row r="73" spans="1:7">
      <c r="A73" s="11" t="s">
        <v>1738</v>
      </c>
      <c r="B73" s="11" t="s">
        <v>1530</v>
      </c>
      <c r="C73" s="111" t="s">
        <v>27</v>
      </c>
      <c r="D73" s="11">
        <v>180</v>
      </c>
      <c r="E73" s="11" t="s">
        <v>1812</v>
      </c>
      <c r="F73" s="11" t="s">
        <v>1874</v>
      </c>
      <c r="G73" s="110">
        <v>645.83000000000004</v>
      </c>
    </row>
    <row r="74" spans="1:7">
      <c r="A74" s="11" t="s">
        <v>1738</v>
      </c>
      <c r="B74" s="11" t="s">
        <v>1530</v>
      </c>
      <c r="C74" s="111" t="s">
        <v>31</v>
      </c>
      <c r="D74" s="11">
        <v>180</v>
      </c>
      <c r="E74" s="11" t="s">
        <v>1812</v>
      </c>
      <c r="F74" s="11" t="s">
        <v>1875</v>
      </c>
      <c r="G74" s="110">
        <v>645.83000000000004</v>
      </c>
    </row>
    <row r="75" spans="1:7">
      <c r="A75" s="11" t="s">
        <v>1738</v>
      </c>
      <c r="B75" s="11" t="s">
        <v>1530</v>
      </c>
      <c r="C75" s="111" t="s">
        <v>31</v>
      </c>
      <c r="D75" s="11">
        <v>180</v>
      </c>
      <c r="E75" s="11" t="s">
        <v>1812</v>
      </c>
      <c r="F75" s="11" t="s">
        <v>1876</v>
      </c>
      <c r="G75" s="110">
        <v>645.83000000000004</v>
      </c>
    </row>
    <row r="76" spans="1:7">
      <c r="A76" s="11" t="s">
        <v>1760</v>
      </c>
      <c r="B76" s="11" t="s">
        <v>1530</v>
      </c>
      <c r="C76" s="99" t="s">
        <v>24</v>
      </c>
      <c r="D76" s="11">
        <v>180</v>
      </c>
      <c r="E76" s="11" t="s">
        <v>1797</v>
      </c>
      <c r="F76" s="11" t="s">
        <v>1877</v>
      </c>
      <c r="G76" s="110">
        <v>737.44</v>
      </c>
    </row>
    <row r="77" spans="1:7">
      <c r="A77" s="11" t="s">
        <v>1760</v>
      </c>
      <c r="B77" s="11" t="s">
        <v>1530</v>
      </c>
      <c r="C77" s="111" t="s">
        <v>27</v>
      </c>
      <c r="D77" s="11">
        <v>180</v>
      </c>
      <c r="E77" s="11" t="s">
        <v>1797</v>
      </c>
      <c r="F77" s="11" t="s">
        <v>1878</v>
      </c>
      <c r="G77" s="110">
        <v>737.44</v>
      </c>
    </row>
    <row r="78" spans="1:7">
      <c r="A78" s="11" t="s">
        <v>1760</v>
      </c>
      <c r="B78" s="11" t="s">
        <v>1530</v>
      </c>
      <c r="C78" s="111" t="s">
        <v>27</v>
      </c>
      <c r="D78" s="11">
        <v>180</v>
      </c>
      <c r="E78" s="11" t="s">
        <v>1879</v>
      </c>
      <c r="F78" s="11" t="s">
        <v>1880</v>
      </c>
      <c r="G78" s="110">
        <v>737.44</v>
      </c>
    </row>
    <row r="79" spans="1:7">
      <c r="A79" s="11" t="s">
        <v>1760</v>
      </c>
      <c r="B79" s="11" t="s">
        <v>1782</v>
      </c>
      <c r="C79" s="111" t="s">
        <v>31</v>
      </c>
      <c r="D79" s="11">
        <v>180</v>
      </c>
      <c r="E79" s="11" t="s">
        <v>1881</v>
      </c>
      <c r="F79" s="11" t="s">
        <v>1882</v>
      </c>
      <c r="G79" s="11">
        <v>399.51</v>
      </c>
    </row>
    <row r="80" spans="1:7">
      <c r="A80" s="11" t="s">
        <v>1760</v>
      </c>
      <c r="B80" s="11" t="s">
        <v>1782</v>
      </c>
      <c r="C80" s="99" t="s">
        <v>31</v>
      </c>
      <c r="D80" s="11">
        <v>175</v>
      </c>
      <c r="E80" s="11" t="s">
        <v>1883</v>
      </c>
      <c r="F80" s="11" t="s">
        <v>1884</v>
      </c>
      <c r="G80" s="11">
        <v>399.51</v>
      </c>
    </row>
    <row r="81" spans="1:7">
      <c r="A81" s="11" t="s">
        <v>1291</v>
      </c>
      <c r="B81" s="11" t="s">
        <v>1530</v>
      </c>
      <c r="C81" s="111" t="s">
        <v>27</v>
      </c>
      <c r="D81" s="11">
        <v>180</v>
      </c>
      <c r="E81" s="11" t="s">
        <v>1797</v>
      </c>
      <c r="F81" s="11" t="s">
        <v>1885</v>
      </c>
      <c r="G81" s="110">
        <v>737.44</v>
      </c>
    </row>
    <row r="82" spans="1:7">
      <c r="A82" s="11" t="s">
        <v>1291</v>
      </c>
      <c r="B82" s="11" t="s">
        <v>1530</v>
      </c>
      <c r="C82" s="111" t="s">
        <v>27</v>
      </c>
      <c r="D82" s="11">
        <v>180</v>
      </c>
      <c r="E82" s="11" t="s">
        <v>1797</v>
      </c>
      <c r="F82" s="11" t="s">
        <v>1886</v>
      </c>
      <c r="G82" s="110">
        <v>737.44</v>
      </c>
    </row>
    <row r="83" spans="1:7">
      <c r="A83" s="11" t="s">
        <v>1291</v>
      </c>
      <c r="B83" s="11" t="s">
        <v>1530</v>
      </c>
      <c r="C83" s="11" t="s">
        <v>1887</v>
      </c>
      <c r="D83" s="11">
        <v>180</v>
      </c>
      <c r="E83" s="11" t="s">
        <v>1821</v>
      </c>
      <c r="F83" s="11" t="s">
        <v>1888</v>
      </c>
      <c r="G83" s="110">
        <v>737.44</v>
      </c>
    </row>
    <row r="84" spans="1:7">
      <c r="A84" s="11" t="s">
        <v>1889</v>
      </c>
      <c r="B84" s="11" t="s">
        <v>1530</v>
      </c>
      <c r="C84" s="11" t="s">
        <v>1616</v>
      </c>
      <c r="D84" s="11">
        <v>180</v>
      </c>
      <c r="E84" s="11" t="s">
        <v>1797</v>
      </c>
      <c r="F84" s="11" t="s">
        <v>1890</v>
      </c>
      <c r="G84" s="110">
        <v>737.44</v>
      </c>
    </row>
    <row r="85" spans="1:7">
      <c r="A85" s="11" t="s">
        <v>1709</v>
      </c>
      <c r="B85" s="11" t="s">
        <v>1782</v>
      </c>
      <c r="C85" s="111" t="s">
        <v>31</v>
      </c>
      <c r="D85" s="11">
        <v>180</v>
      </c>
      <c r="E85" s="11" t="s">
        <v>1783</v>
      </c>
      <c r="F85" s="11" t="s">
        <v>1891</v>
      </c>
      <c r="G85" s="11">
        <v>399.51</v>
      </c>
    </row>
    <row r="86" spans="1:7">
      <c r="A86" s="11" t="s">
        <v>1709</v>
      </c>
      <c r="B86" s="11" t="s">
        <v>1782</v>
      </c>
      <c r="C86" s="111" t="s">
        <v>31</v>
      </c>
      <c r="D86" s="11">
        <v>180</v>
      </c>
      <c r="E86" s="11" t="s">
        <v>1783</v>
      </c>
      <c r="F86" s="11" t="s">
        <v>1892</v>
      </c>
      <c r="G86" s="11">
        <v>399.51</v>
      </c>
    </row>
    <row r="87" spans="1:7">
      <c r="A87" s="11" t="s">
        <v>1709</v>
      </c>
      <c r="B87" s="11" t="s">
        <v>1782</v>
      </c>
      <c r="C87" s="111" t="s">
        <v>31</v>
      </c>
      <c r="D87" s="11">
        <v>180</v>
      </c>
      <c r="E87" s="11" t="s">
        <v>1783</v>
      </c>
      <c r="F87" s="11" t="s">
        <v>1893</v>
      </c>
      <c r="G87" s="11">
        <v>399.51</v>
      </c>
    </row>
    <row r="88" spans="1:7">
      <c r="A88" s="11" t="s">
        <v>1228</v>
      </c>
      <c r="B88" s="11" t="s">
        <v>1530</v>
      </c>
      <c r="C88" s="99" t="s">
        <v>24</v>
      </c>
      <c r="D88" s="11">
        <v>180</v>
      </c>
      <c r="E88" s="11" t="s">
        <v>1845</v>
      </c>
      <c r="F88" s="11" t="s">
        <v>1894</v>
      </c>
      <c r="G88" s="110">
        <v>737.44</v>
      </c>
    </row>
    <row r="89" spans="1:7">
      <c r="A89" s="11" t="s">
        <v>1228</v>
      </c>
      <c r="B89" s="11" t="s">
        <v>1530</v>
      </c>
      <c r="C89" s="111" t="s">
        <v>27</v>
      </c>
      <c r="D89" s="11">
        <v>180</v>
      </c>
      <c r="E89" s="11" t="s">
        <v>1845</v>
      </c>
      <c r="F89" s="11" t="s">
        <v>1895</v>
      </c>
      <c r="G89" s="110">
        <v>737.44</v>
      </c>
    </row>
    <row r="90" spans="1:7">
      <c r="A90" s="11" t="s">
        <v>1296</v>
      </c>
      <c r="B90" s="11" t="s">
        <v>1530</v>
      </c>
      <c r="C90" s="99" t="s">
        <v>24</v>
      </c>
      <c r="D90" s="11">
        <v>180</v>
      </c>
      <c r="E90" s="11" t="s">
        <v>1779</v>
      </c>
      <c r="F90" s="11" t="s">
        <v>1896</v>
      </c>
      <c r="G90" s="110">
        <v>737.44</v>
      </c>
    </row>
    <row r="91" spans="1:7">
      <c r="A91" s="11" t="s">
        <v>1710</v>
      </c>
      <c r="B91" s="11" t="s">
        <v>1530</v>
      </c>
      <c r="C91" s="112" t="s">
        <v>1533</v>
      </c>
      <c r="D91" s="11">
        <v>180</v>
      </c>
      <c r="E91" s="11" t="s">
        <v>1897</v>
      </c>
      <c r="F91" s="11" t="s">
        <v>1898</v>
      </c>
      <c r="G91" s="110">
        <v>737.44</v>
      </c>
    </row>
    <row r="92" spans="1:7">
      <c r="A92" s="11" t="s">
        <v>1740</v>
      </c>
      <c r="B92" s="11" t="s">
        <v>1530</v>
      </c>
      <c r="C92" s="111" t="s">
        <v>27</v>
      </c>
      <c r="D92" s="11">
        <v>180</v>
      </c>
      <c r="E92" s="11" t="s">
        <v>1812</v>
      </c>
      <c r="F92" s="11" t="s">
        <v>1899</v>
      </c>
      <c r="G92" s="110">
        <v>645.83000000000004</v>
      </c>
    </row>
    <row r="93" spans="1:7">
      <c r="A93" s="11" t="s">
        <v>1740</v>
      </c>
      <c r="B93" s="11" t="s">
        <v>1530</v>
      </c>
      <c r="C93" s="111" t="s">
        <v>27</v>
      </c>
      <c r="D93" s="11">
        <v>180</v>
      </c>
      <c r="E93" s="11" t="s">
        <v>1812</v>
      </c>
      <c r="F93" s="11" t="s">
        <v>1900</v>
      </c>
      <c r="G93" s="110">
        <v>645.83000000000004</v>
      </c>
    </row>
    <row r="94" spans="1:7">
      <c r="A94" s="11" t="s">
        <v>1740</v>
      </c>
      <c r="B94" s="11" t="s">
        <v>1530</v>
      </c>
      <c r="C94" s="111" t="s">
        <v>27</v>
      </c>
      <c r="D94" s="11">
        <v>180</v>
      </c>
      <c r="E94" s="11" t="s">
        <v>1812</v>
      </c>
      <c r="F94" s="11" t="s">
        <v>1901</v>
      </c>
      <c r="G94" s="110">
        <v>645.83000000000004</v>
      </c>
    </row>
    <row r="95" spans="1:7">
      <c r="A95" s="11" t="s">
        <v>1740</v>
      </c>
      <c r="B95" s="11" t="s">
        <v>1530</v>
      </c>
      <c r="C95" s="99" t="s">
        <v>29</v>
      </c>
      <c r="D95" s="11">
        <v>180</v>
      </c>
      <c r="E95" s="11" t="s">
        <v>1812</v>
      </c>
      <c r="F95" s="11" t="s">
        <v>1902</v>
      </c>
      <c r="G95" s="110">
        <v>645.83000000000004</v>
      </c>
    </row>
    <row r="96" spans="1:7">
      <c r="A96" s="11" t="s">
        <v>1740</v>
      </c>
      <c r="B96" s="11" t="s">
        <v>1530</v>
      </c>
      <c r="C96" s="111" t="s">
        <v>31</v>
      </c>
      <c r="D96" s="11">
        <v>180</v>
      </c>
      <c r="E96" s="11" t="s">
        <v>1812</v>
      </c>
      <c r="F96" s="11" t="s">
        <v>1903</v>
      </c>
      <c r="G96" s="110">
        <v>645.83000000000004</v>
      </c>
    </row>
    <row r="97" spans="1:7">
      <c r="A97" s="11" t="s">
        <v>1740</v>
      </c>
      <c r="B97" s="11" t="s">
        <v>1530</v>
      </c>
      <c r="C97" s="111" t="s">
        <v>27</v>
      </c>
      <c r="D97" s="11">
        <v>180</v>
      </c>
      <c r="E97" s="11" t="s">
        <v>1797</v>
      </c>
      <c r="F97" s="11" t="s">
        <v>1904</v>
      </c>
      <c r="G97" s="110">
        <v>737.44</v>
      </c>
    </row>
    <row r="98" spans="1:7">
      <c r="A98" s="11" t="s">
        <v>1740</v>
      </c>
      <c r="B98" s="11" t="s">
        <v>1530</v>
      </c>
      <c r="C98" s="99" t="s">
        <v>24</v>
      </c>
      <c r="D98" s="11">
        <v>190</v>
      </c>
      <c r="E98" s="11" t="s">
        <v>1905</v>
      </c>
      <c r="F98" s="11" t="s">
        <v>1906</v>
      </c>
      <c r="G98" s="110">
        <v>737.44</v>
      </c>
    </row>
    <row r="99" spans="1:7">
      <c r="A99" s="11" t="s">
        <v>1305</v>
      </c>
      <c r="B99" s="11" t="s">
        <v>1530</v>
      </c>
      <c r="C99" s="112" t="s">
        <v>1533</v>
      </c>
      <c r="D99" s="11">
        <v>190</v>
      </c>
      <c r="E99" s="11" t="s">
        <v>1907</v>
      </c>
      <c r="F99" s="11" t="s">
        <v>1908</v>
      </c>
      <c r="G99" s="110">
        <v>737.44</v>
      </c>
    </row>
    <row r="100" spans="1:7">
      <c r="A100" s="11" t="s">
        <v>1305</v>
      </c>
      <c r="B100" s="11" t="s">
        <v>1530</v>
      </c>
      <c r="C100" s="112" t="s">
        <v>1533</v>
      </c>
      <c r="D100" s="11">
        <v>190</v>
      </c>
      <c r="E100" s="11" t="s">
        <v>1907</v>
      </c>
      <c r="F100" s="11" t="s">
        <v>1909</v>
      </c>
      <c r="G100" s="110">
        <v>737.44</v>
      </c>
    </row>
    <row r="101" spans="1:7">
      <c r="A101" s="11" t="s">
        <v>1305</v>
      </c>
      <c r="B101" s="11" t="s">
        <v>1530</v>
      </c>
      <c r="C101" s="112" t="s">
        <v>1533</v>
      </c>
      <c r="D101" s="11">
        <v>190</v>
      </c>
      <c r="E101" s="11" t="s">
        <v>1907</v>
      </c>
      <c r="F101" s="11" t="s">
        <v>1910</v>
      </c>
      <c r="G101" s="110">
        <v>737.44</v>
      </c>
    </row>
    <row r="102" spans="1:7">
      <c r="A102" s="11" t="s">
        <v>1305</v>
      </c>
      <c r="B102" s="11" t="s">
        <v>1530</v>
      </c>
      <c r="C102" s="112" t="s">
        <v>1533</v>
      </c>
      <c r="D102" s="11">
        <v>190</v>
      </c>
      <c r="E102" s="11" t="s">
        <v>1907</v>
      </c>
      <c r="F102" s="11" t="s">
        <v>1911</v>
      </c>
      <c r="G102" s="110">
        <v>737.44</v>
      </c>
    </row>
    <row r="103" spans="1:7">
      <c r="A103" s="11" t="s">
        <v>1305</v>
      </c>
      <c r="B103" s="11" t="s">
        <v>1530</v>
      </c>
      <c r="C103" s="112" t="s">
        <v>1533</v>
      </c>
      <c r="D103" s="11">
        <v>190</v>
      </c>
      <c r="E103" s="11" t="s">
        <v>1907</v>
      </c>
      <c r="F103" s="11" t="s">
        <v>1912</v>
      </c>
      <c r="G103" s="110">
        <v>737.44</v>
      </c>
    </row>
    <row r="104" spans="1:7">
      <c r="A104" s="11" t="s">
        <v>1305</v>
      </c>
      <c r="B104" s="11" t="s">
        <v>1530</v>
      </c>
      <c r="C104" s="99" t="s">
        <v>24</v>
      </c>
      <c r="D104" s="11">
        <v>180</v>
      </c>
      <c r="E104" s="11" t="s">
        <v>1797</v>
      </c>
      <c r="F104" s="11" t="s">
        <v>1913</v>
      </c>
      <c r="G104" s="110">
        <v>737.44</v>
      </c>
    </row>
    <row r="105" spans="1:7">
      <c r="A105" s="11" t="s">
        <v>1914</v>
      </c>
      <c r="B105" s="11" t="s">
        <v>1530</v>
      </c>
      <c r="C105" s="99" t="s">
        <v>24</v>
      </c>
      <c r="D105" s="11">
        <v>180</v>
      </c>
      <c r="E105" s="11" t="s">
        <v>1779</v>
      </c>
      <c r="F105" s="11" t="s">
        <v>1915</v>
      </c>
      <c r="G105" s="110">
        <v>737.44</v>
      </c>
    </row>
    <row r="106" spans="1:7">
      <c r="A106" s="11" t="s">
        <v>1308</v>
      </c>
      <c r="B106" s="11" t="s">
        <v>1782</v>
      </c>
      <c r="C106" s="112" t="s">
        <v>1533</v>
      </c>
      <c r="D106" s="11">
        <v>190</v>
      </c>
      <c r="E106" s="11" t="s">
        <v>1789</v>
      </c>
      <c r="F106" s="11" t="s">
        <v>1916</v>
      </c>
      <c r="G106" s="11">
        <v>399.51</v>
      </c>
    </row>
    <row r="107" spans="1:7">
      <c r="A107" s="11" t="s">
        <v>1308</v>
      </c>
      <c r="B107" s="11" t="s">
        <v>1782</v>
      </c>
      <c r="C107" s="112" t="s">
        <v>1533</v>
      </c>
      <c r="D107" s="11">
        <v>190</v>
      </c>
      <c r="E107" s="11" t="s">
        <v>1789</v>
      </c>
      <c r="F107" s="11" t="s">
        <v>1917</v>
      </c>
      <c r="G107" s="11">
        <v>399.51</v>
      </c>
    </row>
    <row r="108" spans="1:7">
      <c r="A108" s="11" t="s">
        <v>1712</v>
      </c>
      <c r="B108" s="11" t="s">
        <v>1530</v>
      </c>
      <c r="C108" s="99" t="s">
        <v>24</v>
      </c>
      <c r="D108" s="11">
        <v>175</v>
      </c>
      <c r="E108" s="11" t="s">
        <v>1827</v>
      </c>
      <c r="F108" s="11" t="s">
        <v>1918</v>
      </c>
      <c r="G108" s="110">
        <v>737.44</v>
      </c>
    </row>
    <row r="109" spans="1:7">
      <c r="A109" s="11" t="s">
        <v>1712</v>
      </c>
      <c r="B109" s="11" t="s">
        <v>1782</v>
      </c>
      <c r="C109" s="111" t="s">
        <v>31</v>
      </c>
      <c r="D109" s="11">
        <v>180</v>
      </c>
      <c r="E109" s="11" t="s">
        <v>1789</v>
      </c>
      <c r="F109" s="11" t="s">
        <v>1919</v>
      </c>
      <c r="G109" s="11">
        <v>399.51</v>
      </c>
    </row>
    <row r="110" spans="1:7">
      <c r="A110" s="11" t="s">
        <v>1022</v>
      </c>
      <c r="B110" s="11" t="s">
        <v>1530</v>
      </c>
      <c r="C110" s="99" t="s">
        <v>29</v>
      </c>
      <c r="D110" s="11" t="s">
        <v>1920</v>
      </c>
      <c r="E110" s="11" t="s">
        <v>1821</v>
      </c>
      <c r="F110" s="11" t="s">
        <v>1921</v>
      </c>
      <c r="G110" s="110">
        <v>737.44</v>
      </c>
    </row>
    <row r="111" spans="1:7">
      <c r="A111" s="11" t="s">
        <v>1922</v>
      </c>
      <c r="B111" s="11" t="s">
        <v>1782</v>
      </c>
      <c r="C111" s="111" t="s">
        <v>31</v>
      </c>
      <c r="D111" s="11">
        <v>180</v>
      </c>
      <c r="E111" s="11" t="s">
        <v>1923</v>
      </c>
      <c r="F111" s="11" t="s">
        <v>1924</v>
      </c>
      <c r="G111" s="11">
        <v>399.51</v>
      </c>
    </row>
    <row r="112" spans="1:7">
      <c r="A112" s="11" t="s">
        <v>1925</v>
      </c>
      <c r="B112" s="11" t="s">
        <v>1530</v>
      </c>
      <c r="C112" s="99" t="s">
        <v>24</v>
      </c>
      <c r="D112" s="11">
        <v>180</v>
      </c>
      <c r="E112" s="11" t="s">
        <v>1797</v>
      </c>
      <c r="F112" s="11" t="s">
        <v>1926</v>
      </c>
      <c r="G112" s="110">
        <v>737.44</v>
      </c>
    </row>
    <row r="113" spans="1:7">
      <c r="A113" s="11" t="s">
        <v>1925</v>
      </c>
      <c r="B113" s="11" t="s">
        <v>1530</v>
      </c>
      <c r="C113" s="111" t="s">
        <v>27</v>
      </c>
      <c r="D113" s="11">
        <v>180</v>
      </c>
      <c r="E113" s="11" t="s">
        <v>1797</v>
      </c>
      <c r="F113" s="11" t="s">
        <v>1927</v>
      </c>
      <c r="G113" s="110">
        <v>737.44</v>
      </c>
    </row>
    <row r="114" spans="1:7">
      <c r="A114" s="11" t="s">
        <v>1925</v>
      </c>
      <c r="B114" s="11" t="s">
        <v>1782</v>
      </c>
      <c r="C114" s="111" t="s">
        <v>31</v>
      </c>
      <c r="D114" s="11">
        <v>180</v>
      </c>
      <c r="E114" s="11" t="s">
        <v>1789</v>
      </c>
      <c r="F114" s="11" t="s">
        <v>1928</v>
      </c>
      <c r="G114" s="11">
        <v>399.51</v>
      </c>
    </row>
    <row r="115" spans="1:7">
      <c r="A115" s="11" t="s">
        <v>1925</v>
      </c>
      <c r="B115" s="11" t="s">
        <v>1782</v>
      </c>
      <c r="C115" s="111" t="s">
        <v>31</v>
      </c>
      <c r="D115" s="11">
        <v>180</v>
      </c>
      <c r="E115" s="11" t="s">
        <v>1789</v>
      </c>
      <c r="F115" s="11" t="s">
        <v>1929</v>
      </c>
      <c r="G115" s="11">
        <v>399.51</v>
      </c>
    </row>
    <row r="116" spans="1:7">
      <c r="A116" s="11" t="s">
        <v>1925</v>
      </c>
      <c r="B116" s="11" t="s">
        <v>1782</v>
      </c>
      <c r="C116" s="111" t="s">
        <v>31</v>
      </c>
      <c r="D116" s="11">
        <v>180</v>
      </c>
      <c r="E116" s="11" t="s">
        <v>1789</v>
      </c>
      <c r="F116" s="11" t="s">
        <v>1930</v>
      </c>
      <c r="G116" s="11">
        <v>399.51</v>
      </c>
    </row>
    <row r="117" spans="1:7">
      <c r="A117" s="11" t="s">
        <v>1925</v>
      </c>
      <c r="B117" s="11" t="s">
        <v>1782</v>
      </c>
      <c r="C117" s="111" t="s">
        <v>31</v>
      </c>
      <c r="D117" s="11">
        <v>180</v>
      </c>
      <c r="E117" s="11" t="s">
        <v>1783</v>
      </c>
      <c r="F117" s="11" t="s">
        <v>1931</v>
      </c>
      <c r="G117" s="11">
        <v>399.51</v>
      </c>
    </row>
    <row r="118" spans="1:7">
      <c r="A118" s="11" t="s">
        <v>1925</v>
      </c>
      <c r="B118" s="11" t="s">
        <v>1782</v>
      </c>
      <c r="C118" s="111" t="s">
        <v>31</v>
      </c>
      <c r="D118" s="11">
        <v>180</v>
      </c>
      <c r="E118" s="11" t="s">
        <v>1783</v>
      </c>
      <c r="F118" s="11" t="s">
        <v>1932</v>
      </c>
      <c r="G118" s="11">
        <v>399.51</v>
      </c>
    </row>
    <row r="119" spans="1:7">
      <c r="A119" s="11" t="s">
        <v>1743</v>
      </c>
      <c r="B119" s="11" t="s">
        <v>1530</v>
      </c>
      <c r="C119" s="111" t="s">
        <v>27</v>
      </c>
      <c r="D119" s="11">
        <v>180</v>
      </c>
      <c r="E119" s="11" t="s">
        <v>1812</v>
      </c>
      <c r="F119" s="11" t="s">
        <v>1933</v>
      </c>
      <c r="G119" s="110">
        <v>645.83000000000004</v>
      </c>
    </row>
    <row r="120" spans="1:7">
      <c r="A120" s="11" t="s">
        <v>1743</v>
      </c>
      <c r="B120" s="11" t="s">
        <v>1530</v>
      </c>
      <c r="C120" s="111" t="s">
        <v>27</v>
      </c>
      <c r="D120" s="11">
        <v>180</v>
      </c>
      <c r="E120" s="11" t="s">
        <v>1812</v>
      </c>
      <c r="F120" s="11" t="s">
        <v>1934</v>
      </c>
      <c r="G120" s="110">
        <v>645.83000000000004</v>
      </c>
    </row>
    <row r="121" spans="1:7">
      <c r="A121" s="11" t="s">
        <v>1743</v>
      </c>
      <c r="B121" s="11" t="s">
        <v>1530</v>
      </c>
      <c r="C121" s="111" t="s">
        <v>27</v>
      </c>
      <c r="D121" s="11">
        <v>180</v>
      </c>
      <c r="E121" s="11" t="s">
        <v>1812</v>
      </c>
      <c r="F121" s="11" t="s">
        <v>1935</v>
      </c>
      <c r="G121" s="110">
        <v>645.83000000000004</v>
      </c>
    </row>
    <row r="122" spans="1:7">
      <c r="A122" s="11" t="s">
        <v>1743</v>
      </c>
      <c r="B122" s="11" t="s">
        <v>1530</v>
      </c>
      <c r="C122" s="99" t="s">
        <v>29</v>
      </c>
      <c r="D122" s="11">
        <v>180</v>
      </c>
      <c r="E122" s="11" t="s">
        <v>1812</v>
      </c>
      <c r="F122" s="11" t="s">
        <v>1936</v>
      </c>
      <c r="G122" s="110">
        <v>645.83000000000004</v>
      </c>
    </row>
    <row r="123" spans="1:7">
      <c r="A123" s="11" t="s">
        <v>1743</v>
      </c>
      <c r="B123" s="11" t="s">
        <v>1530</v>
      </c>
      <c r="C123" s="111" t="s">
        <v>31</v>
      </c>
      <c r="D123" s="11">
        <v>180</v>
      </c>
      <c r="E123" s="11" t="s">
        <v>1812</v>
      </c>
      <c r="F123" s="11" t="s">
        <v>1937</v>
      </c>
      <c r="G123" s="110">
        <v>645.83000000000004</v>
      </c>
    </row>
    <row r="124" spans="1:7">
      <c r="A124" s="11" t="s">
        <v>1938</v>
      </c>
      <c r="B124" s="11" t="s">
        <v>1530</v>
      </c>
      <c r="C124" s="111" t="s">
        <v>27</v>
      </c>
      <c r="D124" s="11">
        <v>180</v>
      </c>
      <c r="E124" s="11" t="s">
        <v>1939</v>
      </c>
      <c r="F124" s="11" t="s">
        <v>1940</v>
      </c>
      <c r="G124" s="110">
        <v>737.44</v>
      </c>
    </row>
    <row r="125" spans="1:7">
      <c r="A125" s="11" t="s">
        <v>1714</v>
      </c>
      <c r="B125" s="11" t="s">
        <v>1782</v>
      </c>
      <c r="C125" s="111" t="s">
        <v>31</v>
      </c>
      <c r="D125" s="11">
        <v>180</v>
      </c>
      <c r="E125" s="11" t="s">
        <v>1789</v>
      </c>
      <c r="F125" s="11" t="s">
        <v>1941</v>
      </c>
      <c r="G125" s="11">
        <v>399.51</v>
      </c>
    </row>
    <row r="126" spans="1:7">
      <c r="A126" s="11" t="s">
        <v>1714</v>
      </c>
      <c r="B126" s="11" t="s">
        <v>1782</v>
      </c>
      <c r="C126" s="111" t="s">
        <v>31</v>
      </c>
      <c r="D126" s="11">
        <v>180</v>
      </c>
      <c r="E126" s="11" t="s">
        <v>1783</v>
      </c>
      <c r="F126" s="11" t="s">
        <v>1942</v>
      </c>
      <c r="G126" s="11">
        <v>399.51</v>
      </c>
    </row>
    <row r="127" spans="1:7">
      <c r="A127" s="11" t="s">
        <v>1744</v>
      </c>
      <c r="B127" s="11" t="s">
        <v>1530</v>
      </c>
      <c r="C127" s="11" t="s">
        <v>1605</v>
      </c>
      <c r="D127" s="11">
        <v>155</v>
      </c>
      <c r="E127" s="11" t="s">
        <v>1797</v>
      </c>
      <c r="F127" s="11" t="s">
        <v>1943</v>
      </c>
      <c r="G127" s="110">
        <v>737.44</v>
      </c>
    </row>
    <row r="128" spans="1:7">
      <c r="A128" s="11" t="s">
        <v>1744</v>
      </c>
      <c r="B128" s="11" t="s">
        <v>1530</v>
      </c>
      <c r="C128" s="11" t="s">
        <v>1605</v>
      </c>
      <c r="D128" s="11">
        <v>155</v>
      </c>
      <c r="E128" s="11" t="s">
        <v>1797</v>
      </c>
      <c r="F128" s="11" t="s">
        <v>1944</v>
      </c>
      <c r="G128" s="110">
        <v>737.44</v>
      </c>
    </row>
    <row r="129" spans="1:7">
      <c r="A129" s="11" t="s">
        <v>1744</v>
      </c>
      <c r="B129" s="11" t="s">
        <v>1530</v>
      </c>
      <c r="C129" s="99" t="s">
        <v>29</v>
      </c>
      <c r="D129" s="11">
        <v>180</v>
      </c>
      <c r="E129" s="11" t="s">
        <v>1797</v>
      </c>
      <c r="F129" s="11" t="s">
        <v>1945</v>
      </c>
      <c r="G129" s="110">
        <v>737.44</v>
      </c>
    </row>
    <row r="130" spans="1:7">
      <c r="A130" s="11" t="s">
        <v>1744</v>
      </c>
      <c r="B130" s="11" t="s">
        <v>1530</v>
      </c>
      <c r="C130" s="99" t="s">
        <v>24</v>
      </c>
      <c r="D130" s="11">
        <v>180</v>
      </c>
      <c r="E130" s="11" t="s">
        <v>1946</v>
      </c>
      <c r="F130" s="11" t="s">
        <v>1947</v>
      </c>
      <c r="G130" s="110">
        <v>737.44</v>
      </c>
    </row>
    <row r="131" spans="1:7">
      <c r="A131" s="11" t="s">
        <v>1027</v>
      </c>
      <c r="B131" s="11" t="s">
        <v>1530</v>
      </c>
      <c r="C131" s="99" t="s">
        <v>24</v>
      </c>
      <c r="D131" s="11">
        <v>180</v>
      </c>
      <c r="E131" s="11" t="s">
        <v>1779</v>
      </c>
      <c r="F131" s="11" t="s">
        <v>1948</v>
      </c>
      <c r="G131" s="110">
        <v>737.44</v>
      </c>
    </row>
    <row r="132" spans="1:7">
      <c r="A132" s="11" t="s">
        <v>1027</v>
      </c>
      <c r="B132" s="11" t="s">
        <v>1530</v>
      </c>
      <c r="C132" s="99" t="s">
        <v>24</v>
      </c>
      <c r="D132" s="11">
        <v>180</v>
      </c>
      <c r="E132" s="11" t="s">
        <v>1779</v>
      </c>
      <c r="F132" s="11" t="s">
        <v>1949</v>
      </c>
      <c r="G132" s="110">
        <v>737.44</v>
      </c>
    </row>
    <row r="133" spans="1:7">
      <c r="A133" s="11" t="s">
        <v>1027</v>
      </c>
      <c r="B133" s="11" t="s">
        <v>1782</v>
      </c>
      <c r="C133" s="99" t="s">
        <v>29</v>
      </c>
      <c r="D133" s="11">
        <v>170</v>
      </c>
      <c r="E133" s="11" t="s">
        <v>1950</v>
      </c>
      <c r="F133" s="11" t="s">
        <v>1951</v>
      </c>
      <c r="G133" s="11">
        <v>399.51</v>
      </c>
    </row>
    <row r="134" spans="1:7">
      <c r="A134" s="11" t="s">
        <v>1952</v>
      </c>
      <c r="B134" s="11" t="s">
        <v>1530</v>
      </c>
      <c r="C134" s="99" t="s">
        <v>24</v>
      </c>
      <c r="D134" s="11">
        <v>180</v>
      </c>
      <c r="E134" s="11" t="s">
        <v>1953</v>
      </c>
      <c r="F134" s="11" t="s">
        <v>1954</v>
      </c>
      <c r="G134" s="110">
        <v>737.44</v>
      </c>
    </row>
    <row r="135" spans="1:7">
      <c r="A135" s="11" t="s">
        <v>1952</v>
      </c>
      <c r="B135" s="11" t="s">
        <v>1530</v>
      </c>
      <c r="C135" s="111" t="s">
        <v>31</v>
      </c>
      <c r="D135" s="11">
        <v>180</v>
      </c>
      <c r="E135" s="11" t="s">
        <v>1953</v>
      </c>
      <c r="F135" s="11" t="s">
        <v>1955</v>
      </c>
      <c r="G135" s="110">
        <v>737.44</v>
      </c>
    </row>
    <row r="136" spans="1:7">
      <c r="A136" s="11" t="s">
        <v>1952</v>
      </c>
      <c r="B136" s="11" t="s">
        <v>1530</v>
      </c>
      <c r="C136" s="111" t="s">
        <v>31</v>
      </c>
      <c r="D136" s="11">
        <v>180</v>
      </c>
      <c r="E136" s="11" t="s">
        <v>1953</v>
      </c>
      <c r="F136" s="11" t="s">
        <v>1956</v>
      </c>
      <c r="G136" s="110">
        <v>737.44</v>
      </c>
    </row>
    <row r="137" spans="1:7">
      <c r="A137" s="99" t="s">
        <v>1602</v>
      </c>
      <c r="B137" s="11" t="s">
        <v>1556</v>
      </c>
      <c r="C137" s="111" t="s">
        <v>27</v>
      </c>
      <c r="D137" s="11">
        <v>170</v>
      </c>
      <c r="E137" s="11" t="s">
        <v>1786</v>
      </c>
      <c r="F137" s="11" t="s">
        <v>1957</v>
      </c>
      <c r="G137" s="11">
        <v>784.49</v>
      </c>
    </row>
    <row r="138" spans="1:7">
      <c r="A138" s="11" t="s">
        <v>1958</v>
      </c>
      <c r="B138" s="11" t="s">
        <v>1782</v>
      </c>
      <c r="C138" s="111" t="s">
        <v>31</v>
      </c>
      <c r="D138" s="11">
        <v>180</v>
      </c>
      <c r="E138" s="11" t="s">
        <v>1783</v>
      </c>
      <c r="F138" s="11" t="s">
        <v>1959</v>
      </c>
      <c r="G138" s="11">
        <v>399.51</v>
      </c>
    </row>
    <row r="139" spans="1:7">
      <c r="A139" s="11" t="s">
        <v>1958</v>
      </c>
      <c r="B139" s="11" t="s">
        <v>1782</v>
      </c>
      <c r="C139" s="111" t="s">
        <v>31</v>
      </c>
      <c r="D139" s="11">
        <v>180</v>
      </c>
      <c r="E139" s="11" t="s">
        <v>1783</v>
      </c>
      <c r="F139" s="11" t="s">
        <v>1960</v>
      </c>
      <c r="G139" s="11">
        <v>399.51</v>
      </c>
    </row>
    <row r="140" spans="1:7">
      <c r="A140" s="11" t="s">
        <v>1958</v>
      </c>
      <c r="B140" s="11" t="s">
        <v>1782</v>
      </c>
      <c r="C140" s="111" t="s">
        <v>31</v>
      </c>
      <c r="D140" s="11">
        <v>180</v>
      </c>
      <c r="E140" s="11" t="s">
        <v>1783</v>
      </c>
      <c r="F140" s="11" t="s">
        <v>1961</v>
      </c>
      <c r="G140" s="11">
        <v>399.51</v>
      </c>
    </row>
    <row r="141" spans="1:7">
      <c r="A141" s="11" t="s">
        <v>1746</v>
      </c>
      <c r="B141" s="11" t="s">
        <v>1530</v>
      </c>
      <c r="C141" s="99" t="s">
        <v>24</v>
      </c>
      <c r="D141" s="11">
        <v>175</v>
      </c>
      <c r="E141" s="11" t="s">
        <v>1827</v>
      </c>
      <c r="F141" s="11" t="s">
        <v>1962</v>
      </c>
      <c r="G141" s="110">
        <v>737.44</v>
      </c>
    </row>
    <row r="142" spans="1:7">
      <c r="A142" s="11" t="s">
        <v>1746</v>
      </c>
      <c r="B142" s="11" t="s">
        <v>1530</v>
      </c>
      <c r="C142" s="99" t="s">
        <v>24</v>
      </c>
      <c r="D142" s="11">
        <v>175</v>
      </c>
      <c r="E142" s="11" t="s">
        <v>1827</v>
      </c>
      <c r="F142" s="11" t="s">
        <v>1963</v>
      </c>
      <c r="G142" s="110">
        <v>737.44</v>
      </c>
    </row>
    <row r="143" spans="1:7">
      <c r="A143" s="11" t="s">
        <v>1746</v>
      </c>
      <c r="B143" s="11" t="s">
        <v>1530</v>
      </c>
      <c r="C143" s="99" t="s">
        <v>24</v>
      </c>
      <c r="D143" s="11">
        <v>175</v>
      </c>
      <c r="E143" s="11" t="s">
        <v>1827</v>
      </c>
      <c r="F143" s="11" t="s">
        <v>1964</v>
      </c>
      <c r="G143" s="110">
        <v>737.44</v>
      </c>
    </row>
    <row r="144" spans="1:7">
      <c r="A144" s="11" t="s">
        <v>1746</v>
      </c>
      <c r="B144" s="11" t="s">
        <v>1530</v>
      </c>
      <c r="C144" s="112" t="s">
        <v>1533</v>
      </c>
      <c r="D144" s="11">
        <v>190</v>
      </c>
      <c r="E144" s="11" t="s">
        <v>1965</v>
      </c>
      <c r="F144" s="11" t="s">
        <v>1966</v>
      </c>
      <c r="G144" s="110">
        <v>737.44</v>
      </c>
    </row>
    <row r="145" spans="1:7">
      <c r="A145" s="11" t="s">
        <v>1746</v>
      </c>
      <c r="B145" s="11" t="s">
        <v>1530</v>
      </c>
      <c r="C145" s="112" t="s">
        <v>1533</v>
      </c>
      <c r="D145" s="11">
        <v>190</v>
      </c>
      <c r="E145" s="11" t="s">
        <v>1965</v>
      </c>
      <c r="F145" s="11" t="s">
        <v>1967</v>
      </c>
      <c r="G145" s="110">
        <v>737.44</v>
      </c>
    </row>
    <row r="146" spans="1:7">
      <c r="A146" s="11" t="s">
        <v>1746</v>
      </c>
      <c r="B146" s="11" t="s">
        <v>1530</v>
      </c>
      <c r="C146" s="112" t="s">
        <v>1533</v>
      </c>
      <c r="D146" s="11">
        <v>190</v>
      </c>
      <c r="E146" s="11" t="s">
        <v>1965</v>
      </c>
      <c r="F146" s="11" t="s">
        <v>1968</v>
      </c>
      <c r="G146" s="110">
        <v>737.44</v>
      </c>
    </row>
    <row r="147" spans="1:7">
      <c r="A147" s="11" t="s">
        <v>1746</v>
      </c>
      <c r="B147" s="11" t="s">
        <v>1530</v>
      </c>
      <c r="C147" s="112" t="s">
        <v>1533</v>
      </c>
      <c r="D147" s="11">
        <v>190</v>
      </c>
      <c r="E147" s="11" t="s">
        <v>1965</v>
      </c>
      <c r="F147" s="11" t="s">
        <v>1969</v>
      </c>
      <c r="G147" s="110">
        <v>737.44</v>
      </c>
    </row>
    <row r="148" spans="1:7">
      <c r="A148" s="11" t="s">
        <v>1747</v>
      </c>
      <c r="B148" s="11" t="s">
        <v>1530</v>
      </c>
      <c r="C148" s="111" t="s">
        <v>27</v>
      </c>
      <c r="D148" s="11">
        <v>180</v>
      </c>
      <c r="E148" s="11" t="s">
        <v>1812</v>
      </c>
      <c r="F148" s="11" t="s">
        <v>1970</v>
      </c>
      <c r="G148" s="110">
        <v>645.83000000000004</v>
      </c>
    </row>
    <row r="149" spans="1:7">
      <c r="A149" s="11" t="s">
        <v>1747</v>
      </c>
      <c r="B149" s="11" t="s">
        <v>1530</v>
      </c>
      <c r="C149" s="111" t="s">
        <v>27</v>
      </c>
      <c r="D149" s="11">
        <v>180</v>
      </c>
      <c r="E149" s="11" t="s">
        <v>1812</v>
      </c>
      <c r="F149" s="11" t="s">
        <v>1971</v>
      </c>
      <c r="G149" s="110">
        <v>645.83000000000004</v>
      </c>
    </row>
    <row r="150" spans="1:7">
      <c r="A150" s="11" t="s">
        <v>1747</v>
      </c>
      <c r="B150" s="11" t="s">
        <v>1530</v>
      </c>
      <c r="C150" s="111" t="s">
        <v>27</v>
      </c>
      <c r="D150" s="11">
        <v>180</v>
      </c>
      <c r="E150" s="11" t="s">
        <v>1812</v>
      </c>
      <c r="F150" s="11" t="s">
        <v>1972</v>
      </c>
      <c r="G150" s="110">
        <v>645.83000000000004</v>
      </c>
    </row>
    <row r="151" spans="1:7">
      <c r="A151" s="11" t="s">
        <v>1747</v>
      </c>
      <c r="B151" s="11" t="s">
        <v>1530</v>
      </c>
      <c r="C151" s="99" t="s">
        <v>29</v>
      </c>
      <c r="D151" s="11">
        <v>180</v>
      </c>
      <c r="E151" s="11" t="s">
        <v>1812</v>
      </c>
      <c r="F151" s="11" t="s">
        <v>1973</v>
      </c>
      <c r="G151" s="110">
        <v>645.83000000000004</v>
      </c>
    </row>
    <row r="152" spans="1:7">
      <c r="A152" s="11" t="s">
        <v>1747</v>
      </c>
      <c r="B152" s="11" t="s">
        <v>1530</v>
      </c>
      <c r="C152" s="111" t="s">
        <v>31</v>
      </c>
      <c r="D152" s="11">
        <v>180</v>
      </c>
      <c r="E152" s="11" t="s">
        <v>1812</v>
      </c>
      <c r="F152" s="11" t="s">
        <v>1974</v>
      </c>
      <c r="G152" s="110">
        <v>645.83000000000004</v>
      </c>
    </row>
    <row r="153" spans="1:7">
      <c r="A153" s="11" t="s">
        <v>1747</v>
      </c>
      <c r="B153" s="11" t="s">
        <v>1530</v>
      </c>
      <c r="C153" s="99" t="s">
        <v>29</v>
      </c>
      <c r="D153" s="11">
        <v>180</v>
      </c>
      <c r="E153" s="11" t="s">
        <v>1797</v>
      </c>
      <c r="F153" s="11" t="s">
        <v>1975</v>
      </c>
      <c r="G153" s="110">
        <v>737.44</v>
      </c>
    </row>
    <row r="154" spans="1:7">
      <c r="A154" s="11" t="s">
        <v>1747</v>
      </c>
      <c r="B154" s="11" t="s">
        <v>1530</v>
      </c>
      <c r="C154" s="99" t="s">
        <v>29</v>
      </c>
      <c r="D154" s="11">
        <v>180</v>
      </c>
      <c r="E154" s="11" t="s">
        <v>1797</v>
      </c>
      <c r="F154" s="11" t="s">
        <v>1976</v>
      </c>
      <c r="G154" s="110">
        <v>737.44</v>
      </c>
    </row>
    <row r="155" spans="1:7">
      <c r="A155" s="11" t="s">
        <v>1747</v>
      </c>
      <c r="B155" s="11" t="s">
        <v>1782</v>
      </c>
      <c r="C155" s="111" t="s">
        <v>31</v>
      </c>
      <c r="D155" s="11">
        <v>170</v>
      </c>
      <c r="E155" s="11" t="s">
        <v>1977</v>
      </c>
      <c r="F155" s="11" t="s">
        <v>1978</v>
      </c>
      <c r="G155" s="11">
        <v>399.51</v>
      </c>
    </row>
    <row r="156" spans="1:7">
      <c r="A156" s="11" t="s">
        <v>1747</v>
      </c>
      <c r="B156" s="11" t="s">
        <v>1782</v>
      </c>
      <c r="C156" s="111" t="s">
        <v>27</v>
      </c>
      <c r="D156" s="11">
        <v>180</v>
      </c>
      <c r="E156" s="11" t="s">
        <v>1786</v>
      </c>
      <c r="F156" s="11" t="s">
        <v>1979</v>
      </c>
      <c r="G156" s="11">
        <v>399.51</v>
      </c>
    </row>
    <row r="157" spans="1:7">
      <c r="A157" s="11" t="s">
        <v>1053</v>
      </c>
      <c r="B157" s="11" t="s">
        <v>1530</v>
      </c>
      <c r="C157" s="99" t="s">
        <v>24</v>
      </c>
      <c r="D157" s="11">
        <v>180</v>
      </c>
      <c r="E157" s="11" t="s">
        <v>1797</v>
      </c>
      <c r="F157" s="11" t="s">
        <v>1980</v>
      </c>
      <c r="G157" s="110">
        <v>737.44</v>
      </c>
    </row>
    <row r="158" spans="1:7">
      <c r="A158" s="11" t="s">
        <v>1053</v>
      </c>
      <c r="B158" s="11" t="s">
        <v>1530</v>
      </c>
      <c r="C158" s="111" t="s">
        <v>27</v>
      </c>
      <c r="D158" s="11">
        <v>180</v>
      </c>
      <c r="E158" s="11" t="s">
        <v>1797</v>
      </c>
      <c r="F158" s="11" t="s">
        <v>1981</v>
      </c>
      <c r="G158" s="110">
        <v>737.44</v>
      </c>
    </row>
    <row r="159" spans="1:7">
      <c r="A159" s="11" t="s">
        <v>1053</v>
      </c>
      <c r="B159" s="11" t="s">
        <v>1530</v>
      </c>
      <c r="C159" s="111" t="s">
        <v>31</v>
      </c>
      <c r="D159" s="11">
        <v>180</v>
      </c>
      <c r="E159" s="11" t="s">
        <v>1797</v>
      </c>
      <c r="F159" s="11" t="s">
        <v>1982</v>
      </c>
      <c r="G159" s="110">
        <v>737.44</v>
      </c>
    </row>
    <row r="160" spans="1:7">
      <c r="A160" s="11" t="s">
        <v>1053</v>
      </c>
      <c r="B160" s="11" t="s">
        <v>1530</v>
      </c>
      <c r="C160" s="99" t="s">
        <v>31</v>
      </c>
      <c r="D160" s="11">
        <v>180</v>
      </c>
      <c r="E160" s="11" t="s">
        <v>1797</v>
      </c>
      <c r="F160" s="11" t="s">
        <v>1983</v>
      </c>
      <c r="G160" s="110">
        <v>737.44</v>
      </c>
    </row>
    <row r="161" spans="1:7">
      <c r="A161" s="11" t="s">
        <v>1984</v>
      </c>
      <c r="B161" s="11" t="s">
        <v>1530</v>
      </c>
      <c r="C161" s="111" t="s">
        <v>31</v>
      </c>
      <c r="D161" s="11">
        <v>180</v>
      </c>
      <c r="E161" s="11" t="s">
        <v>1953</v>
      </c>
      <c r="F161" s="11" t="s">
        <v>1985</v>
      </c>
      <c r="G161" s="110">
        <v>737.44</v>
      </c>
    </row>
    <row r="162" spans="1:7">
      <c r="A162" s="11" t="s">
        <v>1984</v>
      </c>
      <c r="B162" s="11" t="s">
        <v>1530</v>
      </c>
      <c r="C162" s="11" t="s">
        <v>1605</v>
      </c>
      <c r="D162" s="11">
        <v>155</v>
      </c>
      <c r="E162" s="11" t="s">
        <v>1797</v>
      </c>
      <c r="F162" s="11" t="s">
        <v>1986</v>
      </c>
      <c r="G162" s="110">
        <v>737.44</v>
      </c>
    </row>
    <row r="163" spans="1:7">
      <c r="A163" s="11" t="s">
        <v>1984</v>
      </c>
      <c r="B163" s="11" t="s">
        <v>1530</v>
      </c>
      <c r="C163" s="99" t="s">
        <v>24</v>
      </c>
      <c r="D163" s="11">
        <v>180</v>
      </c>
      <c r="E163" s="11" t="s">
        <v>1797</v>
      </c>
      <c r="F163" s="11" t="s">
        <v>1987</v>
      </c>
      <c r="G163" s="110">
        <v>737.44</v>
      </c>
    </row>
    <row r="164" spans="1:7">
      <c r="A164" s="11" t="s">
        <v>1984</v>
      </c>
      <c r="B164" s="11" t="s">
        <v>1530</v>
      </c>
      <c r="C164" s="99" t="s">
        <v>29</v>
      </c>
      <c r="D164" s="11">
        <v>180</v>
      </c>
      <c r="E164" s="11" t="s">
        <v>1797</v>
      </c>
      <c r="F164" s="11" t="s">
        <v>1988</v>
      </c>
      <c r="G164" s="110">
        <v>737.44</v>
      </c>
    </row>
    <row r="165" spans="1:7">
      <c r="A165" s="11" t="s">
        <v>1984</v>
      </c>
      <c r="B165" s="11" t="s">
        <v>1530</v>
      </c>
      <c r="C165" s="11" t="s">
        <v>1616</v>
      </c>
      <c r="D165" s="11">
        <v>180</v>
      </c>
      <c r="E165" s="11" t="s">
        <v>1797</v>
      </c>
      <c r="F165" s="11" t="s">
        <v>1989</v>
      </c>
      <c r="G165" s="110">
        <v>737.44</v>
      </c>
    </row>
    <row r="166" spans="1:7">
      <c r="A166" s="11" t="s">
        <v>1984</v>
      </c>
      <c r="B166" s="11" t="s">
        <v>1782</v>
      </c>
      <c r="C166" s="111" t="s">
        <v>31</v>
      </c>
      <c r="D166" s="11">
        <v>180</v>
      </c>
      <c r="E166" s="11" t="s">
        <v>1881</v>
      </c>
      <c r="F166" s="11" t="s">
        <v>1990</v>
      </c>
      <c r="G166" s="11">
        <v>399.51</v>
      </c>
    </row>
    <row r="167" spans="1:7">
      <c r="A167" s="11" t="s">
        <v>1718</v>
      </c>
      <c r="B167" s="11" t="s">
        <v>1530</v>
      </c>
      <c r="C167" s="111" t="s">
        <v>31</v>
      </c>
      <c r="D167" s="11">
        <v>150</v>
      </c>
      <c r="E167" s="11" t="s">
        <v>1879</v>
      </c>
      <c r="F167" s="11" t="s">
        <v>1991</v>
      </c>
      <c r="G167" s="110">
        <v>737.44</v>
      </c>
    </row>
    <row r="168" spans="1:7">
      <c r="A168" s="11" t="s">
        <v>1748</v>
      </c>
      <c r="B168" s="11" t="s">
        <v>1782</v>
      </c>
      <c r="C168" s="111" t="s">
        <v>27</v>
      </c>
      <c r="D168" s="11">
        <v>180</v>
      </c>
      <c r="E168" s="11" t="s">
        <v>1786</v>
      </c>
      <c r="F168" s="11" t="s">
        <v>1992</v>
      </c>
      <c r="G168" s="11">
        <v>399.51</v>
      </c>
    </row>
    <row r="169" spans="1:7">
      <c r="A169" s="11" t="s">
        <v>1068</v>
      </c>
      <c r="B169" s="11" t="s">
        <v>1530</v>
      </c>
      <c r="C169" s="99" t="s">
        <v>29</v>
      </c>
      <c r="D169" s="11">
        <v>180</v>
      </c>
      <c r="E169" s="11" t="s">
        <v>1797</v>
      </c>
      <c r="F169" s="11" t="s">
        <v>1993</v>
      </c>
      <c r="G169" s="110">
        <v>737.44</v>
      </c>
    </row>
    <row r="170" spans="1:7">
      <c r="A170" s="11" t="s">
        <v>1068</v>
      </c>
      <c r="B170" s="11" t="s">
        <v>1530</v>
      </c>
      <c r="C170" s="99" t="s">
        <v>29</v>
      </c>
      <c r="D170" s="11">
        <v>180</v>
      </c>
      <c r="E170" s="11" t="s">
        <v>1797</v>
      </c>
      <c r="F170" s="11" t="s">
        <v>1994</v>
      </c>
      <c r="G170" s="110">
        <v>737.44</v>
      </c>
    </row>
    <row r="171" spans="1:7">
      <c r="A171" s="11" t="s">
        <v>1068</v>
      </c>
      <c r="B171" s="11" t="s">
        <v>1530</v>
      </c>
      <c r="C171" s="99" t="s">
        <v>29</v>
      </c>
      <c r="D171" s="11">
        <v>180</v>
      </c>
      <c r="E171" s="11" t="s">
        <v>1797</v>
      </c>
      <c r="F171" s="11" t="s">
        <v>1995</v>
      </c>
      <c r="G171" s="110">
        <v>737.44</v>
      </c>
    </row>
    <row r="172" spans="1:7">
      <c r="A172" s="11" t="s">
        <v>1068</v>
      </c>
      <c r="B172" s="11" t="s">
        <v>1530</v>
      </c>
      <c r="C172" s="111" t="s">
        <v>31</v>
      </c>
      <c r="D172" s="11">
        <v>180</v>
      </c>
      <c r="E172" s="11" t="s">
        <v>1797</v>
      </c>
      <c r="F172" s="11" t="s">
        <v>1996</v>
      </c>
      <c r="G172" s="110">
        <v>737.44</v>
      </c>
    </row>
    <row r="173" spans="1:7">
      <c r="A173" s="11" t="s">
        <v>1997</v>
      </c>
      <c r="B173" s="11" t="s">
        <v>1530</v>
      </c>
      <c r="C173" s="99" t="s">
        <v>31</v>
      </c>
      <c r="D173" s="11">
        <v>180</v>
      </c>
      <c r="E173" s="11" t="s">
        <v>1797</v>
      </c>
      <c r="F173" s="11" t="s">
        <v>1998</v>
      </c>
      <c r="G173" s="110">
        <v>737.44</v>
      </c>
    </row>
    <row r="174" spans="1:7">
      <c r="A174" s="11" t="s">
        <v>1997</v>
      </c>
      <c r="B174" s="11" t="s">
        <v>1530</v>
      </c>
      <c r="C174" s="111" t="s">
        <v>31</v>
      </c>
      <c r="D174" s="11">
        <v>180</v>
      </c>
      <c r="E174" s="11" t="s">
        <v>1953</v>
      </c>
      <c r="F174" s="11" t="s">
        <v>1999</v>
      </c>
      <c r="G174" s="110">
        <v>737.44</v>
      </c>
    </row>
    <row r="175" spans="1:7">
      <c r="A175" s="11" t="s">
        <v>1997</v>
      </c>
      <c r="B175" s="11" t="s">
        <v>1530</v>
      </c>
      <c r="C175" s="111" t="s">
        <v>31</v>
      </c>
      <c r="D175" s="11">
        <v>180</v>
      </c>
      <c r="E175" s="11" t="s">
        <v>1953</v>
      </c>
      <c r="F175" s="11" t="s">
        <v>2000</v>
      </c>
      <c r="G175" s="110">
        <v>737.44</v>
      </c>
    </row>
    <row r="176" spans="1:7">
      <c r="A176" s="11" t="s">
        <v>1572</v>
      </c>
      <c r="B176" s="11" t="s">
        <v>1556</v>
      </c>
      <c r="C176" s="99" t="s">
        <v>29</v>
      </c>
      <c r="D176" s="11">
        <v>170</v>
      </c>
      <c r="E176" s="11" t="s">
        <v>1786</v>
      </c>
      <c r="F176" s="11" t="s">
        <v>2001</v>
      </c>
      <c r="G176" s="11">
        <v>784.49</v>
      </c>
    </row>
    <row r="177" spans="1:7">
      <c r="A177" s="11" t="s">
        <v>1572</v>
      </c>
      <c r="B177" s="11" t="s">
        <v>1556</v>
      </c>
      <c r="C177" s="99" t="s">
        <v>29</v>
      </c>
      <c r="D177" s="11">
        <v>170</v>
      </c>
      <c r="E177" s="11" t="s">
        <v>1786</v>
      </c>
      <c r="F177" s="11" t="s">
        <v>2002</v>
      </c>
      <c r="G177" s="11">
        <v>784.49</v>
      </c>
    </row>
    <row r="178" spans="1:7">
      <c r="A178" s="11" t="s">
        <v>1572</v>
      </c>
      <c r="B178" s="11" t="s">
        <v>1556</v>
      </c>
      <c r="C178" s="99" t="s">
        <v>29</v>
      </c>
      <c r="D178" s="11">
        <v>170</v>
      </c>
      <c r="E178" s="11" t="s">
        <v>1786</v>
      </c>
      <c r="F178" s="11" t="s">
        <v>2003</v>
      </c>
      <c r="G178" s="11">
        <v>784.49</v>
      </c>
    </row>
    <row r="179" spans="1:7">
      <c r="A179" s="11" t="s">
        <v>1572</v>
      </c>
      <c r="B179" s="11" t="s">
        <v>1556</v>
      </c>
      <c r="C179" s="99" t="s">
        <v>29</v>
      </c>
      <c r="D179" s="11">
        <v>170</v>
      </c>
      <c r="E179" s="11" t="s">
        <v>1786</v>
      </c>
      <c r="F179" s="11" t="s">
        <v>2004</v>
      </c>
      <c r="G179" s="11">
        <v>784.49</v>
      </c>
    </row>
    <row r="180" spans="1:7">
      <c r="A180" s="11" t="s">
        <v>1719</v>
      </c>
      <c r="B180" s="11" t="s">
        <v>1530</v>
      </c>
      <c r="C180" s="111" t="s">
        <v>27</v>
      </c>
      <c r="D180" s="11">
        <v>180</v>
      </c>
      <c r="E180" s="11" t="s">
        <v>2005</v>
      </c>
      <c r="F180" s="11" t="s">
        <v>2006</v>
      </c>
      <c r="G180" s="110">
        <v>737.44</v>
      </c>
    </row>
    <row r="181" spans="1:7">
      <c r="A181" s="11" t="s">
        <v>1719</v>
      </c>
      <c r="B181" s="11" t="s">
        <v>1530</v>
      </c>
      <c r="C181" s="111" t="s">
        <v>27</v>
      </c>
      <c r="D181" s="11">
        <v>180</v>
      </c>
      <c r="E181" s="11" t="s">
        <v>2005</v>
      </c>
      <c r="F181" s="11" t="s">
        <v>2007</v>
      </c>
      <c r="G181" s="110">
        <v>737.44</v>
      </c>
    </row>
    <row r="182" spans="1:7">
      <c r="A182" s="11" t="s">
        <v>1719</v>
      </c>
      <c r="B182" s="11" t="s">
        <v>1530</v>
      </c>
      <c r="C182" s="111" t="s">
        <v>27</v>
      </c>
      <c r="D182" s="11">
        <v>180</v>
      </c>
      <c r="E182" s="11" t="s">
        <v>2005</v>
      </c>
      <c r="F182" s="11" t="s">
        <v>2008</v>
      </c>
      <c r="G182" s="110">
        <v>737.44</v>
      </c>
    </row>
    <row r="183" spans="1:7">
      <c r="A183" s="11" t="s">
        <v>1719</v>
      </c>
      <c r="B183" s="11" t="s">
        <v>1530</v>
      </c>
      <c r="C183" s="111" t="s">
        <v>27</v>
      </c>
      <c r="D183" s="11">
        <v>180</v>
      </c>
      <c r="E183" s="11" t="s">
        <v>2005</v>
      </c>
      <c r="F183" s="11" t="s">
        <v>2009</v>
      </c>
      <c r="G183" s="110">
        <v>737.44</v>
      </c>
    </row>
    <row r="184" spans="1:7">
      <c r="A184" s="11" t="s">
        <v>1719</v>
      </c>
      <c r="B184" s="11" t="s">
        <v>1530</v>
      </c>
      <c r="C184" s="111" t="s">
        <v>27</v>
      </c>
      <c r="D184" s="11">
        <v>180</v>
      </c>
      <c r="E184" s="11" t="s">
        <v>2005</v>
      </c>
      <c r="F184" s="11" t="s">
        <v>2010</v>
      </c>
      <c r="G184" s="110">
        <v>737.44</v>
      </c>
    </row>
    <row r="185" spans="1:7">
      <c r="A185" s="11" t="s">
        <v>1375</v>
      </c>
      <c r="B185" s="11" t="s">
        <v>1530</v>
      </c>
      <c r="C185" s="111" t="s">
        <v>31</v>
      </c>
      <c r="D185" s="11">
        <v>180</v>
      </c>
      <c r="E185" s="11" t="s">
        <v>1821</v>
      </c>
      <c r="F185" s="11" t="s">
        <v>2011</v>
      </c>
      <c r="G185" s="110">
        <v>737.44</v>
      </c>
    </row>
    <row r="186" spans="1:7">
      <c r="A186" s="11" t="s">
        <v>1720</v>
      </c>
      <c r="B186" s="11" t="s">
        <v>1530</v>
      </c>
      <c r="C186" s="99" t="s">
        <v>24</v>
      </c>
      <c r="D186" s="11">
        <v>180</v>
      </c>
      <c r="E186" s="11" t="s">
        <v>1923</v>
      </c>
      <c r="F186" s="11" t="s">
        <v>2012</v>
      </c>
      <c r="G186" s="110">
        <v>737.44</v>
      </c>
    </row>
    <row r="187" spans="1:7">
      <c r="A187" s="11" t="s">
        <v>1720</v>
      </c>
      <c r="B187" s="11" t="s">
        <v>1782</v>
      </c>
      <c r="C187" s="111" t="s">
        <v>31</v>
      </c>
      <c r="D187" s="11">
        <v>180</v>
      </c>
      <c r="E187" s="11" t="s">
        <v>1783</v>
      </c>
      <c r="F187" s="11" t="s">
        <v>2013</v>
      </c>
      <c r="G187" s="11">
        <v>399.51</v>
      </c>
    </row>
    <row r="188" spans="1:7">
      <c r="A188" s="11" t="s">
        <v>1720</v>
      </c>
      <c r="B188" s="11" t="s">
        <v>1782</v>
      </c>
      <c r="C188" s="111" t="s">
        <v>31</v>
      </c>
      <c r="D188" s="11">
        <v>180</v>
      </c>
      <c r="E188" s="11" t="s">
        <v>1783</v>
      </c>
      <c r="F188" s="11" t="s">
        <v>2014</v>
      </c>
      <c r="G188" s="11">
        <v>399.51</v>
      </c>
    </row>
    <row r="189" spans="1:7">
      <c r="A189" s="11" t="s">
        <v>1720</v>
      </c>
      <c r="B189" s="11" t="s">
        <v>1782</v>
      </c>
      <c r="C189" s="111" t="s">
        <v>31</v>
      </c>
      <c r="D189" s="11">
        <v>180</v>
      </c>
      <c r="E189" s="11" t="s">
        <v>1783</v>
      </c>
      <c r="F189" s="11" t="s">
        <v>2015</v>
      </c>
      <c r="G189" s="11">
        <v>399.51</v>
      </c>
    </row>
    <row r="190" spans="1:7">
      <c r="A190" s="11" t="s">
        <v>905</v>
      </c>
      <c r="B190" s="11" t="s">
        <v>1782</v>
      </c>
      <c r="C190" s="112" t="s">
        <v>1533</v>
      </c>
      <c r="D190" s="11">
        <v>190</v>
      </c>
      <c r="E190" s="11" t="s">
        <v>1789</v>
      </c>
      <c r="F190" s="11" t="s">
        <v>2016</v>
      </c>
      <c r="G190" s="11">
        <v>399.51</v>
      </c>
    </row>
    <row r="191" spans="1:7">
      <c r="A191" s="11" t="s">
        <v>905</v>
      </c>
      <c r="B191" s="11" t="s">
        <v>1782</v>
      </c>
      <c r="C191" s="112" t="s">
        <v>1533</v>
      </c>
      <c r="D191" s="11">
        <v>190</v>
      </c>
      <c r="E191" s="11" t="s">
        <v>1789</v>
      </c>
      <c r="F191" s="11" t="s">
        <v>2017</v>
      </c>
      <c r="G191" s="11">
        <v>399.51</v>
      </c>
    </row>
    <row r="192" spans="1:7">
      <c r="A192" s="11" t="s">
        <v>905</v>
      </c>
      <c r="B192" s="11" t="s">
        <v>1782</v>
      </c>
      <c r="C192" s="112" t="s">
        <v>1533</v>
      </c>
      <c r="D192" s="11">
        <v>190</v>
      </c>
      <c r="E192" s="11" t="s">
        <v>1789</v>
      </c>
      <c r="F192" s="11" t="s">
        <v>2018</v>
      </c>
      <c r="G192" s="11">
        <v>399.51</v>
      </c>
    </row>
    <row r="193" spans="1:7">
      <c r="A193" s="11" t="s">
        <v>905</v>
      </c>
      <c r="B193" s="11" t="s">
        <v>1782</v>
      </c>
      <c r="C193" s="112" t="s">
        <v>1533</v>
      </c>
      <c r="D193" s="11">
        <v>190</v>
      </c>
      <c r="E193" s="11" t="s">
        <v>1789</v>
      </c>
      <c r="F193" s="11" t="s">
        <v>2019</v>
      </c>
      <c r="G193" s="11">
        <v>399.51</v>
      </c>
    </row>
    <row r="194" spans="1:7">
      <c r="A194" s="11" t="s">
        <v>1092</v>
      </c>
      <c r="B194" s="11" t="s">
        <v>1782</v>
      </c>
      <c r="C194" s="111" t="s">
        <v>31</v>
      </c>
      <c r="D194" s="11">
        <v>180</v>
      </c>
      <c r="E194" s="11" t="s">
        <v>1783</v>
      </c>
      <c r="F194" s="11" t="s">
        <v>2020</v>
      </c>
      <c r="G194" s="11">
        <v>399.51</v>
      </c>
    </row>
    <row r="195" spans="1:7">
      <c r="A195" s="11" t="s">
        <v>1092</v>
      </c>
      <c r="B195" s="11" t="s">
        <v>1782</v>
      </c>
      <c r="C195" s="111" t="s">
        <v>31</v>
      </c>
      <c r="D195" s="11">
        <v>180</v>
      </c>
      <c r="E195" s="11" t="s">
        <v>1783</v>
      </c>
      <c r="F195" s="11" t="s">
        <v>2021</v>
      </c>
      <c r="G195" s="11">
        <v>399.51</v>
      </c>
    </row>
    <row r="196" spans="1:7">
      <c r="A196" s="11" t="s">
        <v>1092</v>
      </c>
      <c r="B196" s="11" t="s">
        <v>1782</v>
      </c>
      <c r="C196" s="111" t="s">
        <v>31</v>
      </c>
      <c r="D196" s="11">
        <v>180</v>
      </c>
      <c r="E196" s="11" t="s">
        <v>1783</v>
      </c>
      <c r="F196" s="11" t="s">
        <v>2022</v>
      </c>
      <c r="G196" s="11">
        <v>399.51</v>
      </c>
    </row>
    <row r="197" spans="1:7">
      <c r="A197" s="11" t="s">
        <v>1092</v>
      </c>
      <c r="B197" s="11" t="s">
        <v>1782</v>
      </c>
      <c r="C197" s="111" t="s">
        <v>31</v>
      </c>
      <c r="D197" s="11">
        <v>180</v>
      </c>
      <c r="E197" s="11" t="s">
        <v>1923</v>
      </c>
      <c r="F197" s="11" t="s">
        <v>2023</v>
      </c>
      <c r="G197" s="11">
        <v>399.51</v>
      </c>
    </row>
    <row r="198" spans="1:7">
      <c r="A198" s="11" t="s">
        <v>2024</v>
      </c>
      <c r="B198" s="11" t="s">
        <v>1530</v>
      </c>
      <c r="C198" s="99" t="s">
        <v>24</v>
      </c>
      <c r="D198" s="11">
        <v>180</v>
      </c>
      <c r="E198" s="11" t="s">
        <v>1923</v>
      </c>
      <c r="F198" s="11" t="s">
        <v>2025</v>
      </c>
      <c r="G198" s="110">
        <v>737.44</v>
      </c>
    </row>
    <row r="199" spans="1:7">
      <c r="A199" s="11" t="s">
        <v>2024</v>
      </c>
      <c r="B199" s="11" t="s">
        <v>1530</v>
      </c>
      <c r="C199" s="99" t="s">
        <v>24</v>
      </c>
      <c r="D199" s="11">
        <v>180</v>
      </c>
      <c r="E199" s="11" t="s">
        <v>1923</v>
      </c>
      <c r="F199" s="11" t="s">
        <v>2026</v>
      </c>
      <c r="G199" s="110">
        <v>737.44</v>
      </c>
    </row>
    <row r="200" spans="1:7">
      <c r="A200" s="11" t="s">
        <v>2024</v>
      </c>
      <c r="B200" s="11" t="s">
        <v>1530</v>
      </c>
      <c r="C200" s="99" t="s">
        <v>24</v>
      </c>
      <c r="D200" s="11">
        <v>180</v>
      </c>
      <c r="E200" s="11" t="s">
        <v>1923</v>
      </c>
      <c r="F200" s="11" t="s">
        <v>2027</v>
      </c>
      <c r="G200" s="110">
        <v>737.44</v>
      </c>
    </row>
    <row r="201" spans="1:7">
      <c r="A201" s="11" t="s">
        <v>1721</v>
      </c>
      <c r="B201" s="11" t="s">
        <v>1530</v>
      </c>
      <c r="C201" s="99" t="s">
        <v>24</v>
      </c>
      <c r="D201" s="11">
        <v>175</v>
      </c>
      <c r="E201" s="11" t="s">
        <v>1827</v>
      </c>
      <c r="F201" s="11" t="s">
        <v>2028</v>
      </c>
      <c r="G201" s="110">
        <v>737.44</v>
      </c>
    </row>
    <row r="202" spans="1:7">
      <c r="A202" s="11" t="s">
        <v>1721</v>
      </c>
      <c r="B202" s="11" t="s">
        <v>1530</v>
      </c>
      <c r="C202" s="112" t="s">
        <v>1533</v>
      </c>
      <c r="D202" s="11">
        <v>180</v>
      </c>
      <c r="E202" s="11" t="s">
        <v>2029</v>
      </c>
      <c r="F202" s="11" t="s">
        <v>2030</v>
      </c>
      <c r="G202" s="110">
        <v>737.44</v>
      </c>
    </row>
    <row r="203" spans="1:7">
      <c r="A203" s="11" t="s">
        <v>2031</v>
      </c>
      <c r="B203" s="11" t="s">
        <v>1782</v>
      </c>
      <c r="C203" s="111" t="s">
        <v>31</v>
      </c>
      <c r="D203" s="11">
        <v>180</v>
      </c>
      <c r="E203" s="11" t="s">
        <v>1783</v>
      </c>
      <c r="F203" s="11" t="s">
        <v>2032</v>
      </c>
      <c r="G203" s="11">
        <v>399.51</v>
      </c>
    </row>
    <row r="204" spans="1:7">
      <c r="A204" s="11" t="s">
        <v>2031</v>
      </c>
      <c r="B204" s="11" t="s">
        <v>1782</v>
      </c>
      <c r="C204" s="111" t="s">
        <v>31</v>
      </c>
      <c r="D204" s="11">
        <v>180</v>
      </c>
      <c r="E204" s="11" t="s">
        <v>1783</v>
      </c>
      <c r="F204" s="11" t="s">
        <v>2033</v>
      </c>
      <c r="G204" s="11">
        <v>399.51</v>
      </c>
    </row>
    <row r="205" spans="1:7">
      <c r="A205" s="11" t="s">
        <v>1398</v>
      </c>
      <c r="B205" s="11" t="s">
        <v>1530</v>
      </c>
      <c r="C205" s="11" t="s">
        <v>1605</v>
      </c>
      <c r="D205" s="11">
        <v>100</v>
      </c>
      <c r="E205" s="11" t="s">
        <v>1939</v>
      </c>
      <c r="F205" s="11" t="s">
        <v>2034</v>
      </c>
      <c r="G205" s="110">
        <v>737.44</v>
      </c>
    </row>
    <row r="206" spans="1:7">
      <c r="A206" s="11" t="s">
        <v>1398</v>
      </c>
      <c r="B206" s="11" t="s">
        <v>1530</v>
      </c>
      <c r="C206" s="11" t="s">
        <v>1605</v>
      </c>
      <c r="D206" s="11">
        <v>180</v>
      </c>
      <c r="E206" s="11" t="s">
        <v>1797</v>
      </c>
      <c r="F206" s="11" t="s">
        <v>2035</v>
      </c>
      <c r="G206" s="11">
        <v>737.44</v>
      </c>
    </row>
    <row r="207" spans="1:7">
      <c r="A207" s="11" t="s">
        <v>2036</v>
      </c>
      <c r="B207" s="11" t="s">
        <v>1530</v>
      </c>
      <c r="C207" s="99" t="s">
        <v>24</v>
      </c>
      <c r="D207" s="11">
        <v>180</v>
      </c>
      <c r="E207" s="11" t="s">
        <v>1845</v>
      </c>
      <c r="F207" s="11" t="s">
        <v>2037</v>
      </c>
      <c r="G207" s="110">
        <v>737.44</v>
      </c>
    </row>
    <row r="208" spans="1:7">
      <c r="A208" s="11" t="s">
        <v>1750</v>
      </c>
      <c r="B208" s="11" t="s">
        <v>1782</v>
      </c>
      <c r="C208" s="111" t="s">
        <v>31</v>
      </c>
      <c r="D208" s="11">
        <v>180</v>
      </c>
      <c r="E208" s="11" t="s">
        <v>1783</v>
      </c>
      <c r="F208" s="11" t="s">
        <v>2038</v>
      </c>
      <c r="G208" s="11">
        <v>399.51</v>
      </c>
    </row>
    <row r="209" spans="1:7">
      <c r="A209" s="11" t="s">
        <v>1750</v>
      </c>
      <c r="B209" s="11" t="s">
        <v>1782</v>
      </c>
      <c r="C209" s="111" t="s">
        <v>31</v>
      </c>
      <c r="D209" s="11">
        <v>180</v>
      </c>
      <c r="E209" s="11" t="s">
        <v>1783</v>
      </c>
      <c r="F209" s="11" t="s">
        <v>2039</v>
      </c>
      <c r="G209" s="11">
        <v>399.51</v>
      </c>
    </row>
    <row r="210" spans="1:7">
      <c r="A210" s="11" t="s">
        <v>1750</v>
      </c>
      <c r="B210" s="11" t="s">
        <v>1782</v>
      </c>
      <c r="C210" s="111" t="s">
        <v>31</v>
      </c>
      <c r="D210" s="11">
        <v>180</v>
      </c>
      <c r="E210" s="11" t="s">
        <v>1783</v>
      </c>
      <c r="F210" s="11" t="s">
        <v>2040</v>
      </c>
      <c r="G210" s="11">
        <v>399.51</v>
      </c>
    </row>
    <row r="211" spans="1:7">
      <c r="A211" s="11" t="s">
        <v>1750</v>
      </c>
      <c r="B211" s="11" t="s">
        <v>1782</v>
      </c>
      <c r="C211" s="111" t="s">
        <v>31</v>
      </c>
      <c r="D211" s="11">
        <v>180</v>
      </c>
      <c r="E211" s="11" t="s">
        <v>1783</v>
      </c>
      <c r="F211" s="11" t="s">
        <v>2041</v>
      </c>
      <c r="G211" s="11">
        <v>399.51</v>
      </c>
    </row>
    <row r="212" spans="1:7">
      <c r="A212" s="11" t="s">
        <v>1750</v>
      </c>
      <c r="B212" s="11" t="s">
        <v>1782</v>
      </c>
      <c r="C212" s="111" t="s">
        <v>31</v>
      </c>
      <c r="D212" s="11">
        <v>180</v>
      </c>
      <c r="E212" s="11" t="s">
        <v>1783</v>
      </c>
      <c r="F212" s="11" t="s">
        <v>2042</v>
      </c>
      <c r="G212" s="11">
        <v>399.51</v>
      </c>
    </row>
    <row r="213" spans="1:7">
      <c r="A213" s="11" t="s">
        <v>1750</v>
      </c>
      <c r="B213" s="11" t="s">
        <v>1782</v>
      </c>
      <c r="C213" s="111" t="s">
        <v>31</v>
      </c>
      <c r="D213" s="11">
        <v>180</v>
      </c>
      <c r="E213" s="11" t="s">
        <v>1783</v>
      </c>
      <c r="F213" s="11" t="s">
        <v>2043</v>
      </c>
      <c r="G213" s="11">
        <v>399.51</v>
      </c>
    </row>
    <row r="214" spans="1:7">
      <c r="A214" s="11" t="s">
        <v>1115</v>
      </c>
      <c r="B214" s="11" t="s">
        <v>1530</v>
      </c>
      <c r="C214" s="99" t="s">
        <v>24</v>
      </c>
      <c r="D214" s="11">
        <v>180</v>
      </c>
      <c r="E214" s="11" t="s">
        <v>1845</v>
      </c>
      <c r="F214" s="11" t="s">
        <v>2044</v>
      </c>
      <c r="G214" s="110">
        <v>737.44</v>
      </c>
    </row>
    <row r="215" spans="1:7">
      <c r="A215" s="11" t="s">
        <v>1115</v>
      </c>
      <c r="B215" s="11" t="s">
        <v>1530</v>
      </c>
      <c r="C215" s="111" t="s">
        <v>27</v>
      </c>
      <c r="D215" s="11">
        <v>180</v>
      </c>
      <c r="E215" s="11" t="s">
        <v>1845</v>
      </c>
      <c r="F215" s="11" t="s">
        <v>2045</v>
      </c>
      <c r="G215" s="110">
        <v>737.44</v>
      </c>
    </row>
    <row r="216" spans="1:7">
      <c r="A216" s="11" t="s">
        <v>1761</v>
      </c>
      <c r="B216" s="11" t="s">
        <v>1530</v>
      </c>
      <c r="C216" s="111" t="s">
        <v>31</v>
      </c>
      <c r="D216" s="11">
        <v>180</v>
      </c>
      <c r="E216" s="11" t="s">
        <v>1953</v>
      </c>
      <c r="F216" s="11" t="s">
        <v>2046</v>
      </c>
      <c r="G216" s="110">
        <v>737.44</v>
      </c>
    </row>
    <row r="217" spans="1:7">
      <c r="A217" s="11" t="s">
        <v>1761</v>
      </c>
      <c r="B217" s="11" t="s">
        <v>1530</v>
      </c>
      <c r="C217" s="111" t="s">
        <v>31</v>
      </c>
      <c r="D217" s="11">
        <v>180</v>
      </c>
      <c r="E217" s="11" t="s">
        <v>1953</v>
      </c>
      <c r="F217" s="11" t="s">
        <v>2047</v>
      </c>
      <c r="G217" s="110">
        <v>737.44</v>
      </c>
    </row>
    <row r="218" spans="1:7">
      <c r="A218" s="11" t="s">
        <v>1761</v>
      </c>
      <c r="B218" s="11" t="s">
        <v>1530</v>
      </c>
      <c r="C218" s="111" t="s">
        <v>31</v>
      </c>
      <c r="D218" s="11">
        <v>180</v>
      </c>
      <c r="E218" s="11" t="s">
        <v>1953</v>
      </c>
      <c r="F218" s="11" t="s">
        <v>2048</v>
      </c>
      <c r="G218" s="110">
        <v>737.44</v>
      </c>
    </row>
    <row r="219" spans="1:7">
      <c r="A219" s="11" t="s">
        <v>1761</v>
      </c>
      <c r="B219" s="11" t="s">
        <v>1530</v>
      </c>
      <c r="C219" s="111" t="s">
        <v>31</v>
      </c>
      <c r="D219" s="11">
        <v>180</v>
      </c>
      <c r="E219" s="11" t="s">
        <v>1953</v>
      </c>
      <c r="F219" s="11" t="s">
        <v>2049</v>
      </c>
      <c r="G219" s="110">
        <v>737.44</v>
      </c>
    </row>
    <row r="220" spans="1:7">
      <c r="A220" s="99" t="s">
        <v>1696</v>
      </c>
      <c r="B220" s="11" t="s">
        <v>1556</v>
      </c>
      <c r="C220" s="99" t="s">
        <v>29</v>
      </c>
      <c r="D220" s="11">
        <v>170</v>
      </c>
      <c r="E220" s="11" t="s">
        <v>1786</v>
      </c>
      <c r="F220" s="11" t="s">
        <v>2050</v>
      </c>
      <c r="G220" s="11">
        <v>784.49</v>
      </c>
    </row>
    <row r="221" spans="1:7">
      <c r="A221" s="99" t="s">
        <v>1696</v>
      </c>
      <c r="B221" s="11" t="s">
        <v>1556</v>
      </c>
      <c r="C221" s="99" t="s">
        <v>29</v>
      </c>
      <c r="D221" s="11">
        <v>170</v>
      </c>
      <c r="E221" s="11" t="s">
        <v>1786</v>
      </c>
      <c r="F221" s="11" t="s">
        <v>2051</v>
      </c>
      <c r="G221" s="11">
        <v>784.49</v>
      </c>
    </row>
    <row r="222" spans="1:7">
      <c r="A222" s="99" t="s">
        <v>1696</v>
      </c>
      <c r="B222" s="11" t="s">
        <v>1556</v>
      </c>
      <c r="C222" s="111" t="s">
        <v>27</v>
      </c>
      <c r="D222" s="11">
        <v>170</v>
      </c>
      <c r="E222" s="11" t="s">
        <v>1786</v>
      </c>
      <c r="F222" s="11" t="s">
        <v>2052</v>
      </c>
      <c r="G222" s="11">
        <v>784.49</v>
      </c>
    </row>
    <row r="223" spans="1:7">
      <c r="A223" s="11" t="s">
        <v>2053</v>
      </c>
      <c r="B223" s="11" t="s">
        <v>1530</v>
      </c>
      <c r="C223" s="99" t="s">
        <v>24</v>
      </c>
      <c r="D223" s="11">
        <v>180</v>
      </c>
      <c r="E223" s="11" t="s">
        <v>1879</v>
      </c>
      <c r="F223" s="11" t="s">
        <v>2054</v>
      </c>
      <c r="G223" s="110">
        <v>737.44</v>
      </c>
    </row>
    <row r="224" spans="1:7">
      <c r="A224" s="11" t="s">
        <v>2053</v>
      </c>
      <c r="B224" s="11" t="s">
        <v>1530</v>
      </c>
      <c r="C224" s="99" t="s">
        <v>24</v>
      </c>
      <c r="D224" s="11">
        <v>180</v>
      </c>
      <c r="E224" s="11" t="s">
        <v>1879</v>
      </c>
      <c r="F224" s="11" t="s">
        <v>2055</v>
      </c>
      <c r="G224" s="110">
        <v>737.44</v>
      </c>
    </row>
    <row r="225" spans="1:7">
      <c r="A225" s="11" t="s">
        <v>1127</v>
      </c>
      <c r="B225" s="11" t="s">
        <v>1530</v>
      </c>
      <c r="C225" s="112" t="s">
        <v>1533</v>
      </c>
      <c r="D225" s="11">
        <v>190</v>
      </c>
      <c r="E225" s="11" t="s">
        <v>1965</v>
      </c>
      <c r="F225" s="11" t="s">
        <v>2056</v>
      </c>
      <c r="G225" s="110">
        <v>737.44</v>
      </c>
    </row>
    <row r="226" spans="1:7">
      <c r="A226" s="11" t="s">
        <v>1127</v>
      </c>
      <c r="B226" s="11" t="s">
        <v>1530</v>
      </c>
      <c r="C226" s="112" t="s">
        <v>1533</v>
      </c>
      <c r="D226" s="11">
        <v>190</v>
      </c>
      <c r="E226" s="11" t="s">
        <v>1965</v>
      </c>
      <c r="F226" s="11" t="s">
        <v>2057</v>
      </c>
      <c r="G226" s="110">
        <v>737.44</v>
      </c>
    </row>
    <row r="227" spans="1:7">
      <c r="A227" s="11" t="s">
        <v>1127</v>
      </c>
      <c r="B227" s="11" t="s">
        <v>1530</v>
      </c>
      <c r="C227" s="112" t="s">
        <v>1533</v>
      </c>
      <c r="D227" s="11">
        <v>190</v>
      </c>
      <c r="E227" s="11" t="s">
        <v>1965</v>
      </c>
      <c r="F227" s="11" t="s">
        <v>2058</v>
      </c>
      <c r="G227" s="110">
        <v>737.44</v>
      </c>
    </row>
    <row r="228" spans="1:7">
      <c r="A228" s="11" t="s">
        <v>1127</v>
      </c>
      <c r="B228" s="11" t="s">
        <v>1530</v>
      </c>
      <c r="C228" s="112" t="s">
        <v>1533</v>
      </c>
      <c r="D228" s="11">
        <v>190</v>
      </c>
      <c r="E228" s="11" t="s">
        <v>1965</v>
      </c>
      <c r="F228" s="11" t="s">
        <v>2059</v>
      </c>
      <c r="G228" s="110">
        <v>737.44</v>
      </c>
    </row>
    <row r="229" spans="1:7">
      <c r="A229" s="11" t="s">
        <v>2060</v>
      </c>
      <c r="B229" s="11" t="s">
        <v>1782</v>
      </c>
      <c r="C229" s="111" t="s">
        <v>31</v>
      </c>
      <c r="D229" s="11">
        <v>180</v>
      </c>
      <c r="E229" s="11" t="s">
        <v>1789</v>
      </c>
      <c r="F229" s="11" t="s">
        <v>2061</v>
      </c>
      <c r="G229" s="11">
        <v>399.51</v>
      </c>
    </row>
    <row r="230" spans="1:7">
      <c r="A230" s="11" t="s">
        <v>2060</v>
      </c>
      <c r="B230" s="11" t="s">
        <v>1782</v>
      </c>
      <c r="C230" s="111" t="s">
        <v>31</v>
      </c>
      <c r="D230" s="11">
        <v>180</v>
      </c>
      <c r="E230" s="11" t="s">
        <v>1789</v>
      </c>
      <c r="F230" s="11" t="s">
        <v>2062</v>
      </c>
      <c r="G230" s="11">
        <v>399.51</v>
      </c>
    </row>
    <row r="231" spans="1:7">
      <c r="A231" s="11" t="s">
        <v>2060</v>
      </c>
      <c r="B231" s="11" t="s">
        <v>1782</v>
      </c>
      <c r="C231" s="112" t="s">
        <v>1533</v>
      </c>
      <c r="D231" s="11">
        <v>190</v>
      </c>
      <c r="E231" s="11" t="s">
        <v>1789</v>
      </c>
      <c r="F231" s="11" t="s">
        <v>2063</v>
      </c>
      <c r="G231" s="11">
        <v>399.51</v>
      </c>
    </row>
    <row r="232" spans="1:7">
      <c r="A232" s="11" t="s">
        <v>2060</v>
      </c>
      <c r="B232" s="11" t="s">
        <v>1782</v>
      </c>
      <c r="C232" s="112" t="s">
        <v>1533</v>
      </c>
      <c r="D232" s="11">
        <v>190</v>
      </c>
      <c r="E232" s="11" t="s">
        <v>1789</v>
      </c>
      <c r="F232" s="11" t="s">
        <v>2064</v>
      </c>
      <c r="G232" s="11">
        <v>399.51</v>
      </c>
    </row>
    <row r="233" spans="1:7">
      <c r="A233" s="11" t="s">
        <v>2060</v>
      </c>
      <c r="B233" s="11" t="s">
        <v>1782</v>
      </c>
      <c r="C233" s="99" t="s">
        <v>31</v>
      </c>
      <c r="D233" s="11">
        <v>170</v>
      </c>
      <c r="E233" s="11" t="s">
        <v>2065</v>
      </c>
      <c r="F233" s="11" t="s">
        <v>2066</v>
      </c>
      <c r="G233" s="11">
        <v>399.51</v>
      </c>
    </row>
    <row r="234" spans="1:7">
      <c r="A234" s="11" t="s">
        <v>2060</v>
      </c>
      <c r="B234" s="11" t="s">
        <v>1782</v>
      </c>
      <c r="C234" s="99" t="s">
        <v>29</v>
      </c>
      <c r="D234" s="11">
        <v>170</v>
      </c>
      <c r="E234" s="11" t="s">
        <v>2065</v>
      </c>
      <c r="F234" s="11" t="s">
        <v>2067</v>
      </c>
      <c r="G234" s="11">
        <v>399.51</v>
      </c>
    </row>
    <row r="235" spans="1:7">
      <c r="A235" s="11" t="s">
        <v>2068</v>
      </c>
      <c r="B235" s="11" t="s">
        <v>1530</v>
      </c>
      <c r="C235" s="99" t="s">
        <v>24</v>
      </c>
      <c r="D235" s="11">
        <v>180</v>
      </c>
      <c r="E235" s="11" t="s">
        <v>1779</v>
      </c>
      <c r="F235" s="11" t="s">
        <v>2069</v>
      </c>
      <c r="G235" s="110">
        <v>737.44</v>
      </c>
    </row>
    <row r="236" spans="1:7">
      <c r="A236" s="11" t="s">
        <v>2068</v>
      </c>
      <c r="B236" s="11" t="s">
        <v>1530</v>
      </c>
      <c r="C236" s="99" t="s">
        <v>31</v>
      </c>
      <c r="D236" s="11">
        <v>180</v>
      </c>
      <c r="E236" s="11" t="s">
        <v>1779</v>
      </c>
      <c r="F236" s="11" t="s">
        <v>2070</v>
      </c>
      <c r="G236" s="110">
        <v>737.44</v>
      </c>
    </row>
    <row r="237" spans="1:7">
      <c r="A237" s="11" t="s">
        <v>2068</v>
      </c>
      <c r="B237" s="11" t="s">
        <v>1782</v>
      </c>
      <c r="C237" s="111" t="s">
        <v>31</v>
      </c>
      <c r="D237" s="11">
        <v>180</v>
      </c>
      <c r="E237" s="11" t="s">
        <v>1789</v>
      </c>
      <c r="F237" s="11" t="s">
        <v>2071</v>
      </c>
      <c r="G237" s="11">
        <v>399.51</v>
      </c>
    </row>
    <row r="238" spans="1:7">
      <c r="A238" s="11" t="s">
        <v>2068</v>
      </c>
      <c r="B238" s="11" t="s">
        <v>1782</v>
      </c>
      <c r="C238" s="111" t="s">
        <v>31</v>
      </c>
      <c r="D238" s="11">
        <v>180</v>
      </c>
      <c r="E238" s="11" t="s">
        <v>1789</v>
      </c>
      <c r="F238" s="11" t="s">
        <v>2072</v>
      </c>
      <c r="G238" s="11">
        <v>399.51</v>
      </c>
    </row>
    <row r="239" spans="1:7">
      <c r="A239" s="11" t="s">
        <v>2068</v>
      </c>
      <c r="B239" s="11" t="s">
        <v>1782</v>
      </c>
      <c r="C239" s="111" t="s">
        <v>31</v>
      </c>
      <c r="D239" s="11">
        <v>180</v>
      </c>
      <c r="E239" s="11" t="s">
        <v>1789</v>
      </c>
      <c r="F239" s="11" t="s">
        <v>2073</v>
      </c>
      <c r="G239" s="11">
        <v>399.51</v>
      </c>
    </row>
    <row r="240" spans="1:7">
      <c r="A240" s="11" t="s">
        <v>2068</v>
      </c>
      <c r="B240" s="11" t="s">
        <v>1782</v>
      </c>
      <c r="C240" s="112" t="s">
        <v>1533</v>
      </c>
      <c r="D240" s="11">
        <v>190</v>
      </c>
      <c r="E240" s="11" t="s">
        <v>1789</v>
      </c>
      <c r="F240" s="11" t="s">
        <v>2074</v>
      </c>
      <c r="G240" s="11">
        <v>399.51</v>
      </c>
    </row>
    <row r="241" spans="1:7">
      <c r="A241" s="11" t="s">
        <v>2075</v>
      </c>
      <c r="B241" s="11" t="s">
        <v>1782</v>
      </c>
      <c r="C241" s="111" t="s">
        <v>31</v>
      </c>
      <c r="D241" s="11">
        <v>170</v>
      </c>
      <c r="E241" s="11" t="s">
        <v>1977</v>
      </c>
      <c r="F241" s="11" t="s">
        <v>2076</v>
      </c>
      <c r="G241" s="11">
        <v>399.51</v>
      </c>
    </row>
    <row r="242" spans="1:7">
      <c r="A242" s="11" t="s">
        <v>1134</v>
      </c>
      <c r="B242" s="11" t="s">
        <v>1530</v>
      </c>
      <c r="C242" s="99" t="s">
        <v>24</v>
      </c>
      <c r="D242" s="11">
        <v>180</v>
      </c>
      <c r="E242" s="11" t="s">
        <v>1923</v>
      </c>
      <c r="F242" s="11" t="s">
        <v>2077</v>
      </c>
      <c r="G242" s="110">
        <v>737.44</v>
      </c>
    </row>
    <row r="243" spans="1:7">
      <c r="A243" s="11" t="s">
        <v>1134</v>
      </c>
      <c r="B243" s="11" t="s">
        <v>1782</v>
      </c>
      <c r="C243" s="111" t="s">
        <v>31</v>
      </c>
      <c r="D243" s="11">
        <v>180</v>
      </c>
      <c r="E243" s="11" t="s">
        <v>1783</v>
      </c>
      <c r="F243" s="11" t="s">
        <v>2078</v>
      </c>
      <c r="G243" s="11">
        <v>399.51</v>
      </c>
    </row>
    <row r="244" spans="1:7">
      <c r="A244" s="11" t="s">
        <v>1134</v>
      </c>
      <c r="B244" s="11" t="s">
        <v>1782</v>
      </c>
      <c r="C244" s="111" t="s">
        <v>31</v>
      </c>
      <c r="D244" s="11">
        <v>180</v>
      </c>
      <c r="E244" s="11" t="s">
        <v>1783</v>
      </c>
      <c r="F244" s="11" t="s">
        <v>2079</v>
      </c>
      <c r="G244" s="11">
        <v>399.51</v>
      </c>
    </row>
    <row r="245" spans="1:7">
      <c r="A245" s="11" t="s">
        <v>1134</v>
      </c>
      <c r="B245" s="11" t="s">
        <v>1782</v>
      </c>
      <c r="C245" s="111" t="s">
        <v>31</v>
      </c>
      <c r="D245" s="11">
        <v>180</v>
      </c>
      <c r="E245" s="11" t="s">
        <v>1783</v>
      </c>
      <c r="F245" s="11" t="s">
        <v>2080</v>
      </c>
      <c r="G245" s="11">
        <v>399.51</v>
      </c>
    </row>
    <row r="246" spans="1:7">
      <c r="A246" s="11" t="s">
        <v>1134</v>
      </c>
      <c r="B246" s="11" t="s">
        <v>1782</v>
      </c>
      <c r="C246" s="111" t="s">
        <v>31</v>
      </c>
      <c r="D246" s="11">
        <v>180</v>
      </c>
      <c r="E246" s="11" t="s">
        <v>1783</v>
      </c>
      <c r="F246" s="11" t="s">
        <v>2081</v>
      </c>
      <c r="G246" s="11">
        <v>399.51</v>
      </c>
    </row>
    <row r="247" spans="1:7">
      <c r="A247" s="11" t="s">
        <v>1134</v>
      </c>
      <c r="B247" s="11" t="s">
        <v>1782</v>
      </c>
      <c r="C247" s="111" t="s">
        <v>31</v>
      </c>
      <c r="D247" s="11">
        <v>180</v>
      </c>
      <c r="E247" s="11" t="s">
        <v>1783</v>
      </c>
      <c r="F247" s="11" t="s">
        <v>2082</v>
      </c>
      <c r="G247" s="11">
        <v>399.51</v>
      </c>
    </row>
    <row r="248" spans="1:7">
      <c r="A248" s="11" t="s">
        <v>1762</v>
      </c>
      <c r="B248" s="11" t="s">
        <v>1530</v>
      </c>
      <c r="C248" s="99" t="s">
        <v>24</v>
      </c>
      <c r="D248" s="11">
        <v>180</v>
      </c>
      <c r="E248" s="11" t="s">
        <v>1939</v>
      </c>
      <c r="F248" s="11" t="s">
        <v>2083</v>
      </c>
      <c r="G248" s="110">
        <v>737.44</v>
      </c>
    </row>
    <row r="249" spans="1:7">
      <c r="A249" s="11" t="s">
        <v>1762</v>
      </c>
      <c r="B249" s="11" t="s">
        <v>1530</v>
      </c>
      <c r="C249" s="99" t="s">
        <v>24</v>
      </c>
      <c r="D249" s="11">
        <v>180</v>
      </c>
      <c r="E249" s="11" t="s">
        <v>1939</v>
      </c>
      <c r="F249" s="11" t="s">
        <v>2084</v>
      </c>
      <c r="G249" s="110">
        <v>737.44</v>
      </c>
    </row>
    <row r="250" spans="1:7">
      <c r="A250" s="11" t="s">
        <v>1762</v>
      </c>
      <c r="B250" s="11" t="s">
        <v>1530</v>
      </c>
      <c r="C250" s="99" t="s">
        <v>24</v>
      </c>
      <c r="D250" s="11">
        <v>180</v>
      </c>
      <c r="E250" s="11" t="s">
        <v>2085</v>
      </c>
      <c r="F250" s="11" t="s">
        <v>2086</v>
      </c>
      <c r="G250" s="110">
        <v>737.44</v>
      </c>
    </row>
    <row r="251" spans="1:7">
      <c r="A251" s="11" t="s">
        <v>1762</v>
      </c>
      <c r="B251" s="11" t="s">
        <v>1530</v>
      </c>
      <c r="C251" s="111" t="s">
        <v>27</v>
      </c>
      <c r="D251" s="11">
        <v>180</v>
      </c>
      <c r="E251" s="11" t="s">
        <v>2085</v>
      </c>
      <c r="F251" s="11" t="s">
        <v>2087</v>
      </c>
      <c r="G251" s="110">
        <v>737.44</v>
      </c>
    </row>
    <row r="252" spans="1:7">
      <c r="A252" s="11" t="s">
        <v>1762</v>
      </c>
      <c r="B252" s="11" t="s">
        <v>1530</v>
      </c>
      <c r="C252" s="111" t="s">
        <v>27</v>
      </c>
      <c r="D252" s="11">
        <v>180</v>
      </c>
      <c r="E252" s="11" t="s">
        <v>2085</v>
      </c>
      <c r="F252" s="11" t="s">
        <v>2088</v>
      </c>
      <c r="G252" s="110">
        <v>737.44</v>
      </c>
    </row>
    <row r="253" spans="1:7">
      <c r="A253" s="11" t="s">
        <v>1762</v>
      </c>
      <c r="B253" s="11" t="s">
        <v>1782</v>
      </c>
      <c r="C253" s="112" t="s">
        <v>1533</v>
      </c>
      <c r="D253" s="11">
        <v>190</v>
      </c>
      <c r="E253" s="11" t="s">
        <v>1789</v>
      </c>
      <c r="F253" s="11" t="s">
        <v>2089</v>
      </c>
      <c r="G253" s="11">
        <v>399.51</v>
      </c>
    </row>
    <row r="254" spans="1:7">
      <c r="A254" s="11" t="s">
        <v>1762</v>
      </c>
      <c r="B254" s="11" t="s">
        <v>1782</v>
      </c>
      <c r="C254" s="112" t="s">
        <v>1533</v>
      </c>
      <c r="D254" s="11">
        <v>190</v>
      </c>
      <c r="E254" s="11" t="s">
        <v>1789</v>
      </c>
      <c r="F254" s="11" t="s">
        <v>2090</v>
      </c>
      <c r="G254" s="11">
        <v>399.51</v>
      </c>
    </row>
    <row r="255" spans="1:7">
      <c r="A255" s="11" t="s">
        <v>2091</v>
      </c>
      <c r="B255" s="11" t="s">
        <v>1556</v>
      </c>
      <c r="C255" s="99" t="s">
        <v>29</v>
      </c>
      <c r="D255" s="11">
        <v>170</v>
      </c>
      <c r="E255" s="11" t="s">
        <v>1786</v>
      </c>
      <c r="F255" s="11" t="s">
        <v>2092</v>
      </c>
      <c r="G255" s="11">
        <v>784.49</v>
      </c>
    </row>
    <row r="256" spans="1:7">
      <c r="A256" s="11" t="s">
        <v>2091</v>
      </c>
      <c r="B256" s="11" t="s">
        <v>1556</v>
      </c>
      <c r="C256" s="99" t="s">
        <v>29</v>
      </c>
      <c r="D256" s="11">
        <v>170</v>
      </c>
      <c r="E256" s="11" t="s">
        <v>1786</v>
      </c>
      <c r="F256" s="11" t="s">
        <v>2093</v>
      </c>
      <c r="G256" s="11">
        <v>784.49</v>
      </c>
    </row>
    <row r="257" spans="1:7">
      <c r="A257" s="11" t="s">
        <v>2094</v>
      </c>
      <c r="B257" s="11" t="s">
        <v>1530</v>
      </c>
      <c r="C257" s="111" t="s">
        <v>31</v>
      </c>
      <c r="D257" s="11">
        <v>180</v>
      </c>
      <c r="E257" s="11" t="s">
        <v>1821</v>
      </c>
      <c r="F257" s="11" t="s">
        <v>2095</v>
      </c>
      <c r="G257" s="110">
        <v>737.44</v>
      </c>
    </row>
    <row r="258" spans="1:7">
      <c r="A258" s="11" t="s">
        <v>1751</v>
      </c>
      <c r="B258" s="11" t="s">
        <v>1530</v>
      </c>
      <c r="C258" s="99" t="s">
        <v>24</v>
      </c>
      <c r="D258" s="11">
        <v>180</v>
      </c>
      <c r="E258" s="11" t="s">
        <v>1923</v>
      </c>
      <c r="F258" s="11" t="s">
        <v>2096</v>
      </c>
      <c r="G258" s="110">
        <v>737.44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202"/>
  <sheetViews>
    <sheetView tabSelected="1" workbookViewId="0">
      <selection activeCell="J15" sqref="J15"/>
    </sheetView>
  </sheetViews>
  <sheetFormatPr defaultRowHeight="15"/>
  <cols>
    <col min="1" max="1" width="11.42578125" bestFit="1" customWidth="1"/>
    <col min="2" max="2" width="16" customWidth="1"/>
    <col min="3" max="3" width="12.5703125" bestFit="1" customWidth="1"/>
    <col min="5" max="5" width="15.42578125" customWidth="1"/>
    <col min="6" max="6" width="10.7109375" customWidth="1"/>
    <col min="12" max="12" width="8.85546875" style="156"/>
    <col min="14" max="14" width="10.28515625" style="184" bestFit="1" customWidth="1"/>
  </cols>
  <sheetData>
    <row r="1" spans="1:14" ht="98.25">
      <c r="A1" s="13" t="s">
        <v>0</v>
      </c>
      <c r="B1" s="13" t="s">
        <v>2</v>
      </c>
      <c r="C1" s="13" t="s">
        <v>4</v>
      </c>
      <c r="D1" s="14" t="s">
        <v>5</v>
      </c>
      <c r="E1" s="14" t="s">
        <v>2100</v>
      </c>
      <c r="F1" s="117" t="s">
        <v>2099</v>
      </c>
      <c r="G1" s="167" t="s">
        <v>2103</v>
      </c>
      <c r="L1"/>
      <c r="N1" s="183"/>
    </row>
    <row r="2" spans="1:14" ht="15.75">
      <c r="A2" s="15" t="s">
        <v>20</v>
      </c>
      <c r="B2" s="3" t="s">
        <v>22</v>
      </c>
      <c r="C2" s="23" t="s">
        <v>24</v>
      </c>
      <c r="D2" s="16" t="s">
        <v>25</v>
      </c>
      <c r="E2" s="16" t="s">
        <v>2102</v>
      </c>
      <c r="F2" s="178">
        <v>84</v>
      </c>
      <c r="G2" s="11">
        <f>F2*45</f>
        <v>3780</v>
      </c>
      <c r="L2"/>
    </row>
    <row r="3" spans="1:14" ht="15.75">
      <c r="A3" s="15" t="s">
        <v>20</v>
      </c>
      <c r="B3" s="3" t="s">
        <v>22</v>
      </c>
      <c r="C3" s="23" t="s">
        <v>27</v>
      </c>
      <c r="D3" s="16" t="s">
        <v>28</v>
      </c>
      <c r="E3" s="16" t="s">
        <v>2102</v>
      </c>
      <c r="F3" s="157">
        <v>42</v>
      </c>
      <c r="G3" s="11">
        <f>F3*34</f>
        <v>1428</v>
      </c>
      <c r="L3"/>
    </row>
    <row r="4" spans="1:14" ht="15.75">
      <c r="A4" s="15" t="s">
        <v>20</v>
      </c>
      <c r="B4" s="3" t="s">
        <v>22</v>
      </c>
      <c r="C4" s="23" t="s">
        <v>29</v>
      </c>
      <c r="D4" s="16" t="s">
        <v>30</v>
      </c>
      <c r="E4" s="16" t="s">
        <v>2102</v>
      </c>
      <c r="F4" s="157">
        <v>31</v>
      </c>
      <c r="G4" s="11">
        <f>F4*21</f>
        <v>651</v>
      </c>
      <c r="L4"/>
    </row>
    <row r="5" spans="1:14" ht="15.75">
      <c r="A5" s="15" t="s">
        <v>20</v>
      </c>
      <c r="B5" s="3" t="s">
        <v>22</v>
      </c>
      <c r="C5" s="23" t="s">
        <v>31</v>
      </c>
      <c r="D5" s="16" t="s">
        <v>32</v>
      </c>
      <c r="E5" s="16" t="s">
        <v>2102</v>
      </c>
      <c r="F5" s="157">
        <v>13</v>
      </c>
      <c r="G5" s="11">
        <f>F5*5</f>
        <v>65</v>
      </c>
      <c r="L5"/>
    </row>
    <row r="6" spans="1:14" ht="15.75">
      <c r="A6" s="15" t="s">
        <v>20</v>
      </c>
      <c r="B6" s="3" t="s">
        <v>22</v>
      </c>
      <c r="C6" s="23" t="s">
        <v>24</v>
      </c>
      <c r="D6" s="16" t="s">
        <v>34</v>
      </c>
      <c r="E6" s="16" t="s">
        <v>2102</v>
      </c>
      <c r="F6" s="158" t="s">
        <v>26</v>
      </c>
      <c r="G6" s="11">
        <f>F6*45</f>
        <v>0</v>
      </c>
      <c r="L6"/>
    </row>
    <row r="7" spans="1:14" ht="15.75">
      <c r="A7" s="15" t="s">
        <v>20</v>
      </c>
      <c r="B7" s="3" t="s">
        <v>22</v>
      </c>
      <c r="C7" s="23" t="s">
        <v>27</v>
      </c>
      <c r="D7" s="16" t="s">
        <v>35</v>
      </c>
      <c r="E7" s="16" t="s">
        <v>2102</v>
      </c>
      <c r="F7" s="158" t="s">
        <v>26</v>
      </c>
      <c r="G7" s="11">
        <f>F7*34</f>
        <v>0</v>
      </c>
      <c r="L7"/>
    </row>
    <row r="8" spans="1:14" ht="15.75">
      <c r="A8" s="15" t="s">
        <v>20</v>
      </c>
      <c r="B8" s="3" t="s">
        <v>22</v>
      </c>
      <c r="C8" s="23" t="s">
        <v>29</v>
      </c>
      <c r="D8" s="16" t="s">
        <v>36</v>
      </c>
      <c r="E8" s="16" t="s">
        <v>2102</v>
      </c>
      <c r="F8" s="158" t="s">
        <v>26</v>
      </c>
      <c r="G8" s="11">
        <f>F8*21</f>
        <v>0</v>
      </c>
      <c r="L8"/>
    </row>
    <row r="9" spans="1:14" ht="15.75">
      <c r="A9" s="15" t="s">
        <v>20</v>
      </c>
      <c r="B9" s="3" t="s">
        <v>22</v>
      </c>
      <c r="C9" s="23" t="s">
        <v>31</v>
      </c>
      <c r="D9" s="16" t="s">
        <v>37</v>
      </c>
      <c r="E9" s="16" t="s">
        <v>2102</v>
      </c>
      <c r="F9" s="158" t="s">
        <v>26</v>
      </c>
      <c r="G9" s="11">
        <f>F9*5</f>
        <v>0</v>
      </c>
      <c r="L9"/>
    </row>
    <row r="10" spans="1:14" ht="15.75">
      <c r="A10" s="15" t="s">
        <v>38</v>
      </c>
      <c r="B10" s="3" t="s">
        <v>22</v>
      </c>
      <c r="C10" s="23" t="s">
        <v>24</v>
      </c>
      <c r="D10" s="16" t="s">
        <v>40</v>
      </c>
      <c r="E10" s="16" t="s">
        <v>2102</v>
      </c>
      <c r="F10" s="157">
        <v>49</v>
      </c>
      <c r="G10" s="11">
        <f>F10*45</f>
        <v>2205</v>
      </c>
      <c r="L10"/>
    </row>
    <row r="11" spans="1:14" ht="15.75">
      <c r="A11" s="15" t="s">
        <v>38</v>
      </c>
      <c r="B11" s="3" t="s">
        <v>22</v>
      </c>
      <c r="C11" s="23" t="s">
        <v>27</v>
      </c>
      <c r="D11" s="16" t="s">
        <v>41</v>
      </c>
      <c r="E11" s="16" t="s">
        <v>2102</v>
      </c>
      <c r="F11" s="157">
        <v>21</v>
      </c>
      <c r="G11" s="11">
        <f>F11*34</f>
        <v>714</v>
      </c>
      <c r="L11"/>
    </row>
    <row r="12" spans="1:14" ht="15.75">
      <c r="A12" s="15" t="s">
        <v>38</v>
      </c>
      <c r="B12" s="3" t="s">
        <v>22</v>
      </c>
      <c r="C12" s="23" t="s">
        <v>29</v>
      </c>
      <c r="D12" s="16" t="s">
        <v>1234</v>
      </c>
      <c r="E12" s="16" t="s">
        <v>2102</v>
      </c>
      <c r="F12" s="157">
        <v>54</v>
      </c>
      <c r="G12" s="11">
        <f>F12*21</f>
        <v>1134</v>
      </c>
      <c r="L12"/>
    </row>
    <row r="13" spans="1:14" ht="15.75">
      <c r="A13" s="15" t="s">
        <v>38</v>
      </c>
      <c r="B13" s="3" t="s">
        <v>22</v>
      </c>
      <c r="C13" s="23" t="s">
        <v>31</v>
      </c>
      <c r="D13" s="16" t="s">
        <v>42</v>
      </c>
      <c r="E13" s="16" t="s">
        <v>2102</v>
      </c>
      <c r="F13" s="157">
        <v>44</v>
      </c>
      <c r="G13" s="11">
        <f>F13*5</f>
        <v>220</v>
      </c>
      <c r="L13"/>
    </row>
    <row r="14" spans="1:14" ht="15.75">
      <c r="A14" s="15" t="s">
        <v>38</v>
      </c>
      <c r="B14" s="3" t="s">
        <v>22</v>
      </c>
      <c r="C14" s="23" t="s">
        <v>24</v>
      </c>
      <c r="D14" s="16" t="s">
        <v>43</v>
      </c>
      <c r="E14" s="16" t="s">
        <v>2102</v>
      </c>
      <c r="F14" s="158" t="s">
        <v>26</v>
      </c>
      <c r="G14" s="11">
        <f>F14*45</f>
        <v>0</v>
      </c>
      <c r="L14"/>
    </row>
    <row r="15" spans="1:14" ht="15.75">
      <c r="A15" s="15" t="s">
        <v>38</v>
      </c>
      <c r="B15" s="3" t="s">
        <v>22</v>
      </c>
      <c r="C15" s="23" t="s">
        <v>27</v>
      </c>
      <c r="D15" s="16" t="s">
        <v>44</v>
      </c>
      <c r="E15" s="16" t="s">
        <v>2102</v>
      </c>
      <c r="F15" s="158" t="s">
        <v>26</v>
      </c>
      <c r="G15" s="11">
        <f>F15*34</f>
        <v>0</v>
      </c>
      <c r="L15"/>
    </row>
    <row r="16" spans="1:14" ht="15.75">
      <c r="A16" s="15" t="s">
        <v>38</v>
      </c>
      <c r="B16" s="3" t="s">
        <v>22</v>
      </c>
      <c r="C16" s="23" t="s">
        <v>29</v>
      </c>
      <c r="D16" s="16" t="s">
        <v>1196</v>
      </c>
      <c r="E16" s="16" t="s">
        <v>2102</v>
      </c>
      <c r="F16" s="158" t="s">
        <v>26</v>
      </c>
      <c r="G16" s="11">
        <f>F16*21</f>
        <v>0</v>
      </c>
      <c r="L16"/>
    </row>
    <row r="17" spans="1:12" ht="15.75">
      <c r="A17" s="15" t="s">
        <v>38</v>
      </c>
      <c r="B17" s="3" t="s">
        <v>22</v>
      </c>
      <c r="C17" s="23" t="s">
        <v>31</v>
      </c>
      <c r="D17" s="16" t="s">
        <v>45</v>
      </c>
      <c r="E17" s="16" t="s">
        <v>2102</v>
      </c>
      <c r="F17" s="158" t="s">
        <v>26</v>
      </c>
      <c r="G17" s="11">
        <f>F17*5</f>
        <v>0</v>
      </c>
      <c r="L17"/>
    </row>
    <row r="18" spans="1:12" ht="15.75">
      <c r="A18" s="15" t="s">
        <v>46</v>
      </c>
      <c r="B18" s="3" t="s">
        <v>22</v>
      </c>
      <c r="C18" s="23" t="s">
        <v>24</v>
      </c>
      <c r="D18" s="16" t="s">
        <v>48</v>
      </c>
      <c r="E18" s="16" t="s">
        <v>2102</v>
      </c>
      <c r="F18" s="157">
        <v>75</v>
      </c>
      <c r="G18" s="11">
        <f>F18*45</f>
        <v>3375</v>
      </c>
      <c r="L18"/>
    </row>
    <row r="19" spans="1:12" ht="15.75">
      <c r="A19" s="15" t="s">
        <v>46</v>
      </c>
      <c r="B19" s="3" t="s">
        <v>22</v>
      </c>
      <c r="C19" s="23" t="s">
        <v>27</v>
      </c>
      <c r="D19" s="16" t="s">
        <v>49</v>
      </c>
      <c r="E19" s="16" t="s">
        <v>2102</v>
      </c>
      <c r="F19" s="157">
        <v>24</v>
      </c>
      <c r="G19" s="11">
        <f>F19*34</f>
        <v>816</v>
      </c>
      <c r="L19"/>
    </row>
    <row r="20" spans="1:12" ht="15.75">
      <c r="A20" s="15" t="s">
        <v>46</v>
      </c>
      <c r="B20" s="3" t="s">
        <v>22</v>
      </c>
      <c r="C20" s="23" t="s">
        <v>29</v>
      </c>
      <c r="D20" s="16" t="s">
        <v>50</v>
      </c>
      <c r="E20" s="16" t="s">
        <v>2102</v>
      </c>
      <c r="F20" s="157">
        <v>49</v>
      </c>
      <c r="G20" s="11">
        <f>F20*21</f>
        <v>1029</v>
      </c>
      <c r="L20"/>
    </row>
    <row r="21" spans="1:12" ht="15.75">
      <c r="A21" s="15" t="s">
        <v>46</v>
      </c>
      <c r="B21" s="3" t="s">
        <v>22</v>
      </c>
      <c r="C21" s="23" t="s">
        <v>31</v>
      </c>
      <c r="D21" s="16" t="s">
        <v>51</v>
      </c>
      <c r="E21" s="16" t="s">
        <v>2102</v>
      </c>
      <c r="F21" s="157">
        <v>12</v>
      </c>
      <c r="G21" s="11">
        <f>F21*5</f>
        <v>60</v>
      </c>
      <c r="L21"/>
    </row>
    <row r="22" spans="1:12" ht="15.75">
      <c r="A22" s="15" t="s">
        <v>52</v>
      </c>
      <c r="B22" s="3" t="s">
        <v>22</v>
      </c>
      <c r="C22" s="23" t="s">
        <v>27</v>
      </c>
      <c r="D22" s="16" t="s">
        <v>55</v>
      </c>
      <c r="E22" s="16" t="s">
        <v>2102</v>
      </c>
      <c r="F22" s="157">
        <v>241</v>
      </c>
      <c r="G22" s="11">
        <f>F22*34</f>
        <v>8194</v>
      </c>
      <c r="L22"/>
    </row>
    <row r="23" spans="1:12" ht="15.75">
      <c r="A23" s="15" t="s">
        <v>52</v>
      </c>
      <c r="B23" s="3" t="s">
        <v>22</v>
      </c>
      <c r="C23" s="23" t="s">
        <v>29</v>
      </c>
      <c r="D23" s="16" t="s">
        <v>56</v>
      </c>
      <c r="E23" s="16" t="s">
        <v>2102</v>
      </c>
      <c r="F23" s="157">
        <v>258</v>
      </c>
      <c r="G23" s="11">
        <f>F23*21</f>
        <v>5418</v>
      </c>
      <c r="L23"/>
    </row>
    <row r="24" spans="1:12" ht="15.75">
      <c r="A24" s="15" t="s">
        <v>52</v>
      </c>
      <c r="B24" s="3" t="s">
        <v>22</v>
      </c>
      <c r="C24" s="23" t="s">
        <v>31</v>
      </c>
      <c r="D24" s="16" t="s">
        <v>57</v>
      </c>
      <c r="E24" s="16" t="s">
        <v>2102</v>
      </c>
      <c r="F24" s="157">
        <v>100</v>
      </c>
      <c r="G24" s="11">
        <f>F24*5</f>
        <v>500</v>
      </c>
      <c r="L24"/>
    </row>
    <row r="25" spans="1:12" ht="15.75">
      <c r="A25" s="15" t="s">
        <v>58</v>
      </c>
      <c r="B25" s="3" t="s">
        <v>22</v>
      </c>
      <c r="C25" s="23" t="s">
        <v>27</v>
      </c>
      <c r="D25" s="16" t="s">
        <v>60</v>
      </c>
      <c r="E25" s="16" t="s">
        <v>2102</v>
      </c>
      <c r="F25" s="158" t="s">
        <v>26</v>
      </c>
      <c r="G25" s="11">
        <f>F25*34</f>
        <v>0</v>
      </c>
      <c r="L25"/>
    </row>
    <row r="26" spans="1:12" ht="15.75">
      <c r="A26" s="15" t="s">
        <v>58</v>
      </c>
      <c r="B26" s="3" t="s">
        <v>22</v>
      </c>
      <c r="C26" s="23" t="s">
        <v>29</v>
      </c>
      <c r="D26" s="16" t="s">
        <v>61</v>
      </c>
      <c r="E26" s="16" t="s">
        <v>2102</v>
      </c>
      <c r="F26" s="158" t="s">
        <v>26</v>
      </c>
      <c r="G26" s="11">
        <f>F26*21</f>
        <v>0</v>
      </c>
      <c r="L26"/>
    </row>
    <row r="27" spans="1:12" ht="15.75">
      <c r="A27" s="15" t="s">
        <v>58</v>
      </c>
      <c r="B27" s="3" t="s">
        <v>22</v>
      </c>
      <c r="C27" s="23" t="s">
        <v>31</v>
      </c>
      <c r="D27" s="16" t="s">
        <v>62</v>
      </c>
      <c r="E27" s="16" t="s">
        <v>2102</v>
      </c>
      <c r="F27" s="158" t="s">
        <v>26</v>
      </c>
      <c r="G27" s="11">
        <f>F27*5</f>
        <v>0</v>
      </c>
      <c r="L27"/>
    </row>
    <row r="28" spans="1:12" ht="15.75">
      <c r="A28" s="15" t="s">
        <v>58</v>
      </c>
      <c r="B28" s="3" t="s">
        <v>22</v>
      </c>
      <c r="C28" s="23" t="s">
        <v>24</v>
      </c>
      <c r="D28" s="16" t="s">
        <v>64</v>
      </c>
      <c r="E28" s="16" t="s">
        <v>2102</v>
      </c>
      <c r="F28" s="158" t="s">
        <v>26</v>
      </c>
      <c r="G28" s="11">
        <f>F28*45</f>
        <v>0</v>
      </c>
      <c r="L28"/>
    </row>
    <row r="29" spans="1:12" ht="15.75">
      <c r="A29" s="15" t="s">
        <v>58</v>
      </c>
      <c r="B29" s="3" t="s">
        <v>22</v>
      </c>
      <c r="C29" s="23" t="s">
        <v>27</v>
      </c>
      <c r="D29" s="16" t="s">
        <v>65</v>
      </c>
      <c r="E29" s="16" t="s">
        <v>2102</v>
      </c>
      <c r="F29" s="158" t="s">
        <v>26</v>
      </c>
      <c r="G29" s="11">
        <f>F29*34</f>
        <v>0</v>
      </c>
      <c r="L29"/>
    </row>
    <row r="30" spans="1:12" ht="15.75">
      <c r="A30" s="15" t="s">
        <v>58</v>
      </c>
      <c r="B30" s="3" t="s">
        <v>22</v>
      </c>
      <c r="C30" s="23" t="s">
        <v>29</v>
      </c>
      <c r="D30" s="16" t="s">
        <v>66</v>
      </c>
      <c r="E30" s="16" t="s">
        <v>2102</v>
      </c>
      <c r="F30" s="158" t="s">
        <v>26</v>
      </c>
      <c r="G30" s="11">
        <f>F30*21</f>
        <v>0</v>
      </c>
      <c r="L30"/>
    </row>
    <row r="31" spans="1:12" ht="15.75">
      <c r="A31" s="15" t="s">
        <v>58</v>
      </c>
      <c r="B31" s="3" t="s">
        <v>22</v>
      </c>
      <c r="C31" s="23" t="s">
        <v>31</v>
      </c>
      <c r="D31" s="16" t="s">
        <v>67</v>
      </c>
      <c r="E31" s="16" t="s">
        <v>2102</v>
      </c>
      <c r="F31" s="158" t="s">
        <v>26</v>
      </c>
      <c r="G31" s="11">
        <f>F31*5</f>
        <v>0</v>
      </c>
      <c r="L31"/>
    </row>
    <row r="32" spans="1:12" ht="15.75">
      <c r="A32" s="15" t="s">
        <v>58</v>
      </c>
      <c r="B32" s="3" t="s">
        <v>22</v>
      </c>
      <c r="C32" s="23" t="s">
        <v>24</v>
      </c>
      <c r="D32" s="16" t="s">
        <v>69</v>
      </c>
      <c r="E32" s="16" t="s">
        <v>2102</v>
      </c>
      <c r="F32" s="157">
        <v>417</v>
      </c>
      <c r="G32" s="11">
        <f>F32*45</f>
        <v>18765</v>
      </c>
      <c r="L32"/>
    </row>
    <row r="33" spans="1:12" ht="15.75">
      <c r="A33" s="15" t="s">
        <v>58</v>
      </c>
      <c r="B33" s="3" t="s">
        <v>22</v>
      </c>
      <c r="C33" s="23" t="s">
        <v>27</v>
      </c>
      <c r="D33" s="16" t="s">
        <v>70</v>
      </c>
      <c r="E33" s="16" t="s">
        <v>2102</v>
      </c>
      <c r="F33" s="157">
        <v>436</v>
      </c>
      <c r="G33" s="11">
        <f>F33*34</f>
        <v>14824</v>
      </c>
      <c r="L33"/>
    </row>
    <row r="34" spans="1:12" ht="15.75">
      <c r="A34" s="15" t="s">
        <v>58</v>
      </c>
      <c r="B34" s="3" t="s">
        <v>22</v>
      </c>
      <c r="C34" s="23" t="s">
        <v>71</v>
      </c>
      <c r="D34" s="16" t="s">
        <v>72</v>
      </c>
      <c r="E34" s="16" t="s">
        <v>2102</v>
      </c>
      <c r="F34" s="157">
        <v>108</v>
      </c>
      <c r="G34" s="11">
        <f>F34*40</f>
        <v>4320</v>
      </c>
      <c r="L34"/>
    </row>
    <row r="35" spans="1:12" ht="15.75">
      <c r="A35" s="15" t="s">
        <v>58</v>
      </c>
      <c r="B35" s="3" t="s">
        <v>22</v>
      </c>
      <c r="C35" s="23" t="s">
        <v>29</v>
      </c>
      <c r="D35" s="16" t="s">
        <v>73</v>
      </c>
      <c r="E35" s="16" t="s">
        <v>2102</v>
      </c>
      <c r="F35" s="157">
        <v>260</v>
      </c>
      <c r="G35" s="11">
        <f>F35*21</f>
        <v>5460</v>
      </c>
      <c r="L35"/>
    </row>
    <row r="36" spans="1:12" ht="15.75">
      <c r="A36" s="15" t="s">
        <v>58</v>
      </c>
      <c r="B36" s="3" t="s">
        <v>22</v>
      </c>
      <c r="C36" s="23" t="s">
        <v>31</v>
      </c>
      <c r="D36" s="16" t="s">
        <v>74</v>
      </c>
      <c r="E36" s="16" t="s">
        <v>2102</v>
      </c>
      <c r="F36" s="157">
        <v>80</v>
      </c>
      <c r="G36" s="11">
        <f>F36*5</f>
        <v>400</v>
      </c>
      <c r="L36"/>
    </row>
    <row r="37" spans="1:12" ht="15.75">
      <c r="A37" s="15" t="s">
        <v>75</v>
      </c>
      <c r="B37" s="3" t="s">
        <v>22</v>
      </c>
      <c r="C37" s="23" t="s">
        <v>27</v>
      </c>
      <c r="D37" s="16" t="s">
        <v>77</v>
      </c>
      <c r="E37" s="16" t="s">
        <v>2102</v>
      </c>
      <c r="F37" s="158" t="s">
        <v>26</v>
      </c>
      <c r="G37" s="11">
        <f>F37*34</f>
        <v>0</v>
      </c>
      <c r="L37"/>
    </row>
    <row r="38" spans="1:12" ht="15.75">
      <c r="A38" s="15" t="s">
        <v>75</v>
      </c>
      <c r="B38" s="3" t="s">
        <v>22</v>
      </c>
      <c r="C38" s="23" t="s">
        <v>29</v>
      </c>
      <c r="D38" s="16" t="s">
        <v>78</v>
      </c>
      <c r="E38" s="16" t="s">
        <v>2102</v>
      </c>
      <c r="F38" s="158" t="s">
        <v>26</v>
      </c>
      <c r="G38" s="11">
        <f>F38*21</f>
        <v>0</v>
      </c>
      <c r="L38"/>
    </row>
    <row r="39" spans="1:12" ht="15.75">
      <c r="A39" s="15" t="s">
        <v>75</v>
      </c>
      <c r="B39" s="3" t="s">
        <v>22</v>
      </c>
      <c r="C39" s="23" t="s">
        <v>31</v>
      </c>
      <c r="D39" s="16" t="s">
        <v>79</v>
      </c>
      <c r="E39" s="16" t="s">
        <v>2102</v>
      </c>
      <c r="F39" s="158" t="s">
        <v>26</v>
      </c>
      <c r="G39" s="11">
        <f>F39*5</f>
        <v>0</v>
      </c>
      <c r="L39"/>
    </row>
    <row r="40" spans="1:12" ht="15.75">
      <c r="A40" s="15" t="s">
        <v>75</v>
      </c>
      <c r="B40" s="3" t="s">
        <v>22</v>
      </c>
      <c r="C40" s="23" t="s">
        <v>27</v>
      </c>
      <c r="D40" s="16" t="s">
        <v>80</v>
      </c>
      <c r="E40" s="16" t="s">
        <v>2102</v>
      </c>
      <c r="F40" s="158" t="s">
        <v>26</v>
      </c>
      <c r="G40" s="11">
        <f>F40*34</f>
        <v>0</v>
      </c>
      <c r="L40"/>
    </row>
    <row r="41" spans="1:12" ht="15.75">
      <c r="A41" s="15" t="s">
        <v>75</v>
      </c>
      <c r="B41" s="3" t="s">
        <v>22</v>
      </c>
      <c r="C41" s="23" t="s">
        <v>29</v>
      </c>
      <c r="D41" s="16" t="s">
        <v>81</v>
      </c>
      <c r="E41" s="16" t="s">
        <v>2102</v>
      </c>
      <c r="F41" s="158" t="s">
        <v>26</v>
      </c>
      <c r="G41" s="11">
        <f>F41*21</f>
        <v>0</v>
      </c>
      <c r="L41"/>
    </row>
    <row r="42" spans="1:12" ht="15.75">
      <c r="A42" s="15" t="s">
        <v>75</v>
      </c>
      <c r="B42" s="3" t="s">
        <v>22</v>
      </c>
      <c r="C42" s="23" t="s">
        <v>31</v>
      </c>
      <c r="D42" s="16" t="s">
        <v>82</v>
      </c>
      <c r="E42" s="16" t="s">
        <v>2102</v>
      </c>
      <c r="F42" s="158" t="s">
        <v>26</v>
      </c>
      <c r="G42" s="11">
        <f>F42*5</f>
        <v>0</v>
      </c>
      <c r="L42"/>
    </row>
    <row r="43" spans="1:12" ht="15.75">
      <c r="A43" s="15" t="s">
        <v>75</v>
      </c>
      <c r="B43" s="3" t="s">
        <v>22</v>
      </c>
      <c r="C43" s="23" t="s">
        <v>24</v>
      </c>
      <c r="D43" s="16" t="s">
        <v>84</v>
      </c>
      <c r="E43" s="16" t="s">
        <v>2102</v>
      </c>
      <c r="F43" s="157">
        <v>345</v>
      </c>
      <c r="G43" s="11">
        <f>F43*45</f>
        <v>15525</v>
      </c>
      <c r="L43"/>
    </row>
    <row r="44" spans="1:12" ht="15.75">
      <c r="A44" s="15" t="s">
        <v>75</v>
      </c>
      <c r="B44" s="3" t="s">
        <v>22</v>
      </c>
      <c r="C44" s="23" t="s">
        <v>27</v>
      </c>
      <c r="D44" s="16" t="s">
        <v>85</v>
      </c>
      <c r="E44" s="16" t="s">
        <v>2102</v>
      </c>
      <c r="F44" s="157">
        <v>125</v>
      </c>
      <c r="G44" s="11">
        <f>F44*34</f>
        <v>4250</v>
      </c>
      <c r="L44"/>
    </row>
    <row r="45" spans="1:12" ht="15.75">
      <c r="A45" s="15" t="s">
        <v>75</v>
      </c>
      <c r="B45" s="3" t="s">
        <v>22</v>
      </c>
      <c r="C45" s="23" t="s">
        <v>71</v>
      </c>
      <c r="D45" s="16" t="s">
        <v>86</v>
      </c>
      <c r="E45" s="16" t="s">
        <v>2102</v>
      </c>
      <c r="F45" s="157">
        <v>75</v>
      </c>
      <c r="G45" s="11">
        <f>F45*40</f>
        <v>3000</v>
      </c>
      <c r="L45"/>
    </row>
    <row r="46" spans="1:12" ht="15.75">
      <c r="A46" s="15" t="s">
        <v>75</v>
      </c>
      <c r="B46" s="3" t="s">
        <v>22</v>
      </c>
      <c r="C46" s="23" t="s">
        <v>29</v>
      </c>
      <c r="D46" s="16" t="s">
        <v>87</v>
      </c>
      <c r="E46" s="16" t="s">
        <v>2102</v>
      </c>
      <c r="F46" s="157">
        <v>474</v>
      </c>
      <c r="G46" s="11">
        <f>F46*21</f>
        <v>9954</v>
      </c>
      <c r="L46"/>
    </row>
    <row r="47" spans="1:12" ht="15.75">
      <c r="A47" s="15" t="s">
        <v>75</v>
      </c>
      <c r="B47" s="3" t="s">
        <v>22</v>
      </c>
      <c r="C47" s="23" t="s">
        <v>31</v>
      </c>
      <c r="D47" s="16" t="s">
        <v>88</v>
      </c>
      <c r="E47" s="16" t="s">
        <v>2102</v>
      </c>
      <c r="F47" s="157">
        <v>71</v>
      </c>
      <c r="G47" s="11">
        <f>F47*5</f>
        <v>355</v>
      </c>
      <c r="L47"/>
    </row>
    <row r="48" spans="1:12" ht="15.75">
      <c r="A48" s="15" t="s">
        <v>75</v>
      </c>
      <c r="B48" s="3" t="s">
        <v>22</v>
      </c>
      <c r="C48" s="23" t="s">
        <v>24</v>
      </c>
      <c r="D48" s="16" t="s">
        <v>90</v>
      </c>
      <c r="E48" s="16" t="s">
        <v>2102</v>
      </c>
      <c r="F48" s="158" t="s">
        <v>26</v>
      </c>
      <c r="G48" s="11">
        <f>F48*45</f>
        <v>0</v>
      </c>
      <c r="L48"/>
    </row>
    <row r="49" spans="1:12" ht="15.75">
      <c r="A49" s="15" t="s">
        <v>75</v>
      </c>
      <c r="B49" s="3" t="s">
        <v>22</v>
      </c>
      <c r="C49" s="23" t="s">
        <v>27</v>
      </c>
      <c r="D49" s="16" t="s">
        <v>91</v>
      </c>
      <c r="E49" s="16" t="s">
        <v>2102</v>
      </c>
      <c r="F49" s="158" t="s">
        <v>26</v>
      </c>
      <c r="G49" s="11">
        <f>F49*34</f>
        <v>0</v>
      </c>
      <c r="L49"/>
    </row>
    <row r="50" spans="1:12" ht="15.75">
      <c r="A50" s="15" t="s">
        <v>75</v>
      </c>
      <c r="B50" s="3" t="s">
        <v>22</v>
      </c>
      <c r="C50" s="23" t="s">
        <v>29</v>
      </c>
      <c r="D50" s="16" t="s">
        <v>92</v>
      </c>
      <c r="E50" s="16" t="s">
        <v>2102</v>
      </c>
      <c r="F50" s="158" t="s">
        <v>26</v>
      </c>
      <c r="G50" s="11">
        <f>F50*21</f>
        <v>0</v>
      </c>
      <c r="L50"/>
    </row>
    <row r="51" spans="1:12" ht="15.75">
      <c r="A51" s="15" t="s">
        <v>75</v>
      </c>
      <c r="B51" s="3" t="s">
        <v>22</v>
      </c>
      <c r="C51" s="23" t="s">
        <v>31</v>
      </c>
      <c r="D51" s="16" t="s">
        <v>93</v>
      </c>
      <c r="E51" s="16" t="s">
        <v>2102</v>
      </c>
      <c r="F51" s="158" t="s">
        <v>26</v>
      </c>
      <c r="G51" s="11">
        <f>F51*5</f>
        <v>0</v>
      </c>
      <c r="L51"/>
    </row>
    <row r="52" spans="1:12" ht="15.75">
      <c r="A52" s="15" t="s">
        <v>94</v>
      </c>
      <c r="B52" s="3" t="s">
        <v>22</v>
      </c>
      <c r="C52" s="23" t="s">
        <v>27</v>
      </c>
      <c r="D52" s="16" t="s">
        <v>95</v>
      </c>
      <c r="E52" s="16" t="s">
        <v>2102</v>
      </c>
      <c r="F52" s="158" t="s">
        <v>26</v>
      </c>
      <c r="G52" s="11">
        <f>F52*34</f>
        <v>0</v>
      </c>
      <c r="L52"/>
    </row>
    <row r="53" spans="1:12" ht="15.75">
      <c r="A53" s="15" t="s">
        <v>94</v>
      </c>
      <c r="B53" s="3" t="s">
        <v>22</v>
      </c>
      <c r="C53" s="23" t="s">
        <v>29</v>
      </c>
      <c r="D53" s="16" t="s">
        <v>96</v>
      </c>
      <c r="E53" s="16" t="s">
        <v>2102</v>
      </c>
      <c r="F53" s="158" t="s">
        <v>26</v>
      </c>
      <c r="G53" s="11">
        <f>F53*21</f>
        <v>0</v>
      </c>
      <c r="L53"/>
    </row>
    <row r="54" spans="1:12" ht="15.75">
      <c r="A54" s="15" t="s">
        <v>94</v>
      </c>
      <c r="B54" s="3" t="s">
        <v>22</v>
      </c>
      <c r="C54" s="23" t="s">
        <v>31</v>
      </c>
      <c r="D54" s="16" t="s">
        <v>97</v>
      </c>
      <c r="E54" s="16" t="s">
        <v>2102</v>
      </c>
      <c r="F54" s="158" t="s">
        <v>26</v>
      </c>
      <c r="G54" s="11">
        <f>F54*5</f>
        <v>0</v>
      </c>
      <c r="L54"/>
    </row>
    <row r="55" spans="1:12" ht="15.75">
      <c r="A55" s="15" t="s">
        <v>94</v>
      </c>
      <c r="B55" s="3" t="s">
        <v>22</v>
      </c>
      <c r="C55" s="23" t="s">
        <v>24</v>
      </c>
      <c r="D55" s="16" t="s">
        <v>99</v>
      </c>
      <c r="E55" s="16" t="s">
        <v>2102</v>
      </c>
      <c r="F55" s="157">
        <v>394</v>
      </c>
      <c r="G55" s="11">
        <f>F55*45</f>
        <v>17730</v>
      </c>
      <c r="L55"/>
    </row>
    <row r="56" spans="1:12" ht="15.75">
      <c r="A56" s="15" t="s">
        <v>94</v>
      </c>
      <c r="B56" s="3" t="s">
        <v>22</v>
      </c>
      <c r="C56" s="23" t="s">
        <v>27</v>
      </c>
      <c r="D56" s="16" t="s">
        <v>100</v>
      </c>
      <c r="E56" s="16" t="s">
        <v>2102</v>
      </c>
      <c r="F56" s="157">
        <v>225</v>
      </c>
      <c r="G56" s="11">
        <f>F56*34</f>
        <v>7650</v>
      </c>
      <c r="L56"/>
    </row>
    <row r="57" spans="1:12" ht="15.75">
      <c r="A57" s="15" t="s">
        <v>94</v>
      </c>
      <c r="B57" s="3" t="s">
        <v>22</v>
      </c>
      <c r="C57" s="23" t="s">
        <v>71</v>
      </c>
      <c r="D57" s="16" t="s">
        <v>101</v>
      </c>
      <c r="E57" s="16" t="s">
        <v>2102</v>
      </c>
      <c r="F57" s="157">
        <v>350</v>
      </c>
      <c r="G57" s="11">
        <f>F57*40</f>
        <v>14000</v>
      </c>
      <c r="L57"/>
    </row>
    <row r="58" spans="1:12" ht="15.75">
      <c r="A58" s="15" t="s">
        <v>94</v>
      </c>
      <c r="B58" s="3" t="s">
        <v>22</v>
      </c>
      <c r="C58" s="23" t="s">
        <v>29</v>
      </c>
      <c r="D58" s="16" t="s">
        <v>102</v>
      </c>
      <c r="E58" s="16" t="s">
        <v>2102</v>
      </c>
      <c r="F58" s="157">
        <v>621</v>
      </c>
      <c r="G58" s="11">
        <f>F58*21</f>
        <v>13041</v>
      </c>
      <c r="L58"/>
    </row>
    <row r="59" spans="1:12" ht="15.75">
      <c r="A59" s="15" t="s">
        <v>94</v>
      </c>
      <c r="B59" s="3" t="s">
        <v>22</v>
      </c>
      <c r="C59" s="23" t="s">
        <v>31</v>
      </c>
      <c r="D59" s="16" t="s">
        <v>103</v>
      </c>
      <c r="E59" s="16" t="s">
        <v>2102</v>
      </c>
      <c r="F59" s="157">
        <v>20</v>
      </c>
      <c r="G59" s="11">
        <f>F59*5</f>
        <v>100</v>
      </c>
      <c r="L59"/>
    </row>
    <row r="60" spans="1:12" ht="15.75">
      <c r="A60" s="15" t="s">
        <v>94</v>
      </c>
      <c r="B60" s="3" t="s">
        <v>22</v>
      </c>
      <c r="C60" s="23" t="s">
        <v>24</v>
      </c>
      <c r="D60" s="16" t="s">
        <v>104</v>
      </c>
      <c r="E60" s="16" t="s">
        <v>2102</v>
      </c>
      <c r="F60" s="158" t="s">
        <v>26</v>
      </c>
      <c r="G60" s="11">
        <f>F60*45</f>
        <v>0</v>
      </c>
      <c r="L60"/>
    </row>
    <row r="61" spans="1:12" ht="15.75">
      <c r="A61" s="15" t="s">
        <v>94</v>
      </c>
      <c r="B61" s="3" t="s">
        <v>22</v>
      </c>
      <c r="C61" s="23" t="s">
        <v>27</v>
      </c>
      <c r="D61" s="16" t="s">
        <v>105</v>
      </c>
      <c r="E61" s="16" t="s">
        <v>2102</v>
      </c>
      <c r="F61" s="158" t="s">
        <v>26</v>
      </c>
      <c r="G61" s="11">
        <f>F61*34</f>
        <v>0</v>
      </c>
      <c r="L61"/>
    </row>
    <row r="62" spans="1:12" ht="15.75">
      <c r="A62" s="15" t="s">
        <v>94</v>
      </c>
      <c r="B62" s="3" t="s">
        <v>22</v>
      </c>
      <c r="C62" s="23" t="s">
        <v>29</v>
      </c>
      <c r="D62" s="16" t="s">
        <v>106</v>
      </c>
      <c r="E62" s="16" t="s">
        <v>2102</v>
      </c>
      <c r="F62" s="158" t="s">
        <v>26</v>
      </c>
      <c r="G62" s="11">
        <f>F62*21</f>
        <v>0</v>
      </c>
      <c r="L62"/>
    </row>
    <row r="63" spans="1:12" ht="15.75">
      <c r="A63" s="15" t="s">
        <v>94</v>
      </c>
      <c r="B63" s="3" t="s">
        <v>22</v>
      </c>
      <c r="C63" s="23" t="s">
        <v>31</v>
      </c>
      <c r="D63" s="16" t="s">
        <v>107</v>
      </c>
      <c r="E63" s="16" t="s">
        <v>2102</v>
      </c>
      <c r="F63" s="158" t="s">
        <v>26</v>
      </c>
      <c r="G63" s="11">
        <f>F63*5</f>
        <v>0</v>
      </c>
      <c r="L63"/>
    </row>
    <row r="64" spans="1:12" ht="15.75">
      <c r="A64" s="15" t="s">
        <v>94</v>
      </c>
      <c r="B64" s="3" t="s">
        <v>22</v>
      </c>
      <c r="C64" s="23" t="s">
        <v>24</v>
      </c>
      <c r="D64" s="16" t="s">
        <v>110</v>
      </c>
      <c r="E64" s="16" t="s">
        <v>2102</v>
      </c>
      <c r="F64" s="158" t="s">
        <v>26</v>
      </c>
      <c r="G64" s="11">
        <f>F64*45</f>
        <v>0</v>
      </c>
      <c r="L64"/>
    </row>
    <row r="65" spans="1:12" ht="15.75">
      <c r="A65" s="15" t="s">
        <v>94</v>
      </c>
      <c r="B65" s="3" t="s">
        <v>22</v>
      </c>
      <c r="C65" s="23" t="s">
        <v>27</v>
      </c>
      <c r="D65" s="16" t="s">
        <v>111</v>
      </c>
      <c r="E65" s="16" t="s">
        <v>2102</v>
      </c>
      <c r="F65" s="158" t="s">
        <v>26</v>
      </c>
      <c r="G65" s="11">
        <f>F65*34</f>
        <v>0</v>
      </c>
      <c r="L65"/>
    </row>
    <row r="66" spans="1:12" ht="15.75">
      <c r="A66" s="15" t="s">
        <v>94</v>
      </c>
      <c r="B66" s="3" t="s">
        <v>22</v>
      </c>
      <c r="C66" s="23" t="s">
        <v>29</v>
      </c>
      <c r="D66" s="16" t="s">
        <v>112</v>
      </c>
      <c r="E66" s="16" t="s">
        <v>2102</v>
      </c>
      <c r="F66" s="158" t="s">
        <v>26</v>
      </c>
      <c r="G66" s="11">
        <f>F66*21</f>
        <v>0</v>
      </c>
      <c r="L66"/>
    </row>
    <row r="67" spans="1:12" ht="15.75">
      <c r="A67" s="15" t="s">
        <v>94</v>
      </c>
      <c r="B67" s="3" t="s">
        <v>22</v>
      </c>
      <c r="C67" s="23" t="s">
        <v>31</v>
      </c>
      <c r="D67" s="16" t="s">
        <v>113</v>
      </c>
      <c r="E67" s="16" t="s">
        <v>2102</v>
      </c>
      <c r="F67" s="158" t="s">
        <v>26</v>
      </c>
      <c r="G67" s="11">
        <f>F67*5</f>
        <v>0</v>
      </c>
      <c r="L67"/>
    </row>
    <row r="68" spans="1:12" ht="15.75">
      <c r="A68" s="15" t="s">
        <v>94</v>
      </c>
      <c r="B68" s="3" t="s">
        <v>22</v>
      </c>
      <c r="C68" s="23" t="s">
        <v>27</v>
      </c>
      <c r="D68" s="16" t="s">
        <v>115</v>
      </c>
      <c r="E68" s="16" t="s">
        <v>2102</v>
      </c>
      <c r="F68" s="158" t="s">
        <v>26</v>
      </c>
      <c r="G68" s="11">
        <f>F68*34</f>
        <v>0</v>
      </c>
      <c r="L68"/>
    </row>
    <row r="69" spans="1:12" ht="15.75">
      <c r="A69" s="15" t="s">
        <v>94</v>
      </c>
      <c r="B69" s="3" t="s">
        <v>22</v>
      </c>
      <c r="C69" s="23" t="s">
        <v>71</v>
      </c>
      <c r="D69" s="16" t="s">
        <v>116</v>
      </c>
      <c r="E69" s="16" t="s">
        <v>2102</v>
      </c>
      <c r="F69" s="158" t="s">
        <v>26</v>
      </c>
      <c r="G69" s="11">
        <f>F69*40</f>
        <v>0</v>
      </c>
      <c r="L69"/>
    </row>
    <row r="70" spans="1:12" ht="15.75">
      <c r="A70" s="15" t="s">
        <v>94</v>
      </c>
      <c r="B70" s="3" t="s">
        <v>22</v>
      </c>
      <c r="C70" s="23" t="s">
        <v>29</v>
      </c>
      <c r="D70" s="16" t="s">
        <v>117</v>
      </c>
      <c r="E70" s="16" t="s">
        <v>2102</v>
      </c>
      <c r="F70" s="158" t="s">
        <v>26</v>
      </c>
      <c r="G70" s="11">
        <f>F70*21</f>
        <v>0</v>
      </c>
      <c r="L70"/>
    </row>
    <row r="71" spans="1:12" ht="15.75">
      <c r="A71" s="15" t="s">
        <v>118</v>
      </c>
      <c r="B71" s="3" t="s">
        <v>22</v>
      </c>
      <c r="C71" s="23" t="s">
        <v>71</v>
      </c>
      <c r="D71" s="16" t="s">
        <v>120</v>
      </c>
      <c r="E71" s="16" t="s">
        <v>2102</v>
      </c>
      <c r="F71" s="158" t="s">
        <v>26</v>
      </c>
      <c r="G71" s="11">
        <f>F71*40</f>
        <v>0</v>
      </c>
      <c r="L71"/>
    </row>
    <row r="72" spans="1:12" ht="15.75">
      <c r="A72" s="15" t="s">
        <v>118</v>
      </c>
      <c r="B72" s="3" t="s">
        <v>22</v>
      </c>
      <c r="C72" s="23" t="s">
        <v>29</v>
      </c>
      <c r="D72" s="16" t="s">
        <v>121</v>
      </c>
      <c r="E72" s="16" t="s">
        <v>2102</v>
      </c>
      <c r="F72" s="158" t="s">
        <v>26</v>
      </c>
      <c r="G72" s="11">
        <f>F72*21</f>
        <v>0</v>
      </c>
      <c r="L72"/>
    </row>
    <row r="73" spans="1:12" ht="15.75">
      <c r="A73" s="15" t="s">
        <v>118</v>
      </c>
      <c r="B73" s="3" t="s">
        <v>22</v>
      </c>
      <c r="C73" s="23" t="s">
        <v>31</v>
      </c>
      <c r="D73" s="16" t="s">
        <v>122</v>
      </c>
      <c r="E73" s="16" t="s">
        <v>2102</v>
      </c>
      <c r="F73" s="158" t="s">
        <v>26</v>
      </c>
      <c r="G73" s="11">
        <f>F73*5</f>
        <v>0</v>
      </c>
      <c r="L73"/>
    </row>
    <row r="74" spans="1:12" ht="15.75">
      <c r="A74" s="15" t="s">
        <v>118</v>
      </c>
      <c r="B74" s="3" t="s">
        <v>22</v>
      </c>
      <c r="C74" s="23" t="s">
        <v>27</v>
      </c>
      <c r="D74" s="16" t="s">
        <v>123</v>
      </c>
      <c r="E74" s="16" t="s">
        <v>2102</v>
      </c>
      <c r="F74" s="158" t="s">
        <v>26</v>
      </c>
      <c r="G74" s="11">
        <f>F74*34</f>
        <v>0</v>
      </c>
      <c r="L74"/>
    </row>
    <row r="75" spans="1:12" ht="15.75">
      <c r="A75" s="15" t="s">
        <v>118</v>
      </c>
      <c r="B75" s="3" t="s">
        <v>22</v>
      </c>
      <c r="C75" s="23" t="s">
        <v>29</v>
      </c>
      <c r="D75" s="16" t="s">
        <v>124</v>
      </c>
      <c r="E75" s="16" t="s">
        <v>2102</v>
      </c>
      <c r="F75" s="158" t="s">
        <v>26</v>
      </c>
      <c r="G75" s="11">
        <f>F75*21</f>
        <v>0</v>
      </c>
      <c r="L75"/>
    </row>
    <row r="76" spans="1:12" ht="15.75">
      <c r="A76" s="15" t="s">
        <v>118</v>
      </c>
      <c r="B76" s="3" t="s">
        <v>22</v>
      </c>
      <c r="C76" s="23" t="s">
        <v>24</v>
      </c>
      <c r="D76" s="16" t="s">
        <v>126</v>
      </c>
      <c r="E76" s="16" t="s">
        <v>2102</v>
      </c>
      <c r="F76" s="158" t="s">
        <v>26</v>
      </c>
      <c r="G76" s="11">
        <f>F76*45</f>
        <v>0</v>
      </c>
      <c r="L76"/>
    </row>
    <row r="77" spans="1:12" ht="15.75">
      <c r="A77" s="15" t="s">
        <v>118</v>
      </c>
      <c r="B77" s="3" t="s">
        <v>22</v>
      </c>
      <c r="C77" s="23" t="s">
        <v>27</v>
      </c>
      <c r="D77" s="16" t="s">
        <v>127</v>
      </c>
      <c r="E77" s="16" t="s">
        <v>2102</v>
      </c>
      <c r="F77" s="158" t="s">
        <v>26</v>
      </c>
      <c r="G77" s="11">
        <f>F77*34</f>
        <v>0</v>
      </c>
      <c r="L77"/>
    </row>
    <row r="78" spans="1:12" ht="15.75">
      <c r="A78" s="15" t="s">
        <v>118</v>
      </c>
      <c r="B78" s="3" t="s">
        <v>22</v>
      </c>
      <c r="C78" s="23" t="s">
        <v>29</v>
      </c>
      <c r="D78" s="16" t="s">
        <v>128</v>
      </c>
      <c r="E78" s="16" t="s">
        <v>2102</v>
      </c>
      <c r="F78" s="158" t="s">
        <v>26</v>
      </c>
      <c r="G78" s="11">
        <f>F78*21</f>
        <v>0</v>
      </c>
      <c r="L78"/>
    </row>
    <row r="79" spans="1:12" ht="15.75">
      <c r="A79" s="15" t="s">
        <v>118</v>
      </c>
      <c r="B79" s="3" t="s">
        <v>22</v>
      </c>
      <c r="C79" s="23" t="s">
        <v>31</v>
      </c>
      <c r="D79" s="16" t="s">
        <v>129</v>
      </c>
      <c r="E79" s="16" t="s">
        <v>2102</v>
      </c>
      <c r="F79" s="158" t="s">
        <v>26</v>
      </c>
      <c r="G79" s="11">
        <f>F79*5</f>
        <v>0</v>
      </c>
      <c r="L79"/>
    </row>
    <row r="80" spans="1:12" ht="15.75">
      <c r="A80" s="15" t="s">
        <v>118</v>
      </c>
      <c r="B80" s="3" t="s">
        <v>22</v>
      </c>
      <c r="C80" s="23" t="s">
        <v>131</v>
      </c>
      <c r="D80" s="16" t="s">
        <v>1471</v>
      </c>
      <c r="E80" s="16" t="s">
        <v>2102</v>
      </c>
      <c r="F80" s="158" t="s">
        <v>26</v>
      </c>
      <c r="G80" s="11">
        <f>F80*10</f>
        <v>0</v>
      </c>
      <c r="L80"/>
    </row>
    <row r="81" spans="1:12" ht="15.75">
      <c r="A81" s="15" t="s">
        <v>118</v>
      </c>
      <c r="B81" s="3" t="s">
        <v>22</v>
      </c>
      <c r="C81" s="23" t="s">
        <v>24</v>
      </c>
      <c r="D81" s="16" t="s">
        <v>132</v>
      </c>
      <c r="E81" s="16" t="s">
        <v>2102</v>
      </c>
      <c r="F81" s="157">
        <v>369</v>
      </c>
      <c r="G81" s="11">
        <f>F81*45</f>
        <v>16605</v>
      </c>
      <c r="L81"/>
    </row>
    <row r="82" spans="1:12" ht="15.75">
      <c r="A82" s="15" t="s">
        <v>118</v>
      </c>
      <c r="B82" s="3" t="s">
        <v>22</v>
      </c>
      <c r="C82" s="23" t="s">
        <v>27</v>
      </c>
      <c r="D82" s="16" t="s">
        <v>133</v>
      </c>
      <c r="E82" s="16" t="s">
        <v>2102</v>
      </c>
      <c r="F82" s="158" t="s">
        <v>26</v>
      </c>
      <c r="G82" s="11">
        <f>F82*34</f>
        <v>0</v>
      </c>
      <c r="L82"/>
    </row>
    <row r="83" spans="1:12" ht="15.75">
      <c r="A83" s="15" t="s">
        <v>118</v>
      </c>
      <c r="B83" s="3" t="s">
        <v>22</v>
      </c>
      <c r="C83" s="23" t="s">
        <v>29</v>
      </c>
      <c r="D83" s="16" t="s">
        <v>134</v>
      </c>
      <c r="E83" s="16" t="s">
        <v>2102</v>
      </c>
      <c r="F83" s="158" t="s">
        <v>26</v>
      </c>
      <c r="G83" s="11">
        <f>F83*21</f>
        <v>0</v>
      </c>
      <c r="L83"/>
    </row>
    <row r="84" spans="1:12" ht="15.75">
      <c r="A84" s="15" t="s">
        <v>118</v>
      </c>
      <c r="B84" s="3" t="s">
        <v>22</v>
      </c>
      <c r="C84" s="23" t="s">
        <v>31</v>
      </c>
      <c r="D84" s="16" t="s">
        <v>135</v>
      </c>
      <c r="E84" s="16" t="s">
        <v>2102</v>
      </c>
      <c r="F84" s="158" t="s">
        <v>26</v>
      </c>
      <c r="G84" s="11">
        <f>F84*5</f>
        <v>0</v>
      </c>
      <c r="L84"/>
    </row>
    <row r="85" spans="1:12" ht="15.75">
      <c r="A85" s="15" t="s">
        <v>118</v>
      </c>
      <c r="B85" s="3" t="s">
        <v>22</v>
      </c>
      <c r="C85" s="23" t="s">
        <v>27</v>
      </c>
      <c r="D85" s="16" t="s">
        <v>137</v>
      </c>
      <c r="E85" s="16" t="s">
        <v>2102</v>
      </c>
      <c r="F85" s="157">
        <v>237</v>
      </c>
      <c r="G85" s="11">
        <f>F85*34</f>
        <v>8058</v>
      </c>
      <c r="L85"/>
    </row>
    <row r="86" spans="1:12" ht="15.75">
      <c r="A86" s="15" t="s">
        <v>118</v>
      </c>
      <c r="B86" s="3" t="s">
        <v>22</v>
      </c>
      <c r="C86" s="23" t="s">
        <v>71</v>
      </c>
      <c r="D86" s="16" t="s">
        <v>138</v>
      </c>
      <c r="E86" s="16" t="s">
        <v>2102</v>
      </c>
      <c r="F86" s="157">
        <v>414</v>
      </c>
      <c r="G86" s="11">
        <f>F86*40</f>
        <v>16560</v>
      </c>
      <c r="L86"/>
    </row>
    <row r="87" spans="1:12" ht="15.75">
      <c r="A87" s="15" t="s">
        <v>118</v>
      </c>
      <c r="B87" s="3" t="s">
        <v>22</v>
      </c>
      <c r="C87" s="23" t="s">
        <v>29</v>
      </c>
      <c r="D87" s="16" t="s">
        <v>139</v>
      </c>
      <c r="E87" s="16" t="s">
        <v>2102</v>
      </c>
      <c r="F87" s="157">
        <v>354</v>
      </c>
      <c r="G87" s="11">
        <f>F87*21</f>
        <v>7434</v>
      </c>
      <c r="L87"/>
    </row>
    <row r="88" spans="1:12" ht="15.75">
      <c r="A88" s="15" t="s">
        <v>118</v>
      </c>
      <c r="B88" s="3" t="s">
        <v>22</v>
      </c>
      <c r="C88" s="23" t="s">
        <v>31</v>
      </c>
      <c r="D88" s="16" t="s">
        <v>140</v>
      </c>
      <c r="E88" s="16" t="s">
        <v>2102</v>
      </c>
      <c r="F88" s="157">
        <v>80</v>
      </c>
      <c r="G88" s="11">
        <f>F88*5</f>
        <v>400</v>
      </c>
      <c r="L88"/>
    </row>
    <row r="89" spans="1:12" ht="15.75">
      <c r="A89" s="15" t="s">
        <v>118</v>
      </c>
      <c r="B89" s="3" t="s">
        <v>22</v>
      </c>
      <c r="C89" s="23" t="s">
        <v>24</v>
      </c>
      <c r="D89" s="16" t="s">
        <v>143</v>
      </c>
      <c r="E89" s="16" t="s">
        <v>2102</v>
      </c>
      <c r="F89" s="158" t="s">
        <v>26</v>
      </c>
      <c r="G89" s="11">
        <f>F89*45</f>
        <v>0</v>
      </c>
      <c r="L89"/>
    </row>
    <row r="90" spans="1:12" ht="15.75">
      <c r="A90" s="15" t="s">
        <v>118</v>
      </c>
      <c r="B90" s="3" t="s">
        <v>22</v>
      </c>
      <c r="C90" s="23" t="s">
        <v>27</v>
      </c>
      <c r="D90" s="16" t="s">
        <v>144</v>
      </c>
      <c r="E90" s="16" t="s">
        <v>2102</v>
      </c>
      <c r="F90" s="158" t="s">
        <v>26</v>
      </c>
      <c r="G90" s="11">
        <f>F90*34</f>
        <v>0</v>
      </c>
      <c r="L90"/>
    </row>
    <row r="91" spans="1:12" ht="15.75">
      <c r="A91" s="15" t="s">
        <v>118</v>
      </c>
      <c r="B91" s="3" t="s">
        <v>22</v>
      </c>
      <c r="C91" s="23" t="s">
        <v>29</v>
      </c>
      <c r="D91" s="16" t="s">
        <v>145</v>
      </c>
      <c r="E91" s="16" t="s">
        <v>2102</v>
      </c>
      <c r="F91" s="158" t="s">
        <v>26</v>
      </c>
      <c r="G91" s="11">
        <f>F91*21</f>
        <v>0</v>
      </c>
      <c r="L91"/>
    </row>
    <row r="92" spans="1:12" ht="15.75">
      <c r="A92" s="15" t="s">
        <v>118</v>
      </c>
      <c r="B92" s="3" t="s">
        <v>22</v>
      </c>
      <c r="C92" s="23" t="s">
        <v>31</v>
      </c>
      <c r="D92" s="16" t="s">
        <v>146</v>
      </c>
      <c r="E92" s="16" t="s">
        <v>2102</v>
      </c>
      <c r="F92" s="158" t="s">
        <v>26</v>
      </c>
      <c r="G92" s="11">
        <f>F92*5</f>
        <v>0</v>
      </c>
      <c r="L92"/>
    </row>
    <row r="93" spans="1:12" ht="15.75">
      <c r="A93" s="15" t="s">
        <v>147</v>
      </c>
      <c r="B93" s="3" t="s">
        <v>22</v>
      </c>
      <c r="C93" s="23" t="s">
        <v>71</v>
      </c>
      <c r="D93" s="16" t="s">
        <v>148</v>
      </c>
      <c r="E93" s="16" t="s">
        <v>2102</v>
      </c>
      <c r="F93" s="158" t="s">
        <v>26</v>
      </c>
      <c r="G93" s="11">
        <f>F93*40</f>
        <v>0</v>
      </c>
      <c r="L93"/>
    </row>
    <row r="94" spans="1:12" ht="15.75">
      <c r="A94" s="15" t="s">
        <v>147</v>
      </c>
      <c r="B94" s="3" t="s">
        <v>22</v>
      </c>
      <c r="C94" s="23" t="s">
        <v>29</v>
      </c>
      <c r="D94" s="16" t="s">
        <v>149</v>
      </c>
      <c r="E94" s="16" t="s">
        <v>2102</v>
      </c>
      <c r="F94" s="158" t="s">
        <v>26</v>
      </c>
      <c r="G94" s="11">
        <f>F94*21</f>
        <v>0</v>
      </c>
      <c r="L94"/>
    </row>
    <row r="95" spans="1:12" ht="15.75">
      <c r="A95" s="15" t="s">
        <v>147</v>
      </c>
      <c r="B95" s="3" t="s">
        <v>22</v>
      </c>
      <c r="C95" s="23" t="s">
        <v>31</v>
      </c>
      <c r="D95" s="16" t="s">
        <v>150</v>
      </c>
      <c r="E95" s="16" t="s">
        <v>2102</v>
      </c>
      <c r="F95" s="158" t="s">
        <v>26</v>
      </c>
      <c r="G95" s="11">
        <f>F95*5</f>
        <v>0</v>
      </c>
      <c r="L95"/>
    </row>
    <row r="96" spans="1:12" ht="15.75">
      <c r="A96" s="15" t="s">
        <v>147</v>
      </c>
      <c r="B96" s="3" t="s">
        <v>22</v>
      </c>
      <c r="C96" s="23" t="s">
        <v>27</v>
      </c>
      <c r="D96" s="16" t="s">
        <v>152</v>
      </c>
      <c r="E96" s="16" t="s">
        <v>2102</v>
      </c>
      <c r="F96" s="158" t="s">
        <v>26</v>
      </c>
      <c r="G96" s="11">
        <f>F96*34</f>
        <v>0</v>
      </c>
      <c r="L96"/>
    </row>
    <row r="97" spans="1:12" ht="15.75">
      <c r="A97" s="15" t="s">
        <v>147</v>
      </c>
      <c r="B97" s="3" t="s">
        <v>22</v>
      </c>
      <c r="C97" s="23" t="s">
        <v>29</v>
      </c>
      <c r="D97" s="16" t="s">
        <v>153</v>
      </c>
      <c r="E97" s="16" t="s">
        <v>2102</v>
      </c>
      <c r="F97" s="158" t="s">
        <v>26</v>
      </c>
      <c r="G97" s="11">
        <f>F97*21</f>
        <v>0</v>
      </c>
      <c r="L97"/>
    </row>
    <row r="98" spans="1:12" ht="15.75">
      <c r="A98" s="15" t="s">
        <v>147</v>
      </c>
      <c r="B98" s="3" t="s">
        <v>22</v>
      </c>
      <c r="C98" s="23" t="s">
        <v>31</v>
      </c>
      <c r="D98" s="16" t="s">
        <v>154</v>
      </c>
      <c r="E98" s="16" t="s">
        <v>2102</v>
      </c>
      <c r="F98" s="158" t="s">
        <v>26</v>
      </c>
      <c r="G98" s="11">
        <f>F98*5</f>
        <v>0</v>
      </c>
      <c r="L98"/>
    </row>
    <row r="99" spans="1:12" ht="15.75">
      <c r="A99" s="15" t="s">
        <v>147</v>
      </c>
      <c r="B99" s="3" t="s">
        <v>22</v>
      </c>
      <c r="C99" s="23" t="s">
        <v>131</v>
      </c>
      <c r="D99" s="16" t="s">
        <v>1470</v>
      </c>
      <c r="E99" s="16" t="s">
        <v>2102</v>
      </c>
      <c r="F99" s="158" t="s">
        <v>26</v>
      </c>
      <c r="G99" s="11">
        <f>F99*10</f>
        <v>0</v>
      </c>
      <c r="L99"/>
    </row>
    <row r="100" spans="1:12" ht="15.75">
      <c r="A100" s="15" t="s">
        <v>147</v>
      </c>
      <c r="B100" s="3" t="s">
        <v>22</v>
      </c>
      <c r="C100" s="23" t="s">
        <v>24</v>
      </c>
      <c r="D100" s="16" t="s">
        <v>1278</v>
      </c>
      <c r="E100" s="16" t="s">
        <v>2102</v>
      </c>
      <c r="F100" s="157">
        <v>715</v>
      </c>
      <c r="G100" s="11">
        <f>F100*45</f>
        <v>32175</v>
      </c>
      <c r="L100"/>
    </row>
    <row r="101" spans="1:12" ht="15.75">
      <c r="A101" s="15" t="s">
        <v>147</v>
      </c>
      <c r="B101" s="3" t="s">
        <v>22</v>
      </c>
      <c r="C101" s="23" t="s">
        <v>27</v>
      </c>
      <c r="D101" s="16" t="s">
        <v>352</v>
      </c>
      <c r="E101" s="16" t="s">
        <v>2102</v>
      </c>
      <c r="F101" s="157">
        <v>580</v>
      </c>
      <c r="G101" s="11">
        <f>F101*34</f>
        <v>19720</v>
      </c>
      <c r="L101"/>
    </row>
    <row r="102" spans="1:12" ht="15.75">
      <c r="A102" s="15" t="s">
        <v>147</v>
      </c>
      <c r="B102" s="3" t="s">
        <v>22</v>
      </c>
      <c r="C102" s="23" t="s">
        <v>29</v>
      </c>
      <c r="D102" s="16" t="s">
        <v>1472</v>
      </c>
      <c r="E102" s="16" t="s">
        <v>2102</v>
      </c>
      <c r="F102" s="132">
        <v>1100</v>
      </c>
      <c r="G102" s="11">
        <f>F102*21</f>
        <v>23100</v>
      </c>
      <c r="L102"/>
    </row>
    <row r="103" spans="1:12" ht="15.75">
      <c r="A103" s="15" t="s">
        <v>147</v>
      </c>
      <c r="B103" s="3" t="s">
        <v>22</v>
      </c>
      <c r="C103" s="23" t="s">
        <v>31</v>
      </c>
      <c r="D103" s="16" t="s">
        <v>1473</v>
      </c>
      <c r="E103" s="16" t="s">
        <v>2102</v>
      </c>
      <c r="F103" s="157">
        <v>144</v>
      </c>
      <c r="G103" s="11">
        <f>F103*5</f>
        <v>720</v>
      </c>
      <c r="L103"/>
    </row>
    <row r="104" spans="1:12" ht="15.75">
      <c r="A104" s="15" t="s">
        <v>147</v>
      </c>
      <c r="B104" s="3" t="s">
        <v>22</v>
      </c>
      <c r="C104" s="23" t="s">
        <v>71</v>
      </c>
      <c r="D104" s="16" t="s">
        <v>157</v>
      </c>
      <c r="E104" s="16" t="s">
        <v>2102</v>
      </c>
      <c r="F104" s="157">
        <v>476</v>
      </c>
      <c r="G104" s="11">
        <f>F104*40</f>
        <v>19040</v>
      </c>
      <c r="L104"/>
    </row>
    <row r="105" spans="1:12" ht="15.75">
      <c r="A105" s="15" t="s">
        <v>147</v>
      </c>
      <c r="B105" s="3" t="s">
        <v>22</v>
      </c>
      <c r="C105" s="23" t="s">
        <v>29</v>
      </c>
      <c r="D105" s="16" t="s">
        <v>158</v>
      </c>
      <c r="E105" s="16" t="s">
        <v>2102</v>
      </c>
      <c r="F105" s="158" t="s">
        <v>26</v>
      </c>
      <c r="G105" s="11">
        <f>F105*21</f>
        <v>0</v>
      </c>
      <c r="L105"/>
    </row>
    <row r="106" spans="1:12" ht="15.75">
      <c r="A106" s="15" t="s">
        <v>147</v>
      </c>
      <c r="B106" s="3" t="s">
        <v>22</v>
      </c>
      <c r="C106" s="23" t="s">
        <v>24</v>
      </c>
      <c r="D106" s="16" t="s">
        <v>159</v>
      </c>
      <c r="E106" s="16" t="s">
        <v>2102</v>
      </c>
      <c r="F106" s="158" t="s">
        <v>26</v>
      </c>
      <c r="G106" s="11">
        <f>F106*45</f>
        <v>0</v>
      </c>
      <c r="L106"/>
    </row>
    <row r="107" spans="1:12" ht="15.75">
      <c r="A107" s="15" t="s">
        <v>147</v>
      </c>
      <c r="B107" s="3" t="s">
        <v>22</v>
      </c>
      <c r="C107" s="23" t="s">
        <v>27</v>
      </c>
      <c r="D107" s="16" t="s">
        <v>160</v>
      </c>
      <c r="E107" s="16" t="s">
        <v>2102</v>
      </c>
      <c r="F107" s="158" t="s">
        <v>26</v>
      </c>
      <c r="G107" s="11">
        <f>F107*34</f>
        <v>0</v>
      </c>
      <c r="L107"/>
    </row>
    <row r="108" spans="1:12" ht="15.75">
      <c r="A108" s="15" t="s">
        <v>147</v>
      </c>
      <c r="B108" s="3" t="s">
        <v>22</v>
      </c>
      <c r="C108" s="23" t="s">
        <v>29</v>
      </c>
      <c r="D108" s="16" t="s">
        <v>161</v>
      </c>
      <c r="E108" s="16" t="s">
        <v>2102</v>
      </c>
      <c r="F108" s="158" t="s">
        <v>26</v>
      </c>
      <c r="G108" s="11">
        <f>F108*21</f>
        <v>0</v>
      </c>
      <c r="L108"/>
    </row>
    <row r="109" spans="1:12" ht="15.75">
      <c r="A109" s="15" t="s">
        <v>147</v>
      </c>
      <c r="B109" s="3" t="s">
        <v>22</v>
      </c>
      <c r="C109" s="23" t="s">
        <v>31</v>
      </c>
      <c r="D109" s="16" t="s">
        <v>162</v>
      </c>
      <c r="E109" s="16" t="s">
        <v>2102</v>
      </c>
      <c r="F109" s="158" t="s">
        <v>26</v>
      </c>
      <c r="G109" s="11">
        <f>F109*5</f>
        <v>0</v>
      </c>
      <c r="L109"/>
    </row>
    <row r="110" spans="1:12" ht="15.75">
      <c r="A110" s="15" t="s">
        <v>147</v>
      </c>
      <c r="B110" s="3" t="s">
        <v>22</v>
      </c>
      <c r="C110" s="23" t="s">
        <v>24</v>
      </c>
      <c r="D110" s="16" t="s">
        <v>164</v>
      </c>
      <c r="E110" s="16" t="s">
        <v>2102</v>
      </c>
      <c r="F110" s="158" t="s">
        <v>26</v>
      </c>
      <c r="G110" s="11">
        <f>F110*45</f>
        <v>0</v>
      </c>
      <c r="L110"/>
    </row>
    <row r="111" spans="1:12" ht="15.75">
      <c r="A111" s="15" t="s">
        <v>147</v>
      </c>
      <c r="B111" s="3" t="s">
        <v>22</v>
      </c>
      <c r="C111" s="23" t="s">
        <v>27</v>
      </c>
      <c r="D111" s="16" t="s">
        <v>165</v>
      </c>
      <c r="E111" s="16" t="s">
        <v>2102</v>
      </c>
      <c r="F111" s="158" t="s">
        <v>26</v>
      </c>
      <c r="G111" s="11">
        <f>F111*34</f>
        <v>0</v>
      </c>
      <c r="L111"/>
    </row>
    <row r="112" spans="1:12" ht="15.75">
      <c r="A112" s="15" t="s">
        <v>147</v>
      </c>
      <c r="B112" s="3" t="s">
        <v>22</v>
      </c>
      <c r="C112" s="23" t="s">
        <v>29</v>
      </c>
      <c r="D112" s="16" t="s">
        <v>166</v>
      </c>
      <c r="E112" s="16" t="s">
        <v>2102</v>
      </c>
      <c r="F112" s="158" t="s">
        <v>26</v>
      </c>
      <c r="G112" s="11">
        <f>F112*21</f>
        <v>0</v>
      </c>
      <c r="L112"/>
    </row>
    <row r="113" spans="1:12" ht="15.75">
      <c r="A113" s="15" t="s">
        <v>147</v>
      </c>
      <c r="B113" s="3" t="s">
        <v>22</v>
      </c>
      <c r="C113" s="23" t="s">
        <v>31</v>
      </c>
      <c r="D113" s="16" t="s">
        <v>167</v>
      </c>
      <c r="E113" s="16" t="s">
        <v>2102</v>
      </c>
      <c r="F113" s="158" t="s">
        <v>26</v>
      </c>
      <c r="G113" s="11">
        <f>F113*5</f>
        <v>0</v>
      </c>
      <c r="L113"/>
    </row>
    <row r="114" spans="1:12" ht="15.75">
      <c r="A114" s="15" t="s">
        <v>147</v>
      </c>
      <c r="B114" s="3" t="s">
        <v>22</v>
      </c>
      <c r="C114" s="23" t="s">
        <v>24</v>
      </c>
      <c r="D114" s="16" t="s">
        <v>169</v>
      </c>
      <c r="E114" s="16" t="s">
        <v>2102</v>
      </c>
      <c r="F114" s="158" t="s">
        <v>26</v>
      </c>
      <c r="G114" s="11">
        <f>F114*45</f>
        <v>0</v>
      </c>
      <c r="L114"/>
    </row>
    <row r="115" spans="1:12" ht="15.75">
      <c r="A115" s="15" t="s">
        <v>147</v>
      </c>
      <c r="B115" s="3" t="s">
        <v>22</v>
      </c>
      <c r="C115" s="23" t="s">
        <v>27</v>
      </c>
      <c r="D115" s="16" t="s">
        <v>170</v>
      </c>
      <c r="E115" s="16" t="s">
        <v>2102</v>
      </c>
      <c r="F115" s="158" t="s">
        <v>26</v>
      </c>
      <c r="G115" s="11">
        <f>F115*34</f>
        <v>0</v>
      </c>
      <c r="L115"/>
    </row>
    <row r="116" spans="1:12" ht="15.75">
      <c r="A116" s="15" t="s">
        <v>147</v>
      </c>
      <c r="B116" s="3" t="s">
        <v>22</v>
      </c>
      <c r="C116" s="23" t="s">
        <v>29</v>
      </c>
      <c r="D116" s="16" t="s">
        <v>171</v>
      </c>
      <c r="E116" s="16" t="s">
        <v>2102</v>
      </c>
      <c r="F116" s="158" t="s">
        <v>26</v>
      </c>
      <c r="G116" s="11">
        <f>F116*21</f>
        <v>0</v>
      </c>
      <c r="L116"/>
    </row>
    <row r="117" spans="1:12" ht="15.75">
      <c r="A117" s="15" t="s">
        <v>147</v>
      </c>
      <c r="B117" s="3" t="s">
        <v>22</v>
      </c>
      <c r="C117" s="23" t="s">
        <v>31</v>
      </c>
      <c r="D117" s="16" t="s">
        <v>172</v>
      </c>
      <c r="E117" s="16" t="s">
        <v>2102</v>
      </c>
      <c r="F117" s="158" t="s">
        <v>26</v>
      </c>
      <c r="G117" s="11">
        <f>F117*5</f>
        <v>0</v>
      </c>
      <c r="L117"/>
    </row>
    <row r="118" spans="1:12" ht="15.75">
      <c r="A118" s="15" t="s">
        <v>147</v>
      </c>
      <c r="B118" s="3" t="s">
        <v>22</v>
      </c>
      <c r="C118" s="23" t="s">
        <v>24</v>
      </c>
      <c r="D118" s="16" t="s">
        <v>1474</v>
      </c>
      <c r="E118" s="16" t="s">
        <v>2102</v>
      </c>
      <c r="F118" s="158" t="s">
        <v>26</v>
      </c>
      <c r="G118" s="11">
        <f>F118*45</f>
        <v>0</v>
      </c>
      <c r="L118"/>
    </row>
    <row r="119" spans="1:12" ht="15.75">
      <c r="A119" s="15" t="s">
        <v>147</v>
      </c>
      <c r="B119" s="3" t="s">
        <v>22</v>
      </c>
      <c r="C119" s="23" t="s">
        <v>27</v>
      </c>
      <c r="D119" s="16" t="s">
        <v>1475</v>
      </c>
      <c r="E119" s="16" t="s">
        <v>2102</v>
      </c>
      <c r="F119" s="158" t="s">
        <v>26</v>
      </c>
      <c r="G119" s="11">
        <f>F119*34</f>
        <v>0</v>
      </c>
      <c r="L119"/>
    </row>
    <row r="120" spans="1:12" ht="15.75">
      <c r="A120" s="15" t="s">
        <v>147</v>
      </c>
      <c r="B120" s="3" t="s">
        <v>22</v>
      </c>
      <c r="C120" s="23" t="s">
        <v>29</v>
      </c>
      <c r="D120" s="16" t="s">
        <v>173</v>
      </c>
      <c r="E120" s="16" t="s">
        <v>2102</v>
      </c>
      <c r="F120" s="158" t="s">
        <v>26</v>
      </c>
      <c r="G120" s="11">
        <f>F120*21</f>
        <v>0</v>
      </c>
      <c r="L120"/>
    </row>
    <row r="121" spans="1:12" ht="15.75">
      <c r="A121" s="15" t="s">
        <v>147</v>
      </c>
      <c r="B121" s="3" t="s">
        <v>22</v>
      </c>
      <c r="C121" s="23" t="s">
        <v>31</v>
      </c>
      <c r="D121" s="16" t="s">
        <v>174</v>
      </c>
      <c r="E121" s="16" t="s">
        <v>2102</v>
      </c>
      <c r="F121" s="158" t="s">
        <v>26</v>
      </c>
      <c r="G121" s="11">
        <f>F121*5</f>
        <v>0</v>
      </c>
      <c r="L121"/>
    </row>
    <row r="122" spans="1:12" ht="15.75">
      <c r="A122" s="15" t="s">
        <v>175</v>
      </c>
      <c r="B122" s="3" t="s">
        <v>22</v>
      </c>
      <c r="C122" s="23" t="s">
        <v>27</v>
      </c>
      <c r="D122" s="16" t="s">
        <v>176</v>
      </c>
      <c r="E122" s="16" t="s">
        <v>2102</v>
      </c>
      <c r="F122" s="158" t="s">
        <v>26</v>
      </c>
      <c r="G122" s="11">
        <f>F122*34</f>
        <v>0</v>
      </c>
      <c r="L122"/>
    </row>
    <row r="123" spans="1:12" ht="15.75">
      <c r="A123" s="15" t="s">
        <v>175</v>
      </c>
      <c r="B123" s="3" t="s">
        <v>22</v>
      </c>
      <c r="C123" s="23" t="s">
        <v>29</v>
      </c>
      <c r="D123" s="16" t="s">
        <v>177</v>
      </c>
      <c r="E123" s="16" t="s">
        <v>2102</v>
      </c>
      <c r="F123" s="158" t="s">
        <v>26</v>
      </c>
      <c r="G123" s="11">
        <f>F123*21</f>
        <v>0</v>
      </c>
      <c r="L123"/>
    </row>
    <row r="124" spans="1:12" ht="15.75">
      <c r="A124" s="15" t="s">
        <v>175</v>
      </c>
      <c r="B124" s="3" t="s">
        <v>22</v>
      </c>
      <c r="C124" s="23" t="s">
        <v>31</v>
      </c>
      <c r="D124" s="16" t="s">
        <v>178</v>
      </c>
      <c r="E124" s="16" t="s">
        <v>2102</v>
      </c>
      <c r="F124" s="158" t="s">
        <v>26</v>
      </c>
      <c r="G124" s="11">
        <f>F124*5</f>
        <v>0</v>
      </c>
      <c r="L124"/>
    </row>
    <row r="125" spans="1:12" ht="15.75">
      <c r="A125" s="15" t="s">
        <v>175</v>
      </c>
      <c r="B125" s="3" t="s">
        <v>22</v>
      </c>
      <c r="C125" s="25" t="s">
        <v>71</v>
      </c>
      <c r="D125" s="16" t="s">
        <v>180</v>
      </c>
      <c r="E125" s="16" t="s">
        <v>2102</v>
      </c>
      <c r="F125" s="158" t="s">
        <v>26</v>
      </c>
      <c r="G125" s="11">
        <f>F125*40</f>
        <v>0</v>
      </c>
      <c r="L125"/>
    </row>
    <row r="126" spans="1:12" ht="15.75">
      <c r="A126" s="15" t="s">
        <v>175</v>
      </c>
      <c r="B126" s="3" t="s">
        <v>22</v>
      </c>
      <c r="C126" s="25" t="s">
        <v>29</v>
      </c>
      <c r="D126" s="16" t="s">
        <v>181</v>
      </c>
      <c r="E126" s="16" t="s">
        <v>2102</v>
      </c>
      <c r="F126" s="158" t="s">
        <v>26</v>
      </c>
      <c r="G126" s="11">
        <f>F126*21</f>
        <v>0</v>
      </c>
      <c r="L126"/>
    </row>
    <row r="127" spans="1:12" ht="15.75">
      <c r="A127" s="15" t="s">
        <v>175</v>
      </c>
      <c r="B127" s="3" t="s">
        <v>22</v>
      </c>
      <c r="C127" s="25" t="s">
        <v>31</v>
      </c>
      <c r="D127" s="16" t="s">
        <v>182</v>
      </c>
      <c r="E127" s="16" t="s">
        <v>2102</v>
      </c>
      <c r="F127" s="158" t="s">
        <v>26</v>
      </c>
      <c r="G127" s="11">
        <f>F127*5</f>
        <v>0</v>
      </c>
      <c r="L127"/>
    </row>
    <row r="128" spans="1:12" ht="15.75">
      <c r="A128" s="15" t="s">
        <v>175</v>
      </c>
      <c r="B128" s="3" t="s">
        <v>22</v>
      </c>
      <c r="C128" s="25" t="s">
        <v>71</v>
      </c>
      <c r="D128" s="16" t="s">
        <v>184</v>
      </c>
      <c r="E128" s="16" t="s">
        <v>2102</v>
      </c>
      <c r="F128" s="158" t="s">
        <v>26</v>
      </c>
      <c r="G128" s="11">
        <f>F128*40</f>
        <v>0</v>
      </c>
      <c r="L128"/>
    </row>
    <row r="129" spans="1:12" ht="15.75">
      <c r="A129" s="15" t="s">
        <v>175</v>
      </c>
      <c r="B129" s="3" t="s">
        <v>22</v>
      </c>
      <c r="C129" s="25" t="s">
        <v>29</v>
      </c>
      <c r="D129" s="16" t="s">
        <v>185</v>
      </c>
      <c r="E129" s="16" t="s">
        <v>2102</v>
      </c>
      <c r="F129" s="158" t="s">
        <v>26</v>
      </c>
      <c r="G129" s="11">
        <f>F129*21</f>
        <v>0</v>
      </c>
      <c r="L129"/>
    </row>
    <row r="130" spans="1:12" ht="15.75">
      <c r="A130" s="15" t="s">
        <v>175</v>
      </c>
      <c r="B130" s="3" t="s">
        <v>22</v>
      </c>
      <c r="C130" s="23" t="s">
        <v>24</v>
      </c>
      <c r="D130" s="16" t="s">
        <v>187</v>
      </c>
      <c r="E130" s="16" t="s">
        <v>2102</v>
      </c>
      <c r="F130" s="158" t="s">
        <v>26</v>
      </c>
      <c r="G130" s="11">
        <f>F130*45</f>
        <v>0</v>
      </c>
      <c r="L130"/>
    </row>
    <row r="131" spans="1:12" ht="15.75">
      <c r="A131" s="15" t="s">
        <v>175</v>
      </c>
      <c r="B131" s="3" t="s">
        <v>22</v>
      </c>
      <c r="C131" s="23" t="s">
        <v>27</v>
      </c>
      <c r="D131" s="16" t="s">
        <v>188</v>
      </c>
      <c r="E131" s="16" t="s">
        <v>2102</v>
      </c>
      <c r="F131" s="158" t="s">
        <v>26</v>
      </c>
      <c r="G131" s="11">
        <f>F131*34</f>
        <v>0</v>
      </c>
      <c r="L131"/>
    </row>
    <row r="132" spans="1:12" ht="15.75">
      <c r="A132" s="15" t="s">
        <v>175</v>
      </c>
      <c r="B132" s="3" t="s">
        <v>22</v>
      </c>
      <c r="C132" s="23" t="s">
        <v>29</v>
      </c>
      <c r="D132" s="16" t="s">
        <v>189</v>
      </c>
      <c r="E132" s="16" t="s">
        <v>2102</v>
      </c>
      <c r="F132" s="158" t="s">
        <v>26</v>
      </c>
      <c r="G132" s="11">
        <f>F132*21</f>
        <v>0</v>
      </c>
      <c r="L132"/>
    </row>
    <row r="133" spans="1:12" ht="15.75">
      <c r="A133" s="15" t="s">
        <v>175</v>
      </c>
      <c r="B133" s="3" t="s">
        <v>22</v>
      </c>
      <c r="C133" s="23" t="s">
        <v>31</v>
      </c>
      <c r="D133" s="16" t="s">
        <v>190</v>
      </c>
      <c r="E133" s="16" t="s">
        <v>2102</v>
      </c>
      <c r="F133" s="158" t="s">
        <v>26</v>
      </c>
      <c r="G133" s="11">
        <f>F133*5</f>
        <v>0</v>
      </c>
      <c r="L133"/>
    </row>
    <row r="134" spans="1:12" ht="15.75">
      <c r="A134" s="15" t="s">
        <v>175</v>
      </c>
      <c r="B134" s="3" t="s">
        <v>22</v>
      </c>
      <c r="C134" s="23" t="s">
        <v>24</v>
      </c>
      <c r="D134" s="16" t="s">
        <v>138</v>
      </c>
      <c r="E134" s="16" t="s">
        <v>2102</v>
      </c>
      <c r="F134" s="157">
        <v>797</v>
      </c>
      <c r="G134" s="11">
        <f>F134*45</f>
        <v>35865</v>
      </c>
      <c r="L134"/>
    </row>
    <row r="135" spans="1:12" ht="15.75">
      <c r="A135" s="15" t="s">
        <v>175</v>
      </c>
      <c r="B135" s="3" t="s">
        <v>22</v>
      </c>
      <c r="C135" s="23" t="s">
        <v>27</v>
      </c>
      <c r="D135" s="16" t="s">
        <v>192</v>
      </c>
      <c r="E135" s="16" t="s">
        <v>2102</v>
      </c>
      <c r="F135" s="157">
        <v>382</v>
      </c>
      <c r="G135" s="11">
        <f>F135*34</f>
        <v>12988</v>
      </c>
      <c r="L135"/>
    </row>
    <row r="136" spans="1:12" ht="15.75">
      <c r="A136" s="15" t="s">
        <v>175</v>
      </c>
      <c r="B136" s="3" t="s">
        <v>22</v>
      </c>
      <c r="C136" s="23" t="s">
        <v>29</v>
      </c>
      <c r="D136" s="16" t="s">
        <v>193</v>
      </c>
      <c r="E136" s="16" t="s">
        <v>2102</v>
      </c>
      <c r="F136" s="157">
        <v>325</v>
      </c>
      <c r="G136" s="11">
        <f>F136*21</f>
        <v>6825</v>
      </c>
      <c r="L136"/>
    </row>
    <row r="137" spans="1:12" ht="15.75">
      <c r="A137" s="15" t="s">
        <v>175</v>
      </c>
      <c r="B137" s="3" t="s">
        <v>22</v>
      </c>
      <c r="C137" s="23" t="s">
        <v>31</v>
      </c>
      <c r="D137" s="16" t="s">
        <v>194</v>
      </c>
      <c r="E137" s="16" t="s">
        <v>2102</v>
      </c>
      <c r="F137" s="157">
        <v>239</v>
      </c>
      <c r="G137" s="11">
        <f>F137*5</f>
        <v>1195</v>
      </c>
      <c r="L137"/>
    </row>
    <row r="138" spans="1:12" ht="15.75">
      <c r="A138" s="15" t="s">
        <v>175</v>
      </c>
      <c r="B138" s="3" t="s">
        <v>22</v>
      </c>
      <c r="C138" s="23" t="s">
        <v>24</v>
      </c>
      <c r="D138" s="16" t="s">
        <v>195</v>
      </c>
      <c r="E138" s="16" t="s">
        <v>2102</v>
      </c>
      <c r="F138" s="158" t="s">
        <v>26</v>
      </c>
      <c r="G138" s="11">
        <f>F138*45</f>
        <v>0</v>
      </c>
      <c r="L138"/>
    </row>
    <row r="139" spans="1:12" ht="15.75">
      <c r="A139" s="15" t="s">
        <v>175</v>
      </c>
      <c r="B139" s="3" t="s">
        <v>22</v>
      </c>
      <c r="C139" s="23" t="s">
        <v>27</v>
      </c>
      <c r="D139" s="16" t="s">
        <v>196</v>
      </c>
      <c r="E139" s="16" t="s">
        <v>2102</v>
      </c>
      <c r="F139" s="158" t="s">
        <v>26</v>
      </c>
      <c r="G139" s="11">
        <f>F139*34</f>
        <v>0</v>
      </c>
      <c r="L139"/>
    </row>
    <row r="140" spans="1:12" ht="15.75">
      <c r="A140" s="15" t="s">
        <v>175</v>
      </c>
      <c r="B140" s="3" t="s">
        <v>22</v>
      </c>
      <c r="C140" s="23" t="s">
        <v>29</v>
      </c>
      <c r="D140" s="16" t="s">
        <v>197</v>
      </c>
      <c r="E140" s="16" t="s">
        <v>2102</v>
      </c>
      <c r="F140" s="158" t="s">
        <v>26</v>
      </c>
      <c r="G140" s="11">
        <f>F140*21</f>
        <v>0</v>
      </c>
      <c r="L140"/>
    </row>
    <row r="141" spans="1:12" ht="15.75">
      <c r="A141" s="15" t="s">
        <v>175</v>
      </c>
      <c r="B141" s="3" t="s">
        <v>22</v>
      </c>
      <c r="C141" s="23" t="s">
        <v>31</v>
      </c>
      <c r="D141" s="16" t="s">
        <v>198</v>
      </c>
      <c r="E141" s="16" t="s">
        <v>2102</v>
      </c>
      <c r="F141" s="158" t="s">
        <v>26</v>
      </c>
      <c r="G141" s="11">
        <f>F141*5</f>
        <v>0</v>
      </c>
      <c r="L141"/>
    </row>
    <row r="142" spans="1:12" ht="15.75">
      <c r="A142" s="15" t="s">
        <v>175</v>
      </c>
      <c r="B142" s="3" t="s">
        <v>22</v>
      </c>
      <c r="C142" s="23" t="s">
        <v>24</v>
      </c>
      <c r="D142" s="16" t="s">
        <v>200</v>
      </c>
      <c r="E142" s="16" t="s">
        <v>2102</v>
      </c>
      <c r="F142" s="158" t="s">
        <v>26</v>
      </c>
      <c r="G142" s="11">
        <f>F142*45</f>
        <v>0</v>
      </c>
      <c r="L142"/>
    </row>
    <row r="143" spans="1:12" ht="15.75">
      <c r="A143" s="15" t="s">
        <v>175</v>
      </c>
      <c r="B143" s="3" t="s">
        <v>22</v>
      </c>
      <c r="C143" s="23" t="s">
        <v>27</v>
      </c>
      <c r="D143" s="16" t="s">
        <v>201</v>
      </c>
      <c r="E143" s="16" t="s">
        <v>2102</v>
      </c>
      <c r="F143" s="158" t="s">
        <v>26</v>
      </c>
      <c r="G143" s="11">
        <f>F143*34</f>
        <v>0</v>
      </c>
      <c r="L143"/>
    </row>
    <row r="144" spans="1:12" ht="15.75">
      <c r="A144" s="15" t="s">
        <v>175</v>
      </c>
      <c r="B144" s="3" t="s">
        <v>22</v>
      </c>
      <c r="C144" s="23" t="s">
        <v>29</v>
      </c>
      <c r="D144" s="16" t="s">
        <v>48</v>
      </c>
      <c r="E144" s="16" t="s">
        <v>2102</v>
      </c>
      <c r="F144" s="158" t="s">
        <v>26</v>
      </c>
      <c r="G144" s="11">
        <f>F144*21</f>
        <v>0</v>
      </c>
      <c r="L144"/>
    </row>
    <row r="145" spans="1:12" ht="15.75">
      <c r="A145" s="15" t="s">
        <v>175</v>
      </c>
      <c r="B145" s="3" t="s">
        <v>22</v>
      </c>
      <c r="C145" s="23" t="s">
        <v>31</v>
      </c>
      <c r="D145" s="16" t="s">
        <v>202</v>
      </c>
      <c r="E145" s="16" t="s">
        <v>2102</v>
      </c>
      <c r="F145" s="158" t="s">
        <v>26</v>
      </c>
      <c r="G145" s="11">
        <f>F145*5</f>
        <v>0</v>
      </c>
      <c r="L145"/>
    </row>
    <row r="146" spans="1:12" ht="15.75">
      <c r="A146" s="15" t="s">
        <v>175</v>
      </c>
      <c r="B146" s="3" t="s">
        <v>22</v>
      </c>
      <c r="C146" s="23" t="s">
        <v>24</v>
      </c>
      <c r="D146" s="16" t="s">
        <v>203</v>
      </c>
      <c r="E146" s="16" t="s">
        <v>2102</v>
      </c>
      <c r="F146" s="158" t="s">
        <v>26</v>
      </c>
      <c r="G146" s="11">
        <f>F146*45</f>
        <v>0</v>
      </c>
      <c r="L146"/>
    </row>
    <row r="147" spans="1:12" ht="15.75">
      <c r="A147" s="15" t="s">
        <v>175</v>
      </c>
      <c r="B147" s="3" t="s">
        <v>22</v>
      </c>
      <c r="C147" s="23" t="s">
        <v>27</v>
      </c>
      <c r="D147" s="16" t="s">
        <v>204</v>
      </c>
      <c r="E147" s="16" t="s">
        <v>2102</v>
      </c>
      <c r="F147" s="158" t="s">
        <v>26</v>
      </c>
      <c r="G147" s="11">
        <f>F147*34</f>
        <v>0</v>
      </c>
      <c r="L147"/>
    </row>
    <row r="148" spans="1:12" ht="15.75">
      <c r="A148" s="15" t="s">
        <v>175</v>
      </c>
      <c r="B148" s="3" t="s">
        <v>22</v>
      </c>
      <c r="C148" s="23" t="s">
        <v>29</v>
      </c>
      <c r="D148" s="16" t="s">
        <v>205</v>
      </c>
      <c r="E148" s="16" t="s">
        <v>2102</v>
      </c>
      <c r="F148" s="158" t="s">
        <v>26</v>
      </c>
      <c r="G148" s="11">
        <f>F148*21</f>
        <v>0</v>
      </c>
      <c r="L148"/>
    </row>
    <row r="149" spans="1:12" ht="15.75">
      <c r="A149" s="15" t="s">
        <v>175</v>
      </c>
      <c r="B149" s="3" t="s">
        <v>22</v>
      </c>
      <c r="C149" s="23" t="s">
        <v>31</v>
      </c>
      <c r="D149" s="16" t="s">
        <v>206</v>
      </c>
      <c r="E149" s="16" t="s">
        <v>2102</v>
      </c>
      <c r="F149" s="158" t="s">
        <v>26</v>
      </c>
      <c r="G149" s="11">
        <f>F149*5</f>
        <v>0</v>
      </c>
      <c r="L149"/>
    </row>
    <row r="150" spans="1:12" ht="15.75">
      <c r="A150" s="15" t="s">
        <v>207</v>
      </c>
      <c r="B150" s="3" t="s">
        <v>22</v>
      </c>
      <c r="C150" s="25" t="s">
        <v>27</v>
      </c>
      <c r="D150" s="16" t="s">
        <v>208</v>
      </c>
      <c r="E150" s="16" t="s">
        <v>2102</v>
      </c>
      <c r="F150" s="158" t="s">
        <v>26</v>
      </c>
      <c r="G150" s="11">
        <f>F150*34</f>
        <v>0</v>
      </c>
      <c r="L150"/>
    </row>
    <row r="151" spans="1:12" ht="15.75">
      <c r="A151" s="15" t="s">
        <v>207</v>
      </c>
      <c r="B151" s="3" t="s">
        <v>22</v>
      </c>
      <c r="C151" s="25" t="s">
        <v>29</v>
      </c>
      <c r="D151" s="16" t="s">
        <v>209</v>
      </c>
      <c r="E151" s="16" t="s">
        <v>2102</v>
      </c>
      <c r="F151" s="158" t="s">
        <v>26</v>
      </c>
      <c r="G151" s="11">
        <f>F151*21</f>
        <v>0</v>
      </c>
      <c r="L151"/>
    </row>
    <row r="152" spans="1:12" ht="15.75">
      <c r="A152" s="15" t="s">
        <v>207</v>
      </c>
      <c r="B152" s="3" t="s">
        <v>22</v>
      </c>
      <c r="C152" s="25" t="s">
        <v>31</v>
      </c>
      <c r="D152" s="16" t="s">
        <v>210</v>
      </c>
      <c r="E152" s="16" t="s">
        <v>2102</v>
      </c>
      <c r="F152" s="158" t="s">
        <v>26</v>
      </c>
      <c r="G152" s="11">
        <f>F152*5</f>
        <v>0</v>
      </c>
      <c r="L152"/>
    </row>
    <row r="153" spans="1:12" ht="15.75">
      <c r="A153" s="15" t="s">
        <v>207</v>
      </c>
      <c r="B153" s="3" t="s">
        <v>22</v>
      </c>
      <c r="C153" s="23" t="s">
        <v>24</v>
      </c>
      <c r="D153" s="16" t="s">
        <v>212</v>
      </c>
      <c r="E153" s="16" t="s">
        <v>2102</v>
      </c>
      <c r="F153" s="158" t="s">
        <v>26</v>
      </c>
      <c r="G153" s="11">
        <f>F153*45</f>
        <v>0</v>
      </c>
      <c r="L153"/>
    </row>
    <row r="154" spans="1:12" ht="15.75">
      <c r="A154" s="15" t="s">
        <v>207</v>
      </c>
      <c r="B154" s="3" t="s">
        <v>22</v>
      </c>
      <c r="C154" s="23" t="s">
        <v>27</v>
      </c>
      <c r="D154" s="16" t="s">
        <v>213</v>
      </c>
      <c r="E154" s="16" t="s">
        <v>2102</v>
      </c>
      <c r="F154" s="158" t="s">
        <v>26</v>
      </c>
      <c r="G154" s="11">
        <f>F154*34</f>
        <v>0</v>
      </c>
      <c r="L154"/>
    </row>
    <row r="155" spans="1:12" ht="15.75">
      <c r="A155" s="15" t="s">
        <v>207</v>
      </c>
      <c r="B155" s="3" t="s">
        <v>22</v>
      </c>
      <c r="C155" s="23" t="s">
        <v>29</v>
      </c>
      <c r="D155" s="16" t="s">
        <v>214</v>
      </c>
      <c r="E155" s="16" t="s">
        <v>2102</v>
      </c>
      <c r="F155" s="158" t="s">
        <v>26</v>
      </c>
      <c r="G155" s="11">
        <f>F155*21</f>
        <v>0</v>
      </c>
      <c r="L155"/>
    </row>
    <row r="156" spans="1:12" ht="15.75">
      <c r="A156" s="15" t="s">
        <v>207</v>
      </c>
      <c r="B156" s="3" t="s">
        <v>22</v>
      </c>
      <c r="C156" s="23" t="s">
        <v>31</v>
      </c>
      <c r="D156" s="16" t="s">
        <v>215</v>
      </c>
      <c r="E156" s="16" t="s">
        <v>2102</v>
      </c>
      <c r="F156" s="158" t="s">
        <v>26</v>
      </c>
      <c r="G156" s="11">
        <f>F156*5</f>
        <v>0</v>
      </c>
      <c r="L156"/>
    </row>
    <row r="157" spans="1:12" ht="15.75">
      <c r="A157" s="15" t="s">
        <v>207</v>
      </c>
      <c r="B157" s="3" t="s">
        <v>22</v>
      </c>
      <c r="C157" s="25" t="s">
        <v>131</v>
      </c>
      <c r="D157" s="16" t="s">
        <v>216</v>
      </c>
      <c r="E157" s="16" t="s">
        <v>2102</v>
      </c>
      <c r="F157" s="158" t="s">
        <v>26</v>
      </c>
      <c r="G157" s="11">
        <f>F157*10</f>
        <v>0</v>
      </c>
      <c r="L157"/>
    </row>
    <row r="158" spans="1:12" ht="15.75">
      <c r="A158" s="15" t="s">
        <v>207</v>
      </c>
      <c r="B158" s="3" t="s">
        <v>22</v>
      </c>
      <c r="C158" s="25" t="s">
        <v>71</v>
      </c>
      <c r="D158" s="16" t="s">
        <v>217</v>
      </c>
      <c r="E158" s="16" t="s">
        <v>2102</v>
      </c>
      <c r="F158" s="158" t="s">
        <v>26</v>
      </c>
      <c r="G158" s="11">
        <f>F158*40</f>
        <v>0</v>
      </c>
      <c r="L158"/>
    </row>
    <row r="159" spans="1:12" ht="15.75">
      <c r="A159" s="15" t="s">
        <v>207</v>
      </c>
      <c r="B159" s="3" t="s">
        <v>22</v>
      </c>
      <c r="C159" s="25" t="s">
        <v>29</v>
      </c>
      <c r="D159" s="16" t="s">
        <v>218</v>
      </c>
      <c r="E159" s="16" t="s">
        <v>2102</v>
      </c>
      <c r="F159" s="158" t="s">
        <v>26</v>
      </c>
      <c r="G159" s="11">
        <f>F159*21</f>
        <v>0</v>
      </c>
      <c r="L159"/>
    </row>
    <row r="160" spans="1:12" ht="15.75">
      <c r="A160" s="15" t="s">
        <v>207</v>
      </c>
      <c r="B160" s="3" t="s">
        <v>22</v>
      </c>
      <c r="C160" s="23" t="s">
        <v>24</v>
      </c>
      <c r="D160" s="16" t="s">
        <v>60</v>
      </c>
      <c r="E160" s="16" t="s">
        <v>2102</v>
      </c>
      <c r="F160" s="158" t="s">
        <v>26</v>
      </c>
      <c r="G160" s="11">
        <f>F160*45</f>
        <v>0</v>
      </c>
      <c r="L160"/>
    </row>
    <row r="161" spans="1:12" ht="15.75">
      <c r="A161" s="15" t="s">
        <v>207</v>
      </c>
      <c r="B161" s="3" t="s">
        <v>22</v>
      </c>
      <c r="C161" s="23" t="s">
        <v>27</v>
      </c>
      <c r="D161" s="16" t="s">
        <v>219</v>
      </c>
      <c r="E161" s="16" t="s">
        <v>2102</v>
      </c>
      <c r="F161" s="158" t="s">
        <v>26</v>
      </c>
      <c r="G161" s="11">
        <f>F161*34</f>
        <v>0</v>
      </c>
      <c r="L161"/>
    </row>
    <row r="162" spans="1:12" ht="15.75">
      <c r="A162" s="15" t="s">
        <v>207</v>
      </c>
      <c r="B162" s="3" t="s">
        <v>22</v>
      </c>
      <c r="C162" s="23" t="s">
        <v>29</v>
      </c>
      <c r="D162" s="16" t="s">
        <v>220</v>
      </c>
      <c r="E162" s="16" t="s">
        <v>2102</v>
      </c>
      <c r="F162" s="158" t="s">
        <v>26</v>
      </c>
      <c r="G162" s="11">
        <f>F162*21</f>
        <v>0</v>
      </c>
      <c r="L162"/>
    </row>
    <row r="163" spans="1:12" ht="15.75">
      <c r="A163" s="15" t="s">
        <v>207</v>
      </c>
      <c r="B163" s="3" t="s">
        <v>22</v>
      </c>
      <c r="C163" s="23" t="s">
        <v>31</v>
      </c>
      <c r="D163" s="16" t="s">
        <v>221</v>
      </c>
      <c r="E163" s="16" t="s">
        <v>2102</v>
      </c>
      <c r="F163" s="158" t="s">
        <v>26</v>
      </c>
      <c r="G163" s="11">
        <f>F163*5</f>
        <v>0</v>
      </c>
      <c r="L163"/>
    </row>
    <row r="164" spans="1:12" ht="15.75">
      <c r="A164" s="15" t="s">
        <v>207</v>
      </c>
      <c r="B164" s="3" t="s">
        <v>22</v>
      </c>
      <c r="C164" s="23" t="s">
        <v>24</v>
      </c>
      <c r="D164" s="16" t="s">
        <v>222</v>
      </c>
      <c r="E164" s="16" t="s">
        <v>2102</v>
      </c>
      <c r="F164" s="158" t="s">
        <v>26</v>
      </c>
      <c r="G164" s="11">
        <f>F164*45</f>
        <v>0</v>
      </c>
      <c r="L164"/>
    </row>
    <row r="165" spans="1:12" ht="15.75">
      <c r="A165" s="15" t="s">
        <v>207</v>
      </c>
      <c r="B165" s="3" t="s">
        <v>22</v>
      </c>
      <c r="C165" s="23" t="s">
        <v>27</v>
      </c>
      <c r="D165" s="16" t="s">
        <v>223</v>
      </c>
      <c r="E165" s="16" t="s">
        <v>2102</v>
      </c>
      <c r="F165" s="158" t="s">
        <v>26</v>
      </c>
      <c r="G165" s="11">
        <f>F165*34</f>
        <v>0</v>
      </c>
      <c r="L165"/>
    </row>
    <row r="166" spans="1:12" ht="15.75">
      <c r="A166" s="15" t="s">
        <v>207</v>
      </c>
      <c r="B166" s="3" t="s">
        <v>22</v>
      </c>
      <c r="C166" s="23" t="s">
        <v>29</v>
      </c>
      <c r="D166" s="16" t="s">
        <v>224</v>
      </c>
      <c r="E166" s="16" t="s">
        <v>2102</v>
      </c>
      <c r="F166" s="158" t="s">
        <v>26</v>
      </c>
      <c r="G166" s="11">
        <f>F166*21</f>
        <v>0</v>
      </c>
      <c r="L166"/>
    </row>
    <row r="167" spans="1:12" ht="15.75">
      <c r="A167" s="15" t="s">
        <v>207</v>
      </c>
      <c r="B167" s="3" t="s">
        <v>22</v>
      </c>
      <c r="C167" s="23" t="s">
        <v>31</v>
      </c>
      <c r="D167" s="16" t="s">
        <v>225</v>
      </c>
      <c r="E167" s="16" t="s">
        <v>2102</v>
      </c>
      <c r="F167" s="158" t="s">
        <v>26</v>
      </c>
      <c r="G167" s="11">
        <f>F167*5</f>
        <v>0</v>
      </c>
      <c r="L167"/>
    </row>
    <row r="168" spans="1:12" ht="15.75">
      <c r="A168" s="15" t="s">
        <v>207</v>
      </c>
      <c r="B168" s="3" t="s">
        <v>22</v>
      </c>
      <c r="C168" s="23" t="s">
        <v>24</v>
      </c>
      <c r="D168" s="16" t="s">
        <v>227</v>
      </c>
      <c r="E168" s="16" t="s">
        <v>2102</v>
      </c>
      <c r="F168" s="158" t="s">
        <v>26</v>
      </c>
      <c r="G168" s="11">
        <f>F168*45</f>
        <v>0</v>
      </c>
      <c r="L168"/>
    </row>
    <row r="169" spans="1:12" ht="15.75">
      <c r="A169" s="15" t="s">
        <v>207</v>
      </c>
      <c r="B169" s="3" t="s">
        <v>22</v>
      </c>
      <c r="C169" s="23" t="s">
        <v>27</v>
      </c>
      <c r="D169" s="16" t="s">
        <v>228</v>
      </c>
      <c r="E169" s="16" t="s">
        <v>2102</v>
      </c>
      <c r="F169" s="158" t="s">
        <v>26</v>
      </c>
      <c r="G169" s="11">
        <f>F169*34</f>
        <v>0</v>
      </c>
      <c r="L169"/>
    </row>
    <row r="170" spans="1:12" ht="15.75">
      <c r="A170" s="15" t="s">
        <v>207</v>
      </c>
      <c r="B170" s="3" t="s">
        <v>22</v>
      </c>
      <c r="C170" s="23" t="s">
        <v>29</v>
      </c>
      <c r="D170" s="16" t="s">
        <v>229</v>
      </c>
      <c r="E170" s="16" t="s">
        <v>2102</v>
      </c>
      <c r="F170" s="158" t="s">
        <v>26</v>
      </c>
      <c r="G170" s="11">
        <f>F170*21</f>
        <v>0</v>
      </c>
      <c r="L170"/>
    </row>
    <row r="171" spans="1:12" ht="15.75">
      <c r="A171" s="15" t="s">
        <v>207</v>
      </c>
      <c r="B171" s="3" t="s">
        <v>22</v>
      </c>
      <c r="C171" s="23" t="s">
        <v>31</v>
      </c>
      <c r="D171" s="16" t="s">
        <v>230</v>
      </c>
      <c r="E171" s="16" t="s">
        <v>2102</v>
      </c>
      <c r="F171" s="158" t="s">
        <v>26</v>
      </c>
      <c r="G171" s="11">
        <f>F171*5</f>
        <v>0</v>
      </c>
      <c r="L171"/>
    </row>
    <row r="172" spans="1:12" ht="15.75">
      <c r="A172" s="15" t="s">
        <v>207</v>
      </c>
      <c r="B172" s="3" t="s">
        <v>22</v>
      </c>
      <c r="C172" s="23" t="s">
        <v>24</v>
      </c>
      <c r="D172" s="16" t="s">
        <v>231</v>
      </c>
      <c r="E172" s="16" t="s">
        <v>2102</v>
      </c>
      <c r="F172" s="157">
        <v>531</v>
      </c>
      <c r="G172" s="11">
        <f>F172*45</f>
        <v>23895</v>
      </c>
      <c r="L172"/>
    </row>
    <row r="173" spans="1:12" ht="15.75">
      <c r="A173" s="15" t="s">
        <v>207</v>
      </c>
      <c r="B173" s="3" t="s">
        <v>22</v>
      </c>
      <c r="C173" s="23" t="s">
        <v>27</v>
      </c>
      <c r="D173" s="16" t="s">
        <v>232</v>
      </c>
      <c r="E173" s="16" t="s">
        <v>2102</v>
      </c>
      <c r="F173" s="157">
        <v>284</v>
      </c>
      <c r="G173" s="11">
        <f>F173*34</f>
        <v>9656</v>
      </c>
      <c r="L173"/>
    </row>
    <row r="174" spans="1:12" ht="15.75">
      <c r="A174" s="15" t="s">
        <v>207</v>
      </c>
      <c r="B174" s="3" t="s">
        <v>22</v>
      </c>
      <c r="C174" s="23" t="s">
        <v>29</v>
      </c>
      <c r="D174" s="16" t="s">
        <v>233</v>
      </c>
      <c r="E174" s="16" t="s">
        <v>2102</v>
      </c>
      <c r="F174" s="157">
        <v>325</v>
      </c>
      <c r="G174" s="11">
        <f>F174*21</f>
        <v>6825</v>
      </c>
      <c r="L174"/>
    </row>
    <row r="175" spans="1:12" ht="15.75">
      <c r="A175" s="15" t="s">
        <v>207</v>
      </c>
      <c r="B175" s="3" t="s">
        <v>22</v>
      </c>
      <c r="C175" s="23" t="s">
        <v>31</v>
      </c>
      <c r="D175" s="16" t="s">
        <v>174</v>
      </c>
      <c r="E175" s="16" t="s">
        <v>2102</v>
      </c>
      <c r="F175" s="157">
        <v>160</v>
      </c>
      <c r="G175" s="11">
        <f>F175*5</f>
        <v>800</v>
      </c>
      <c r="L175"/>
    </row>
    <row r="176" spans="1:12" ht="15.75">
      <c r="A176" s="15" t="s">
        <v>207</v>
      </c>
      <c r="B176" s="3" t="s">
        <v>22</v>
      </c>
      <c r="C176" s="25" t="s">
        <v>27</v>
      </c>
      <c r="D176" s="16" t="s">
        <v>234</v>
      </c>
      <c r="E176" s="16" t="s">
        <v>2102</v>
      </c>
      <c r="F176" s="158" t="s">
        <v>26</v>
      </c>
      <c r="G176" s="11">
        <f>F176*34</f>
        <v>0</v>
      </c>
      <c r="L176"/>
    </row>
    <row r="177" spans="1:12" ht="15.75">
      <c r="A177" s="15" t="s">
        <v>207</v>
      </c>
      <c r="B177" s="3" t="s">
        <v>22</v>
      </c>
      <c r="C177" s="25" t="s">
        <v>29</v>
      </c>
      <c r="D177" s="16" t="s">
        <v>235</v>
      </c>
      <c r="E177" s="16" t="s">
        <v>2102</v>
      </c>
      <c r="F177" s="158" t="s">
        <v>26</v>
      </c>
      <c r="G177" s="11">
        <f>F177*21</f>
        <v>0</v>
      </c>
      <c r="L177"/>
    </row>
    <row r="178" spans="1:12" ht="15.75">
      <c r="A178" s="15" t="s">
        <v>207</v>
      </c>
      <c r="B178" s="3" t="s">
        <v>22</v>
      </c>
      <c r="C178" s="23" t="s">
        <v>24</v>
      </c>
      <c r="D178" s="16" t="s">
        <v>212</v>
      </c>
      <c r="E178" s="16" t="s">
        <v>2102</v>
      </c>
      <c r="F178" s="158" t="s">
        <v>26</v>
      </c>
      <c r="G178" s="11">
        <f>F178*45</f>
        <v>0</v>
      </c>
      <c r="L178"/>
    </row>
    <row r="179" spans="1:12" ht="15.75">
      <c r="A179" s="15" t="s">
        <v>207</v>
      </c>
      <c r="B179" s="3" t="s">
        <v>22</v>
      </c>
      <c r="C179" s="23" t="s">
        <v>27</v>
      </c>
      <c r="D179" s="16" t="s">
        <v>213</v>
      </c>
      <c r="E179" s="16" t="s">
        <v>2102</v>
      </c>
      <c r="F179" s="158" t="s">
        <v>26</v>
      </c>
      <c r="G179" s="11">
        <f>F179*34</f>
        <v>0</v>
      </c>
      <c r="L179"/>
    </row>
    <row r="180" spans="1:12" ht="15.75">
      <c r="A180" s="15" t="s">
        <v>207</v>
      </c>
      <c r="B180" s="3" t="s">
        <v>22</v>
      </c>
      <c r="C180" s="23" t="s">
        <v>29</v>
      </c>
      <c r="D180" s="16" t="s">
        <v>214</v>
      </c>
      <c r="E180" s="16" t="s">
        <v>2102</v>
      </c>
      <c r="F180" s="158" t="s">
        <v>26</v>
      </c>
      <c r="G180" s="11">
        <f>F180*21</f>
        <v>0</v>
      </c>
      <c r="L180"/>
    </row>
    <row r="181" spans="1:12" ht="15.75">
      <c r="A181" s="15" t="s">
        <v>207</v>
      </c>
      <c r="B181" s="3" t="s">
        <v>22</v>
      </c>
      <c r="C181" s="23" t="s">
        <v>31</v>
      </c>
      <c r="D181" s="16" t="s">
        <v>215</v>
      </c>
      <c r="E181" s="16" t="s">
        <v>2102</v>
      </c>
      <c r="F181" s="158" t="s">
        <v>26</v>
      </c>
      <c r="G181" s="11">
        <f>F181*5</f>
        <v>0</v>
      </c>
      <c r="L181"/>
    </row>
    <row r="182" spans="1:12" ht="15.75">
      <c r="A182" s="15" t="s">
        <v>207</v>
      </c>
      <c r="B182" s="3" t="s">
        <v>22</v>
      </c>
      <c r="C182" s="25" t="s">
        <v>131</v>
      </c>
      <c r="D182" s="16" t="s">
        <v>216</v>
      </c>
      <c r="E182" s="16" t="s">
        <v>2102</v>
      </c>
      <c r="F182" s="157">
        <v>194</v>
      </c>
      <c r="G182" s="11">
        <f>F182*10</f>
        <v>1940</v>
      </c>
      <c r="L182"/>
    </row>
    <row r="183" spans="1:12" ht="15.75">
      <c r="A183" s="15" t="s">
        <v>207</v>
      </c>
      <c r="B183" s="3" t="s">
        <v>22</v>
      </c>
      <c r="C183" s="25" t="s">
        <v>71</v>
      </c>
      <c r="D183" s="16" t="s">
        <v>217</v>
      </c>
      <c r="E183" s="16" t="s">
        <v>2102</v>
      </c>
      <c r="F183" s="158" t="s">
        <v>26</v>
      </c>
      <c r="G183" s="11">
        <f>F183*40</f>
        <v>0</v>
      </c>
      <c r="L183"/>
    </row>
    <row r="184" spans="1:12" ht="15.75">
      <c r="A184" s="15" t="s">
        <v>207</v>
      </c>
      <c r="B184" s="3" t="s">
        <v>22</v>
      </c>
      <c r="C184" s="25" t="s">
        <v>29</v>
      </c>
      <c r="D184" s="16" t="s">
        <v>218</v>
      </c>
      <c r="E184" s="16" t="s">
        <v>2102</v>
      </c>
      <c r="F184" s="158" t="s">
        <v>26</v>
      </c>
      <c r="G184" s="11">
        <f>F184*21</f>
        <v>0</v>
      </c>
      <c r="L184"/>
    </row>
    <row r="185" spans="1:12" ht="15.75">
      <c r="A185" s="15" t="s">
        <v>236</v>
      </c>
      <c r="B185" s="3" t="s">
        <v>22</v>
      </c>
      <c r="C185" s="23" t="s">
        <v>24</v>
      </c>
      <c r="D185" s="16" t="s">
        <v>237</v>
      </c>
      <c r="E185" s="16" t="s">
        <v>2102</v>
      </c>
      <c r="F185" s="158" t="s">
        <v>26</v>
      </c>
      <c r="G185" s="11">
        <f>F185*45</f>
        <v>0</v>
      </c>
      <c r="L185"/>
    </row>
    <row r="186" spans="1:12" ht="15.75">
      <c r="A186" s="20" t="s">
        <v>236</v>
      </c>
      <c r="B186" s="3" t="s">
        <v>22</v>
      </c>
      <c r="C186" s="23" t="s">
        <v>27</v>
      </c>
      <c r="D186" s="16" t="s">
        <v>238</v>
      </c>
      <c r="E186" s="16" t="s">
        <v>2102</v>
      </c>
      <c r="F186" s="158" t="s">
        <v>26</v>
      </c>
      <c r="G186" s="11">
        <f>F186*34</f>
        <v>0</v>
      </c>
      <c r="L186"/>
    </row>
    <row r="187" spans="1:12" ht="15.75">
      <c r="A187" s="20" t="s">
        <v>236</v>
      </c>
      <c r="B187" s="3" t="s">
        <v>22</v>
      </c>
      <c r="C187" s="23" t="s">
        <v>29</v>
      </c>
      <c r="D187" s="16" t="s">
        <v>239</v>
      </c>
      <c r="E187" s="16" t="s">
        <v>2102</v>
      </c>
      <c r="F187" s="158" t="s">
        <v>26</v>
      </c>
      <c r="G187" s="11">
        <f>F187*21</f>
        <v>0</v>
      </c>
      <c r="L187"/>
    </row>
    <row r="188" spans="1:12" ht="15.75">
      <c r="A188" s="20" t="s">
        <v>236</v>
      </c>
      <c r="B188" s="3" t="s">
        <v>22</v>
      </c>
      <c r="C188" s="23" t="s">
        <v>31</v>
      </c>
      <c r="D188" s="16" t="s">
        <v>240</v>
      </c>
      <c r="E188" s="16" t="s">
        <v>2102</v>
      </c>
      <c r="F188" s="158" t="s">
        <v>26</v>
      </c>
      <c r="G188" s="11">
        <f>F188*5</f>
        <v>0</v>
      </c>
      <c r="L188"/>
    </row>
    <row r="189" spans="1:12" ht="15.75">
      <c r="A189" s="20" t="s">
        <v>236</v>
      </c>
      <c r="B189" s="3" t="s">
        <v>22</v>
      </c>
      <c r="C189" s="23" t="s">
        <v>24</v>
      </c>
      <c r="D189" s="16" t="s">
        <v>242</v>
      </c>
      <c r="E189" s="16" t="s">
        <v>2102</v>
      </c>
      <c r="F189" s="157">
        <v>849</v>
      </c>
      <c r="G189" s="11">
        <f>F189*45</f>
        <v>38205</v>
      </c>
      <c r="L189"/>
    </row>
    <row r="190" spans="1:12" ht="15.75">
      <c r="A190" s="20" t="s">
        <v>236</v>
      </c>
      <c r="B190" s="3" t="s">
        <v>22</v>
      </c>
      <c r="C190" s="23" t="s">
        <v>27</v>
      </c>
      <c r="D190" s="16" t="s">
        <v>243</v>
      </c>
      <c r="E190" s="16" t="s">
        <v>2102</v>
      </c>
      <c r="F190" s="157">
        <v>294</v>
      </c>
      <c r="G190" s="11">
        <f>F190*34</f>
        <v>9996</v>
      </c>
      <c r="L190"/>
    </row>
    <row r="191" spans="1:12" ht="15.75">
      <c r="A191" s="20" t="s">
        <v>236</v>
      </c>
      <c r="B191" s="3" t="s">
        <v>22</v>
      </c>
      <c r="C191" s="23" t="s">
        <v>29</v>
      </c>
      <c r="D191" s="16" t="s">
        <v>244</v>
      </c>
      <c r="E191" s="16" t="s">
        <v>2102</v>
      </c>
      <c r="F191" s="157">
        <v>457</v>
      </c>
      <c r="G191" s="11">
        <f>F191*21</f>
        <v>9597</v>
      </c>
      <c r="L191"/>
    </row>
    <row r="192" spans="1:12" ht="15.75">
      <c r="A192" s="20" t="s">
        <v>236</v>
      </c>
      <c r="B192" s="3" t="s">
        <v>22</v>
      </c>
      <c r="C192" s="23" t="s">
        <v>31</v>
      </c>
      <c r="D192" s="16" t="s">
        <v>245</v>
      </c>
      <c r="E192" s="16" t="s">
        <v>2102</v>
      </c>
      <c r="F192" s="157">
        <v>141</v>
      </c>
      <c r="G192" s="11">
        <f>F192*5</f>
        <v>705</v>
      </c>
      <c r="L192"/>
    </row>
    <row r="193" spans="1:12" ht="15.75">
      <c r="A193" s="20" t="s">
        <v>236</v>
      </c>
      <c r="B193" s="3" t="s">
        <v>22</v>
      </c>
      <c r="C193" s="23" t="s">
        <v>24</v>
      </c>
      <c r="D193" s="16" t="s">
        <v>246</v>
      </c>
      <c r="E193" s="16" t="s">
        <v>2102</v>
      </c>
      <c r="F193" s="158" t="s">
        <v>26</v>
      </c>
      <c r="G193" s="11">
        <f>F193*45</f>
        <v>0</v>
      </c>
      <c r="L193"/>
    </row>
    <row r="194" spans="1:12" ht="15.75">
      <c r="A194" s="20" t="s">
        <v>236</v>
      </c>
      <c r="B194" s="3" t="s">
        <v>22</v>
      </c>
      <c r="C194" s="23" t="s">
        <v>27</v>
      </c>
      <c r="D194" s="16" t="s">
        <v>247</v>
      </c>
      <c r="E194" s="16" t="s">
        <v>2102</v>
      </c>
      <c r="F194" s="158" t="s">
        <v>26</v>
      </c>
      <c r="G194" s="11">
        <f>F194*34</f>
        <v>0</v>
      </c>
      <c r="L194"/>
    </row>
    <row r="195" spans="1:12" ht="15.75">
      <c r="A195" s="20" t="s">
        <v>236</v>
      </c>
      <c r="B195" s="3" t="s">
        <v>22</v>
      </c>
      <c r="C195" s="23" t="s">
        <v>29</v>
      </c>
      <c r="D195" s="16" t="s">
        <v>248</v>
      </c>
      <c r="E195" s="16" t="s">
        <v>2102</v>
      </c>
      <c r="F195" s="158" t="s">
        <v>26</v>
      </c>
      <c r="G195" s="11">
        <f>F195*21</f>
        <v>0</v>
      </c>
      <c r="L195"/>
    </row>
    <row r="196" spans="1:12" ht="15.75">
      <c r="A196" s="20" t="s">
        <v>236</v>
      </c>
      <c r="B196" s="3" t="s">
        <v>22</v>
      </c>
      <c r="C196" s="23" t="s">
        <v>31</v>
      </c>
      <c r="D196" s="16" t="s">
        <v>249</v>
      </c>
      <c r="E196" s="16" t="s">
        <v>2102</v>
      </c>
      <c r="F196" s="158" t="s">
        <v>26</v>
      </c>
      <c r="G196" s="11">
        <f>F196*5</f>
        <v>0</v>
      </c>
      <c r="L196"/>
    </row>
    <row r="197" spans="1:12" ht="15.75">
      <c r="A197" s="20" t="s">
        <v>236</v>
      </c>
      <c r="B197" s="3" t="s">
        <v>22</v>
      </c>
      <c r="C197" s="25" t="s">
        <v>131</v>
      </c>
      <c r="D197" s="16" t="s">
        <v>251</v>
      </c>
      <c r="E197" s="16" t="s">
        <v>2102</v>
      </c>
      <c r="F197" s="157">
        <v>40</v>
      </c>
      <c r="G197" s="11">
        <f>F197*10</f>
        <v>400</v>
      </c>
      <c r="L197"/>
    </row>
    <row r="198" spans="1:12" ht="15.75">
      <c r="A198" s="20" t="s">
        <v>236</v>
      </c>
      <c r="B198" s="3" t="s">
        <v>22</v>
      </c>
      <c r="C198" s="25" t="s">
        <v>71</v>
      </c>
      <c r="D198" s="16" t="s">
        <v>252</v>
      </c>
      <c r="E198" s="16" t="s">
        <v>2102</v>
      </c>
      <c r="F198" s="157">
        <v>169</v>
      </c>
      <c r="G198" s="11">
        <f>F198*40</f>
        <v>6760</v>
      </c>
      <c r="L198"/>
    </row>
    <row r="199" spans="1:12" ht="15.75">
      <c r="A199" s="20" t="s">
        <v>236</v>
      </c>
      <c r="B199" s="3" t="s">
        <v>22</v>
      </c>
      <c r="C199" s="25" t="s">
        <v>29</v>
      </c>
      <c r="D199" s="16" t="s">
        <v>253</v>
      </c>
      <c r="E199" s="16" t="s">
        <v>2102</v>
      </c>
      <c r="F199" s="158" t="s">
        <v>26</v>
      </c>
      <c r="G199" s="11">
        <f>F199*21</f>
        <v>0</v>
      </c>
      <c r="L199"/>
    </row>
    <row r="200" spans="1:12" ht="15.75">
      <c r="A200" s="20" t="s">
        <v>236</v>
      </c>
      <c r="B200" s="3" t="s">
        <v>22</v>
      </c>
      <c r="C200" s="25" t="s">
        <v>31</v>
      </c>
      <c r="D200" s="16" t="s">
        <v>254</v>
      </c>
      <c r="E200" s="16" t="s">
        <v>2102</v>
      </c>
      <c r="F200" s="158" t="s">
        <v>26</v>
      </c>
      <c r="G200" s="11">
        <f>F200*5</f>
        <v>0</v>
      </c>
      <c r="L200"/>
    </row>
    <row r="201" spans="1:12" ht="15.75">
      <c r="A201" s="20" t="s">
        <v>236</v>
      </c>
      <c r="B201" s="3" t="s">
        <v>22</v>
      </c>
      <c r="C201" s="25" t="s">
        <v>27</v>
      </c>
      <c r="D201" s="16" t="s">
        <v>255</v>
      </c>
      <c r="E201" s="16" t="s">
        <v>2102</v>
      </c>
      <c r="F201" s="158" t="s">
        <v>26</v>
      </c>
      <c r="G201" s="11">
        <f>F201*34</f>
        <v>0</v>
      </c>
      <c r="L201"/>
    </row>
    <row r="202" spans="1:12" ht="15.75">
      <c r="A202" s="20" t="s">
        <v>236</v>
      </c>
      <c r="B202" s="3" t="s">
        <v>22</v>
      </c>
      <c r="C202" s="25" t="s">
        <v>29</v>
      </c>
      <c r="D202" s="16" t="s">
        <v>256</v>
      </c>
      <c r="E202" s="16" t="s">
        <v>2102</v>
      </c>
      <c r="F202" s="158" t="s">
        <v>26</v>
      </c>
      <c r="G202" s="11">
        <f>F202*21</f>
        <v>0</v>
      </c>
      <c r="L202"/>
    </row>
    <row r="203" spans="1:12" ht="15.75">
      <c r="A203" s="20" t="s">
        <v>236</v>
      </c>
      <c r="B203" s="3" t="s">
        <v>22</v>
      </c>
      <c r="C203" s="25" t="s">
        <v>31</v>
      </c>
      <c r="D203" s="16" t="s">
        <v>257</v>
      </c>
      <c r="E203" s="16" t="s">
        <v>2102</v>
      </c>
      <c r="F203" s="158" t="s">
        <v>26</v>
      </c>
      <c r="G203" s="11">
        <f>F203*5</f>
        <v>0</v>
      </c>
      <c r="L203"/>
    </row>
    <row r="204" spans="1:12" ht="15.75">
      <c r="A204" s="20" t="s">
        <v>236</v>
      </c>
      <c r="B204" s="3" t="s">
        <v>22</v>
      </c>
      <c r="C204" s="25" t="s">
        <v>131</v>
      </c>
      <c r="D204" s="16" t="s">
        <v>258</v>
      </c>
      <c r="E204" s="16" t="s">
        <v>2102</v>
      </c>
      <c r="F204" s="158" t="s">
        <v>26</v>
      </c>
      <c r="G204" s="11">
        <f>F204*10</f>
        <v>0</v>
      </c>
      <c r="L204"/>
    </row>
    <row r="205" spans="1:12" ht="15.75">
      <c r="A205" s="20" t="s">
        <v>236</v>
      </c>
      <c r="B205" s="3" t="s">
        <v>22</v>
      </c>
      <c r="C205" s="23" t="s">
        <v>24</v>
      </c>
      <c r="D205" s="16" t="s">
        <v>259</v>
      </c>
      <c r="E205" s="16" t="s">
        <v>2102</v>
      </c>
      <c r="F205" s="158" t="s">
        <v>26</v>
      </c>
      <c r="G205" s="11">
        <f>F205*45</f>
        <v>0</v>
      </c>
      <c r="L205"/>
    </row>
    <row r="206" spans="1:12" ht="15.75">
      <c r="A206" s="20" t="s">
        <v>236</v>
      </c>
      <c r="B206" s="3" t="s">
        <v>22</v>
      </c>
      <c r="C206" s="23" t="s">
        <v>27</v>
      </c>
      <c r="D206" s="16" t="s">
        <v>260</v>
      </c>
      <c r="E206" s="16" t="s">
        <v>2102</v>
      </c>
      <c r="F206" s="158" t="s">
        <v>26</v>
      </c>
      <c r="G206" s="11">
        <f>F206*34</f>
        <v>0</v>
      </c>
      <c r="L206"/>
    </row>
    <row r="207" spans="1:12" ht="15.75">
      <c r="A207" s="20" t="s">
        <v>236</v>
      </c>
      <c r="B207" s="3" t="s">
        <v>22</v>
      </c>
      <c r="C207" s="23" t="s">
        <v>29</v>
      </c>
      <c r="D207" s="16" t="s">
        <v>261</v>
      </c>
      <c r="E207" s="16" t="s">
        <v>2102</v>
      </c>
      <c r="F207" s="158" t="s">
        <v>26</v>
      </c>
      <c r="G207" s="11">
        <f>F207*21</f>
        <v>0</v>
      </c>
      <c r="L207"/>
    </row>
    <row r="208" spans="1:12" ht="15.75">
      <c r="A208" s="20" t="s">
        <v>236</v>
      </c>
      <c r="B208" s="3" t="s">
        <v>22</v>
      </c>
      <c r="C208" s="23" t="s">
        <v>31</v>
      </c>
      <c r="D208" s="16" t="s">
        <v>154</v>
      </c>
      <c r="E208" s="16" t="s">
        <v>2102</v>
      </c>
      <c r="F208" s="158" t="s">
        <v>26</v>
      </c>
      <c r="G208" s="11">
        <f>F208*5</f>
        <v>0</v>
      </c>
      <c r="L208"/>
    </row>
    <row r="209" spans="1:12" ht="15.75">
      <c r="A209" s="20" t="s">
        <v>236</v>
      </c>
      <c r="B209" s="3" t="s">
        <v>22</v>
      </c>
      <c r="C209" s="23" t="s">
        <v>24</v>
      </c>
      <c r="D209" s="16" t="s">
        <v>262</v>
      </c>
      <c r="E209" s="16" t="s">
        <v>2102</v>
      </c>
      <c r="F209" s="158" t="s">
        <v>26</v>
      </c>
      <c r="G209" s="11">
        <f>F209*45</f>
        <v>0</v>
      </c>
      <c r="L209"/>
    </row>
    <row r="210" spans="1:12" ht="15.75">
      <c r="A210" s="20" t="s">
        <v>236</v>
      </c>
      <c r="B210" s="3" t="s">
        <v>22</v>
      </c>
      <c r="C210" s="23" t="s">
        <v>27</v>
      </c>
      <c r="D210" s="16" t="s">
        <v>263</v>
      </c>
      <c r="E210" s="16" t="s">
        <v>2102</v>
      </c>
      <c r="F210" s="158" t="s">
        <v>26</v>
      </c>
      <c r="G210" s="11">
        <f>F210*34</f>
        <v>0</v>
      </c>
      <c r="L210"/>
    </row>
    <row r="211" spans="1:12" ht="15.75">
      <c r="A211" s="20" t="s">
        <v>236</v>
      </c>
      <c r="B211" s="3" t="s">
        <v>22</v>
      </c>
      <c r="C211" s="23" t="s">
        <v>29</v>
      </c>
      <c r="D211" s="16" t="s">
        <v>264</v>
      </c>
      <c r="E211" s="16" t="s">
        <v>2102</v>
      </c>
      <c r="F211" s="158" t="s">
        <v>26</v>
      </c>
      <c r="G211" s="11">
        <f>F211*21</f>
        <v>0</v>
      </c>
      <c r="L211"/>
    </row>
    <row r="212" spans="1:12" ht="15.75">
      <c r="A212" s="20" t="s">
        <v>236</v>
      </c>
      <c r="B212" s="3" t="s">
        <v>22</v>
      </c>
      <c r="C212" s="23" t="s">
        <v>31</v>
      </c>
      <c r="D212" s="16" t="s">
        <v>265</v>
      </c>
      <c r="E212" s="16" t="s">
        <v>2102</v>
      </c>
      <c r="F212" s="158" t="s">
        <v>26</v>
      </c>
      <c r="G212" s="11">
        <f>F212*5</f>
        <v>0</v>
      </c>
      <c r="L212"/>
    </row>
    <row r="213" spans="1:12" ht="15.75">
      <c r="A213" s="20" t="s">
        <v>236</v>
      </c>
      <c r="B213" s="3" t="s">
        <v>22</v>
      </c>
      <c r="C213" s="25" t="s">
        <v>131</v>
      </c>
      <c r="D213" s="16" t="s">
        <v>266</v>
      </c>
      <c r="E213" s="16" t="s">
        <v>2102</v>
      </c>
      <c r="F213" s="158" t="s">
        <v>26</v>
      </c>
      <c r="G213" s="11">
        <f>F213*10</f>
        <v>0</v>
      </c>
      <c r="L213"/>
    </row>
    <row r="214" spans="1:12" ht="15.75">
      <c r="A214" s="20" t="s">
        <v>236</v>
      </c>
      <c r="B214" s="3" t="s">
        <v>22</v>
      </c>
      <c r="C214" s="23" t="s">
        <v>24</v>
      </c>
      <c r="D214" s="16" t="s">
        <v>267</v>
      </c>
      <c r="E214" s="16" t="s">
        <v>2102</v>
      </c>
      <c r="F214" s="158" t="s">
        <v>26</v>
      </c>
      <c r="G214" s="11">
        <f>F214*45</f>
        <v>0</v>
      </c>
      <c r="L214"/>
    </row>
    <row r="215" spans="1:12" ht="15.75">
      <c r="A215" s="20" t="s">
        <v>236</v>
      </c>
      <c r="B215" s="3" t="s">
        <v>22</v>
      </c>
      <c r="C215" s="23" t="s">
        <v>27</v>
      </c>
      <c r="D215" s="16" t="s">
        <v>268</v>
      </c>
      <c r="E215" s="16" t="s">
        <v>2102</v>
      </c>
      <c r="F215" s="158" t="s">
        <v>26</v>
      </c>
      <c r="G215" s="11">
        <f>F215*34</f>
        <v>0</v>
      </c>
      <c r="L215"/>
    </row>
    <row r="216" spans="1:12" ht="15.75">
      <c r="A216" s="20" t="s">
        <v>236</v>
      </c>
      <c r="B216" s="3" t="s">
        <v>22</v>
      </c>
      <c r="C216" s="23" t="s">
        <v>29</v>
      </c>
      <c r="D216" s="16" t="s">
        <v>269</v>
      </c>
      <c r="E216" s="16" t="s">
        <v>2102</v>
      </c>
      <c r="F216" s="158" t="s">
        <v>26</v>
      </c>
      <c r="G216" s="11">
        <f>F216*21</f>
        <v>0</v>
      </c>
      <c r="L216"/>
    </row>
    <row r="217" spans="1:12" ht="15.75">
      <c r="A217" s="20" t="s">
        <v>236</v>
      </c>
      <c r="B217" s="3" t="s">
        <v>22</v>
      </c>
      <c r="C217" s="23" t="s">
        <v>31</v>
      </c>
      <c r="D217" s="16" t="s">
        <v>270</v>
      </c>
      <c r="E217" s="16" t="s">
        <v>2102</v>
      </c>
      <c r="F217" s="158" t="s">
        <v>26</v>
      </c>
      <c r="G217" s="11">
        <f>F217*5</f>
        <v>0</v>
      </c>
      <c r="L217"/>
    </row>
    <row r="218" spans="1:12" ht="15.75">
      <c r="A218" s="18" t="s">
        <v>271</v>
      </c>
      <c r="B218" s="3" t="s">
        <v>22</v>
      </c>
      <c r="C218" s="23" t="s">
        <v>24</v>
      </c>
      <c r="D218" s="16" t="s">
        <v>273</v>
      </c>
      <c r="E218" s="16" t="s">
        <v>2102</v>
      </c>
      <c r="F218" s="157">
        <v>814</v>
      </c>
      <c r="G218" s="11">
        <f>F218*45</f>
        <v>36630</v>
      </c>
      <c r="L218"/>
    </row>
    <row r="219" spans="1:12" ht="15.75">
      <c r="A219" s="18" t="s">
        <v>271</v>
      </c>
      <c r="B219" s="3" t="s">
        <v>22</v>
      </c>
      <c r="C219" s="23" t="s">
        <v>27</v>
      </c>
      <c r="D219" s="16" t="s">
        <v>213</v>
      </c>
      <c r="E219" s="16" t="s">
        <v>2102</v>
      </c>
      <c r="F219" s="157">
        <v>370</v>
      </c>
      <c r="G219" s="11">
        <f>F219*34</f>
        <v>12580</v>
      </c>
      <c r="L219"/>
    </row>
    <row r="220" spans="1:12" ht="15.75">
      <c r="A220" s="18" t="s">
        <v>271</v>
      </c>
      <c r="B220" s="3" t="s">
        <v>22</v>
      </c>
      <c r="C220" s="23" t="s">
        <v>29</v>
      </c>
      <c r="D220" s="16" t="s">
        <v>274</v>
      </c>
      <c r="E220" s="16" t="s">
        <v>2102</v>
      </c>
      <c r="F220" s="157">
        <v>540</v>
      </c>
      <c r="G220" s="11">
        <f>F220*21</f>
        <v>11340</v>
      </c>
      <c r="L220"/>
    </row>
    <row r="221" spans="1:12" ht="15.75">
      <c r="A221" s="18" t="s">
        <v>271</v>
      </c>
      <c r="B221" s="3" t="s">
        <v>22</v>
      </c>
      <c r="C221" s="23" t="s">
        <v>31</v>
      </c>
      <c r="D221" s="16" t="s">
        <v>275</v>
      </c>
      <c r="E221" s="16" t="s">
        <v>2102</v>
      </c>
      <c r="F221" s="157">
        <v>231</v>
      </c>
      <c r="G221" s="11">
        <f>F221*5</f>
        <v>1155</v>
      </c>
      <c r="L221"/>
    </row>
    <row r="222" spans="1:12" ht="15.75">
      <c r="A222" s="18" t="s">
        <v>271</v>
      </c>
      <c r="B222" s="3" t="s">
        <v>22</v>
      </c>
      <c r="C222" s="23" t="s">
        <v>24</v>
      </c>
      <c r="D222" s="16" t="s">
        <v>227</v>
      </c>
      <c r="E222" s="16" t="s">
        <v>2102</v>
      </c>
      <c r="F222" s="158" t="s">
        <v>26</v>
      </c>
      <c r="G222" s="11">
        <f>F222*45</f>
        <v>0</v>
      </c>
      <c r="L222"/>
    </row>
    <row r="223" spans="1:12" ht="15.75">
      <c r="A223" s="18" t="s">
        <v>271</v>
      </c>
      <c r="B223" s="3" t="s">
        <v>22</v>
      </c>
      <c r="C223" s="23" t="s">
        <v>27</v>
      </c>
      <c r="D223" s="16" t="s">
        <v>276</v>
      </c>
      <c r="E223" s="16" t="s">
        <v>2102</v>
      </c>
      <c r="F223" s="158" t="s">
        <v>26</v>
      </c>
      <c r="G223" s="11">
        <f>F223*34</f>
        <v>0</v>
      </c>
      <c r="L223"/>
    </row>
    <row r="224" spans="1:12" ht="15.75">
      <c r="A224" s="18" t="s">
        <v>271</v>
      </c>
      <c r="B224" s="3" t="s">
        <v>22</v>
      </c>
      <c r="C224" s="23" t="s">
        <v>29</v>
      </c>
      <c r="D224" s="16" t="s">
        <v>277</v>
      </c>
      <c r="E224" s="16" t="s">
        <v>2102</v>
      </c>
      <c r="F224" s="158" t="s">
        <v>26</v>
      </c>
      <c r="G224" s="11">
        <f>F224*21</f>
        <v>0</v>
      </c>
      <c r="L224"/>
    </row>
    <row r="225" spans="1:12" ht="15.75">
      <c r="A225" s="18" t="s">
        <v>271</v>
      </c>
      <c r="B225" s="3" t="s">
        <v>22</v>
      </c>
      <c r="C225" s="23" t="s">
        <v>31</v>
      </c>
      <c r="D225" s="16" t="s">
        <v>278</v>
      </c>
      <c r="E225" s="16" t="s">
        <v>2102</v>
      </c>
      <c r="F225" s="158" t="s">
        <v>26</v>
      </c>
      <c r="G225" s="11">
        <f>F225*5</f>
        <v>0</v>
      </c>
      <c r="L225"/>
    </row>
    <row r="226" spans="1:12" ht="15.75">
      <c r="A226" s="18" t="s">
        <v>271</v>
      </c>
      <c r="B226" s="3" t="s">
        <v>22</v>
      </c>
      <c r="C226" s="23" t="s">
        <v>24</v>
      </c>
      <c r="D226" s="16" t="s">
        <v>279</v>
      </c>
      <c r="E226" s="16" t="s">
        <v>2102</v>
      </c>
      <c r="F226" s="158" t="s">
        <v>26</v>
      </c>
      <c r="G226" s="11">
        <f>F226*45</f>
        <v>0</v>
      </c>
      <c r="L226"/>
    </row>
    <row r="227" spans="1:12" ht="15.75">
      <c r="A227" s="18" t="s">
        <v>271</v>
      </c>
      <c r="B227" s="3" t="s">
        <v>22</v>
      </c>
      <c r="C227" s="23" t="s">
        <v>27</v>
      </c>
      <c r="D227" s="16" t="s">
        <v>280</v>
      </c>
      <c r="E227" s="16" t="s">
        <v>2102</v>
      </c>
      <c r="F227" s="158" t="s">
        <v>26</v>
      </c>
      <c r="G227" s="11">
        <f>F227*34</f>
        <v>0</v>
      </c>
      <c r="L227"/>
    </row>
    <row r="228" spans="1:12" ht="15.75">
      <c r="A228" s="18" t="s">
        <v>271</v>
      </c>
      <c r="B228" s="3" t="s">
        <v>22</v>
      </c>
      <c r="C228" s="23" t="s">
        <v>29</v>
      </c>
      <c r="D228" s="16" t="s">
        <v>1476</v>
      </c>
      <c r="E228" s="16" t="s">
        <v>2102</v>
      </c>
      <c r="F228" s="158" t="s">
        <v>26</v>
      </c>
      <c r="G228" s="11">
        <f>F228*21</f>
        <v>0</v>
      </c>
      <c r="L228"/>
    </row>
    <row r="229" spans="1:12" ht="15.75">
      <c r="A229" s="18" t="s">
        <v>271</v>
      </c>
      <c r="B229" s="3" t="s">
        <v>22</v>
      </c>
      <c r="C229" s="23" t="s">
        <v>31</v>
      </c>
      <c r="D229" s="16" t="s">
        <v>281</v>
      </c>
      <c r="E229" s="16" t="s">
        <v>2102</v>
      </c>
      <c r="F229" s="158" t="s">
        <v>26</v>
      </c>
      <c r="G229" s="11">
        <f>F229*5</f>
        <v>0</v>
      </c>
      <c r="L229"/>
    </row>
    <row r="230" spans="1:12" ht="15.75">
      <c r="A230" s="18" t="s">
        <v>271</v>
      </c>
      <c r="B230" s="3" t="s">
        <v>22</v>
      </c>
      <c r="C230" s="23" t="s">
        <v>24</v>
      </c>
      <c r="D230" s="16" t="s">
        <v>282</v>
      </c>
      <c r="E230" s="16" t="s">
        <v>2102</v>
      </c>
      <c r="F230" s="158" t="s">
        <v>26</v>
      </c>
      <c r="G230" s="11">
        <f>F230*45</f>
        <v>0</v>
      </c>
      <c r="L230"/>
    </row>
    <row r="231" spans="1:12" ht="15.75">
      <c r="A231" s="18" t="s">
        <v>271</v>
      </c>
      <c r="B231" s="3" t="s">
        <v>22</v>
      </c>
      <c r="C231" s="23" t="s">
        <v>27</v>
      </c>
      <c r="D231" s="16" t="s">
        <v>283</v>
      </c>
      <c r="E231" s="16" t="s">
        <v>2102</v>
      </c>
      <c r="F231" s="158" t="s">
        <v>26</v>
      </c>
      <c r="G231" s="11">
        <f>F231*34</f>
        <v>0</v>
      </c>
      <c r="L231"/>
    </row>
    <row r="232" spans="1:12" ht="15.75">
      <c r="A232" s="18" t="s">
        <v>271</v>
      </c>
      <c r="B232" s="3" t="s">
        <v>22</v>
      </c>
      <c r="C232" s="23" t="s">
        <v>29</v>
      </c>
      <c r="D232" s="16" t="s">
        <v>284</v>
      </c>
      <c r="E232" s="16" t="s">
        <v>2102</v>
      </c>
      <c r="F232" s="158" t="s">
        <v>26</v>
      </c>
      <c r="G232" s="11">
        <f>F232*21</f>
        <v>0</v>
      </c>
      <c r="L232"/>
    </row>
    <row r="233" spans="1:12" ht="15.75">
      <c r="A233" s="18" t="s">
        <v>271</v>
      </c>
      <c r="B233" s="3" t="s">
        <v>22</v>
      </c>
      <c r="C233" s="23" t="s">
        <v>31</v>
      </c>
      <c r="D233" s="16" t="s">
        <v>285</v>
      </c>
      <c r="E233" s="16" t="s">
        <v>2102</v>
      </c>
      <c r="F233" s="158" t="s">
        <v>26</v>
      </c>
      <c r="G233" s="11">
        <f>F233*5</f>
        <v>0</v>
      </c>
      <c r="L233"/>
    </row>
    <row r="234" spans="1:12" ht="15.75">
      <c r="A234" s="18" t="s">
        <v>271</v>
      </c>
      <c r="B234" s="3" t="s">
        <v>22</v>
      </c>
      <c r="C234" s="25" t="s">
        <v>131</v>
      </c>
      <c r="D234" s="16" t="s">
        <v>286</v>
      </c>
      <c r="E234" s="16" t="s">
        <v>2102</v>
      </c>
      <c r="F234" s="158" t="s">
        <v>26</v>
      </c>
      <c r="G234" s="11">
        <f>F234*10</f>
        <v>0</v>
      </c>
      <c r="L234"/>
    </row>
    <row r="235" spans="1:12" ht="15.75">
      <c r="A235" s="18" t="s">
        <v>271</v>
      </c>
      <c r="B235" s="3" t="s">
        <v>22</v>
      </c>
      <c r="C235" s="23" t="s">
        <v>27</v>
      </c>
      <c r="D235" s="16" t="s">
        <v>287</v>
      </c>
      <c r="E235" s="16" t="s">
        <v>2102</v>
      </c>
      <c r="F235" s="158" t="s">
        <v>26</v>
      </c>
      <c r="G235" s="11">
        <f>F235*34</f>
        <v>0</v>
      </c>
      <c r="L235"/>
    </row>
    <row r="236" spans="1:12" ht="15.75">
      <c r="A236" s="18" t="s">
        <v>271</v>
      </c>
      <c r="B236" s="3" t="s">
        <v>22</v>
      </c>
      <c r="C236" s="23" t="s">
        <v>29</v>
      </c>
      <c r="D236" s="16" t="s">
        <v>288</v>
      </c>
      <c r="E236" s="16" t="s">
        <v>2102</v>
      </c>
      <c r="F236" s="158" t="s">
        <v>26</v>
      </c>
      <c r="G236" s="11">
        <f>F236*21</f>
        <v>0</v>
      </c>
      <c r="L236"/>
    </row>
    <row r="237" spans="1:12" ht="15.75">
      <c r="A237" s="18" t="s">
        <v>271</v>
      </c>
      <c r="B237" s="3" t="s">
        <v>22</v>
      </c>
      <c r="C237" s="23" t="s">
        <v>31</v>
      </c>
      <c r="D237" s="16" t="s">
        <v>289</v>
      </c>
      <c r="E237" s="16" t="s">
        <v>2102</v>
      </c>
      <c r="F237" s="158" t="s">
        <v>26</v>
      </c>
      <c r="G237" s="11">
        <f>F237*5</f>
        <v>0</v>
      </c>
      <c r="L237"/>
    </row>
    <row r="238" spans="1:12" ht="15.75">
      <c r="A238" s="18" t="s">
        <v>271</v>
      </c>
      <c r="B238" s="3" t="s">
        <v>22</v>
      </c>
      <c r="C238" s="25" t="s">
        <v>71</v>
      </c>
      <c r="D238" s="16" t="s">
        <v>290</v>
      </c>
      <c r="E238" s="16" t="s">
        <v>2102</v>
      </c>
      <c r="F238" s="157">
        <v>245</v>
      </c>
      <c r="G238" s="11">
        <f>F238*40</f>
        <v>9800</v>
      </c>
      <c r="L238"/>
    </row>
    <row r="239" spans="1:12" ht="15.75">
      <c r="A239" s="18" t="s">
        <v>271</v>
      </c>
      <c r="B239" s="3" t="s">
        <v>22</v>
      </c>
      <c r="C239" s="23" t="s">
        <v>29</v>
      </c>
      <c r="D239" s="16" t="s">
        <v>291</v>
      </c>
      <c r="E239" s="16" t="s">
        <v>2102</v>
      </c>
      <c r="F239" s="158" t="s">
        <v>26</v>
      </c>
      <c r="G239" s="11">
        <f>F239*21</f>
        <v>0</v>
      </c>
      <c r="L239"/>
    </row>
    <row r="240" spans="1:12" ht="15.75">
      <c r="A240" s="18" t="s">
        <v>271</v>
      </c>
      <c r="B240" s="3" t="s">
        <v>22</v>
      </c>
      <c r="C240" s="23" t="s">
        <v>31</v>
      </c>
      <c r="D240" s="16" t="s">
        <v>292</v>
      </c>
      <c r="E240" s="16" t="s">
        <v>2102</v>
      </c>
      <c r="F240" s="158" t="s">
        <v>26</v>
      </c>
      <c r="G240" s="11">
        <f>F240*5</f>
        <v>0</v>
      </c>
      <c r="L240"/>
    </row>
    <row r="241" spans="1:12" ht="15.75">
      <c r="A241" s="18" t="s">
        <v>271</v>
      </c>
      <c r="B241" s="3" t="s">
        <v>22</v>
      </c>
      <c r="C241" s="23" t="s">
        <v>27</v>
      </c>
      <c r="D241" s="16" t="s">
        <v>293</v>
      </c>
      <c r="E241" s="16" t="s">
        <v>2102</v>
      </c>
      <c r="F241" s="158" t="s">
        <v>26</v>
      </c>
      <c r="G241" s="11">
        <f>F241*34</f>
        <v>0</v>
      </c>
      <c r="L241"/>
    </row>
    <row r="242" spans="1:12" ht="15.75">
      <c r="A242" s="18" t="s">
        <v>271</v>
      </c>
      <c r="B242" s="3" t="s">
        <v>22</v>
      </c>
      <c r="C242" s="23" t="s">
        <v>29</v>
      </c>
      <c r="D242" s="16" t="s">
        <v>294</v>
      </c>
      <c r="E242" s="16" t="s">
        <v>2102</v>
      </c>
      <c r="F242" s="158" t="s">
        <v>26</v>
      </c>
      <c r="G242" s="11">
        <f>F242*21</f>
        <v>0</v>
      </c>
      <c r="L242"/>
    </row>
    <row r="243" spans="1:12" ht="15.75">
      <c r="A243" s="18" t="s">
        <v>271</v>
      </c>
      <c r="B243" s="3" t="s">
        <v>22</v>
      </c>
      <c r="C243" s="23" t="s">
        <v>31</v>
      </c>
      <c r="D243" s="16" t="s">
        <v>295</v>
      </c>
      <c r="E243" s="16" t="s">
        <v>2102</v>
      </c>
      <c r="F243" s="158" t="s">
        <v>26</v>
      </c>
      <c r="G243" s="11">
        <f>F243*5</f>
        <v>0</v>
      </c>
      <c r="L243"/>
    </row>
    <row r="244" spans="1:12" ht="15.75">
      <c r="A244" s="18" t="s">
        <v>271</v>
      </c>
      <c r="B244" s="3" t="s">
        <v>22</v>
      </c>
      <c r="C244" s="23" t="s">
        <v>24</v>
      </c>
      <c r="D244" s="16" t="s">
        <v>296</v>
      </c>
      <c r="E244" s="16" t="s">
        <v>2102</v>
      </c>
      <c r="F244" s="158" t="s">
        <v>26</v>
      </c>
      <c r="G244" s="11">
        <f>F244*45</f>
        <v>0</v>
      </c>
      <c r="L244"/>
    </row>
    <row r="245" spans="1:12" ht="15.75">
      <c r="A245" s="18" t="s">
        <v>271</v>
      </c>
      <c r="B245" s="3" t="s">
        <v>22</v>
      </c>
      <c r="C245" s="23" t="s">
        <v>27</v>
      </c>
      <c r="D245" s="16" t="s">
        <v>297</v>
      </c>
      <c r="E245" s="16" t="s">
        <v>2102</v>
      </c>
      <c r="F245" s="158" t="s">
        <v>26</v>
      </c>
      <c r="G245" s="11">
        <f>F245*34</f>
        <v>0</v>
      </c>
      <c r="L245"/>
    </row>
    <row r="246" spans="1:12" ht="15.75">
      <c r="A246" s="18" t="s">
        <v>271</v>
      </c>
      <c r="B246" s="3" t="s">
        <v>22</v>
      </c>
      <c r="C246" s="23" t="s">
        <v>29</v>
      </c>
      <c r="D246" s="16" t="s">
        <v>298</v>
      </c>
      <c r="E246" s="16" t="s">
        <v>2102</v>
      </c>
      <c r="F246" s="158" t="s">
        <v>26</v>
      </c>
      <c r="G246" s="11">
        <f>F246*21</f>
        <v>0</v>
      </c>
      <c r="L246"/>
    </row>
    <row r="247" spans="1:12" ht="15.75">
      <c r="A247" s="18" t="s">
        <v>271</v>
      </c>
      <c r="B247" s="3" t="s">
        <v>22</v>
      </c>
      <c r="C247" s="23" t="s">
        <v>31</v>
      </c>
      <c r="D247" s="16" t="s">
        <v>299</v>
      </c>
      <c r="E247" s="16" t="s">
        <v>2102</v>
      </c>
      <c r="F247" s="158" t="s">
        <v>26</v>
      </c>
      <c r="G247" s="11">
        <f>F247*5</f>
        <v>0</v>
      </c>
      <c r="L247"/>
    </row>
    <row r="248" spans="1:12" ht="15.75">
      <c r="A248" s="18" t="s">
        <v>271</v>
      </c>
      <c r="B248" s="3" t="s">
        <v>22</v>
      </c>
      <c r="C248" s="25" t="s">
        <v>131</v>
      </c>
      <c r="D248" s="16" t="s">
        <v>256</v>
      </c>
      <c r="E248" s="16" t="s">
        <v>2102</v>
      </c>
      <c r="F248" s="158" t="s">
        <v>26</v>
      </c>
      <c r="G248" s="11">
        <f>F248*10</f>
        <v>0</v>
      </c>
      <c r="L248"/>
    </row>
    <row r="249" spans="1:12" ht="15.75">
      <c r="A249" s="18" t="s">
        <v>271</v>
      </c>
      <c r="B249" s="3" t="s">
        <v>22</v>
      </c>
      <c r="C249" s="23" t="s">
        <v>24</v>
      </c>
      <c r="D249" s="16" t="s">
        <v>300</v>
      </c>
      <c r="E249" s="16" t="s">
        <v>2102</v>
      </c>
      <c r="F249" s="158" t="s">
        <v>26</v>
      </c>
      <c r="G249" s="11">
        <f>F249*45</f>
        <v>0</v>
      </c>
      <c r="L249"/>
    </row>
    <row r="250" spans="1:12" ht="15.75">
      <c r="A250" s="18" t="s">
        <v>271</v>
      </c>
      <c r="B250" s="3" t="s">
        <v>22</v>
      </c>
      <c r="C250" s="23" t="s">
        <v>27</v>
      </c>
      <c r="D250" s="16" t="s">
        <v>281</v>
      </c>
      <c r="E250" s="16" t="s">
        <v>2102</v>
      </c>
      <c r="F250" s="158" t="s">
        <v>26</v>
      </c>
      <c r="G250" s="11">
        <f>F250*34</f>
        <v>0</v>
      </c>
      <c r="L250"/>
    </row>
    <row r="251" spans="1:12" ht="15.75">
      <c r="A251" s="18" t="s">
        <v>271</v>
      </c>
      <c r="B251" s="3" t="s">
        <v>22</v>
      </c>
      <c r="C251" s="23" t="s">
        <v>29</v>
      </c>
      <c r="D251" s="16" t="s">
        <v>301</v>
      </c>
      <c r="E251" s="16" t="s">
        <v>2102</v>
      </c>
      <c r="F251" s="158" t="s">
        <v>26</v>
      </c>
      <c r="G251" s="11">
        <f>F251*21</f>
        <v>0</v>
      </c>
      <c r="L251"/>
    </row>
    <row r="252" spans="1:12" ht="15.75">
      <c r="A252" s="18" t="s">
        <v>271</v>
      </c>
      <c r="B252" s="3" t="s">
        <v>22</v>
      </c>
      <c r="C252" s="23" t="s">
        <v>31</v>
      </c>
      <c r="D252" s="16" t="s">
        <v>302</v>
      </c>
      <c r="E252" s="16" t="s">
        <v>2102</v>
      </c>
      <c r="F252" s="158" t="s">
        <v>26</v>
      </c>
      <c r="G252" s="11">
        <f>F252*5</f>
        <v>0</v>
      </c>
      <c r="L252"/>
    </row>
    <row r="253" spans="1:12" ht="15.75">
      <c r="A253" s="18" t="s">
        <v>303</v>
      </c>
      <c r="B253" s="3" t="s">
        <v>22</v>
      </c>
      <c r="C253" s="23" t="s">
        <v>27</v>
      </c>
      <c r="D253" s="16" t="s">
        <v>304</v>
      </c>
      <c r="E253" s="16" t="s">
        <v>2102</v>
      </c>
      <c r="F253" s="158" t="s">
        <v>26</v>
      </c>
      <c r="G253" s="11">
        <f>F253*34</f>
        <v>0</v>
      </c>
      <c r="L253"/>
    </row>
    <row r="254" spans="1:12" ht="15.75">
      <c r="A254" s="18" t="s">
        <v>303</v>
      </c>
      <c r="B254" s="3" t="s">
        <v>22</v>
      </c>
      <c r="C254" s="23" t="s">
        <v>29</v>
      </c>
      <c r="D254" s="16" t="s">
        <v>305</v>
      </c>
      <c r="E254" s="16" t="s">
        <v>2102</v>
      </c>
      <c r="F254" s="158" t="s">
        <v>26</v>
      </c>
      <c r="G254" s="11">
        <f>F254*21</f>
        <v>0</v>
      </c>
      <c r="L254"/>
    </row>
    <row r="255" spans="1:12" ht="15.75">
      <c r="A255" s="18" t="s">
        <v>303</v>
      </c>
      <c r="B255" s="3" t="s">
        <v>22</v>
      </c>
      <c r="C255" s="23" t="s">
        <v>31</v>
      </c>
      <c r="D255" s="16" t="s">
        <v>306</v>
      </c>
      <c r="E255" s="16" t="s">
        <v>2102</v>
      </c>
      <c r="F255" s="158" t="s">
        <v>26</v>
      </c>
      <c r="G255" s="11">
        <f>F255*5</f>
        <v>0</v>
      </c>
      <c r="L255"/>
    </row>
    <row r="256" spans="1:12" ht="15.75">
      <c r="A256" s="18" t="s">
        <v>303</v>
      </c>
      <c r="B256" s="3" t="s">
        <v>22</v>
      </c>
      <c r="C256" s="23" t="s">
        <v>27</v>
      </c>
      <c r="D256" s="16" t="s">
        <v>307</v>
      </c>
      <c r="E256" s="16" t="s">
        <v>2102</v>
      </c>
      <c r="F256" s="158" t="s">
        <v>26</v>
      </c>
      <c r="G256" s="11">
        <f>F256*34</f>
        <v>0</v>
      </c>
      <c r="L256"/>
    </row>
    <row r="257" spans="1:12" ht="15.75">
      <c r="A257" s="18" t="s">
        <v>303</v>
      </c>
      <c r="B257" s="3" t="s">
        <v>22</v>
      </c>
      <c r="C257" s="23" t="s">
        <v>29</v>
      </c>
      <c r="D257" s="16" t="s">
        <v>308</v>
      </c>
      <c r="E257" s="16" t="s">
        <v>2102</v>
      </c>
      <c r="F257" s="158" t="s">
        <v>26</v>
      </c>
      <c r="G257" s="11">
        <f>F257*21</f>
        <v>0</v>
      </c>
      <c r="L257"/>
    </row>
    <row r="258" spans="1:12" ht="15.75">
      <c r="A258" s="18" t="s">
        <v>303</v>
      </c>
      <c r="B258" s="3" t="s">
        <v>22</v>
      </c>
      <c r="C258" s="23" t="s">
        <v>31</v>
      </c>
      <c r="D258" s="16" t="s">
        <v>309</v>
      </c>
      <c r="E258" s="16" t="s">
        <v>2102</v>
      </c>
      <c r="F258" s="158" t="s">
        <v>26</v>
      </c>
      <c r="G258" s="11">
        <f>F258*5</f>
        <v>0</v>
      </c>
      <c r="L258"/>
    </row>
    <row r="259" spans="1:12" ht="15.75">
      <c r="A259" s="18" t="s">
        <v>303</v>
      </c>
      <c r="B259" s="3" t="s">
        <v>22</v>
      </c>
      <c r="C259" s="23" t="s">
        <v>24</v>
      </c>
      <c r="D259" s="16" t="s">
        <v>311</v>
      </c>
      <c r="E259" s="16" t="s">
        <v>2102</v>
      </c>
      <c r="F259" s="157">
        <v>850</v>
      </c>
      <c r="G259" s="11">
        <f>F259*45</f>
        <v>38250</v>
      </c>
      <c r="L259"/>
    </row>
    <row r="260" spans="1:12" ht="15.75">
      <c r="A260" s="18" t="s">
        <v>303</v>
      </c>
      <c r="B260" s="3" t="s">
        <v>22</v>
      </c>
      <c r="C260" s="23" t="s">
        <v>27</v>
      </c>
      <c r="D260" s="16" t="s">
        <v>312</v>
      </c>
      <c r="E260" s="16" t="s">
        <v>2102</v>
      </c>
      <c r="F260" s="157">
        <v>390</v>
      </c>
      <c r="G260" s="11">
        <f>F260*34</f>
        <v>13260</v>
      </c>
      <c r="L260"/>
    </row>
    <row r="261" spans="1:12" ht="15.75">
      <c r="A261" s="18" t="s">
        <v>303</v>
      </c>
      <c r="B261" s="3" t="s">
        <v>22</v>
      </c>
      <c r="C261" s="23" t="s">
        <v>29</v>
      </c>
      <c r="D261" s="16" t="s">
        <v>313</v>
      </c>
      <c r="E261" s="16" t="s">
        <v>2102</v>
      </c>
      <c r="F261" s="157">
        <v>902</v>
      </c>
      <c r="G261" s="11">
        <f>F261*21</f>
        <v>18942</v>
      </c>
      <c r="L261"/>
    </row>
    <row r="262" spans="1:12" ht="15.75">
      <c r="A262" s="18" t="s">
        <v>303</v>
      </c>
      <c r="B262" s="3" t="s">
        <v>22</v>
      </c>
      <c r="C262" s="23" t="s">
        <v>31</v>
      </c>
      <c r="D262" s="16" t="s">
        <v>314</v>
      </c>
      <c r="E262" s="16" t="s">
        <v>2102</v>
      </c>
      <c r="F262" s="157">
        <v>45</v>
      </c>
      <c r="G262" s="11">
        <f>F262*5</f>
        <v>225</v>
      </c>
      <c r="L262"/>
    </row>
    <row r="263" spans="1:12" ht="15.75">
      <c r="A263" s="18" t="s">
        <v>303</v>
      </c>
      <c r="B263" s="3" t="s">
        <v>22</v>
      </c>
      <c r="C263" s="23" t="s">
        <v>24</v>
      </c>
      <c r="D263" s="16" t="s">
        <v>316</v>
      </c>
      <c r="E263" s="16" t="s">
        <v>2102</v>
      </c>
      <c r="F263" s="158" t="s">
        <v>26</v>
      </c>
      <c r="G263" s="11">
        <f>F263*45</f>
        <v>0</v>
      </c>
      <c r="L263"/>
    </row>
    <row r="264" spans="1:12" ht="15.75">
      <c r="A264" s="18" t="s">
        <v>303</v>
      </c>
      <c r="B264" s="3" t="s">
        <v>22</v>
      </c>
      <c r="C264" s="23" t="s">
        <v>27</v>
      </c>
      <c r="D264" s="16" t="s">
        <v>317</v>
      </c>
      <c r="E264" s="16" t="s">
        <v>2102</v>
      </c>
      <c r="F264" s="158" t="s">
        <v>26</v>
      </c>
      <c r="G264" s="11">
        <f>F264*34</f>
        <v>0</v>
      </c>
      <c r="L264"/>
    </row>
    <row r="265" spans="1:12" ht="15.75">
      <c r="A265" s="18" t="s">
        <v>303</v>
      </c>
      <c r="B265" s="3" t="s">
        <v>22</v>
      </c>
      <c r="C265" s="23" t="s">
        <v>29</v>
      </c>
      <c r="D265" s="16" t="s">
        <v>318</v>
      </c>
      <c r="E265" s="16" t="s">
        <v>2102</v>
      </c>
      <c r="F265" s="158" t="s">
        <v>26</v>
      </c>
      <c r="G265" s="11">
        <f>F265*21</f>
        <v>0</v>
      </c>
      <c r="L265"/>
    </row>
    <row r="266" spans="1:12" ht="15.75">
      <c r="A266" s="18" t="s">
        <v>303</v>
      </c>
      <c r="B266" s="3" t="s">
        <v>22</v>
      </c>
      <c r="C266" s="23" t="s">
        <v>31</v>
      </c>
      <c r="D266" s="16" t="s">
        <v>319</v>
      </c>
      <c r="E266" s="16" t="s">
        <v>2102</v>
      </c>
      <c r="F266" s="158" t="s">
        <v>26</v>
      </c>
      <c r="G266" s="11">
        <f>F266*5</f>
        <v>0</v>
      </c>
      <c r="L266"/>
    </row>
    <row r="267" spans="1:12" ht="15.75">
      <c r="A267" s="18" t="s">
        <v>303</v>
      </c>
      <c r="B267" s="3" t="s">
        <v>22</v>
      </c>
      <c r="C267" s="23" t="s">
        <v>24</v>
      </c>
      <c r="D267" s="16" t="s">
        <v>321</v>
      </c>
      <c r="E267" s="16" t="s">
        <v>2102</v>
      </c>
      <c r="F267" s="158" t="s">
        <v>26</v>
      </c>
      <c r="G267" s="11">
        <f>F267*45</f>
        <v>0</v>
      </c>
      <c r="L267"/>
    </row>
    <row r="268" spans="1:12" ht="15.75">
      <c r="A268" s="18" t="s">
        <v>303</v>
      </c>
      <c r="B268" s="3" t="s">
        <v>22</v>
      </c>
      <c r="C268" s="23" t="s">
        <v>27</v>
      </c>
      <c r="D268" s="16" t="s">
        <v>322</v>
      </c>
      <c r="E268" s="16" t="s">
        <v>2102</v>
      </c>
      <c r="F268" s="158" t="s">
        <v>26</v>
      </c>
      <c r="G268" s="11">
        <f>F268*34</f>
        <v>0</v>
      </c>
      <c r="L268"/>
    </row>
    <row r="269" spans="1:12" ht="15.75">
      <c r="A269" s="18" t="s">
        <v>303</v>
      </c>
      <c r="B269" s="3" t="s">
        <v>22</v>
      </c>
      <c r="C269" s="23" t="s">
        <v>29</v>
      </c>
      <c r="D269" s="16" t="s">
        <v>323</v>
      </c>
      <c r="E269" s="16" t="s">
        <v>2102</v>
      </c>
      <c r="F269" s="158" t="s">
        <v>26</v>
      </c>
      <c r="G269" s="11">
        <f>F269*21</f>
        <v>0</v>
      </c>
      <c r="L269"/>
    </row>
    <row r="270" spans="1:12" ht="15.75">
      <c r="A270" s="18" t="s">
        <v>303</v>
      </c>
      <c r="B270" s="3" t="s">
        <v>22</v>
      </c>
      <c r="C270" s="23" t="s">
        <v>31</v>
      </c>
      <c r="D270" s="16" t="s">
        <v>324</v>
      </c>
      <c r="E270" s="16" t="s">
        <v>2102</v>
      </c>
      <c r="F270" s="158" t="s">
        <v>26</v>
      </c>
      <c r="G270" s="11">
        <f>F270*5</f>
        <v>0</v>
      </c>
      <c r="L270"/>
    </row>
    <row r="271" spans="1:12" ht="15.75">
      <c r="A271" s="18" t="s">
        <v>303</v>
      </c>
      <c r="B271" s="3" t="s">
        <v>22</v>
      </c>
      <c r="C271" s="23" t="s">
        <v>24</v>
      </c>
      <c r="D271" s="16" t="s">
        <v>326</v>
      </c>
      <c r="E271" s="16" t="s">
        <v>2102</v>
      </c>
      <c r="F271" s="158" t="s">
        <v>26</v>
      </c>
      <c r="G271" s="11">
        <f>F271*45</f>
        <v>0</v>
      </c>
      <c r="L271"/>
    </row>
    <row r="272" spans="1:12" ht="15.75">
      <c r="A272" s="18" t="s">
        <v>303</v>
      </c>
      <c r="B272" s="3" t="s">
        <v>22</v>
      </c>
      <c r="C272" s="23" t="s">
        <v>27</v>
      </c>
      <c r="D272" s="16" t="s">
        <v>327</v>
      </c>
      <c r="E272" s="16" t="s">
        <v>2102</v>
      </c>
      <c r="F272" s="158" t="s">
        <v>26</v>
      </c>
      <c r="G272" s="11">
        <f>F272*34</f>
        <v>0</v>
      </c>
      <c r="L272"/>
    </row>
    <row r="273" spans="1:12" ht="15.75">
      <c r="A273" s="18" t="s">
        <v>303</v>
      </c>
      <c r="B273" s="3" t="s">
        <v>22</v>
      </c>
      <c r="C273" s="23" t="s">
        <v>29</v>
      </c>
      <c r="D273" s="16" t="s">
        <v>328</v>
      </c>
      <c r="E273" s="16" t="s">
        <v>2102</v>
      </c>
      <c r="F273" s="158" t="s">
        <v>26</v>
      </c>
      <c r="G273" s="11">
        <f>F273*21</f>
        <v>0</v>
      </c>
      <c r="L273"/>
    </row>
    <row r="274" spans="1:12" ht="15.75">
      <c r="A274" s="18" t="s">
        <v>303</v>
      </c>
      <c r="B274" s="3" t="s">
        <v>22</v>
      </c>
      <c r="C274" s="23" t="s">
        <v>31</v>
      </c>
      <c r="D274" s="16" t="s">
        <v>329</v>
      </c>
      <c r="E274" s="16" t="s">
        <v>2102</v>
      </c>
      <c r="F274" s="158" t="s">
        <v>26</v>
      </c>
      <c r="G274" s="11">
        <f>F274*5</f>
        <v>0</v>
      </c>
      <c r="L274"/>
    </row>
    <row r="275" spans="1:12" ht="15.75">
      <c r="A275" s="18" t="s">
        <v>303</v>
      </c>
      <c r="B275" s="3" t="s">
        <v>22</v>
      </c>
      <c r="C275" s="23" t="s">
        <v>24</v>
      </c>
      <c r="D275" s="16" t="s">
        <v>330</v>
      </c>
      <c r="E275" s="16" t="s">
        <v>2102</v>
      </c>
      <c r="F275" s="158" t="s">
        <v>26</v>
      </c>
      <c r="G275" s="11">
        <f>F275*45</f>
        <v>0</v>
      </c>
      <c r="L275"/>
    </row>
    <row r="276" spans="1:12" ht="15.75">
      <c r="A276" s="18" t="s">
        <v>303</v>
      </c>
      <c r="B276" s="3" t="s">
        <v>22</v>
      </c>
      <c r="C276" s="23" t="s">
        <v>27</v>
      </c>
      <c r="D276" s="16" t="s">
        <v>331</v>
      </c>
      <c r="E276" s="16" t="s">
        <v>2102</v>
      </c>
      <c r="F276" s="158" t="s">
        <v>26</v>
      </c>
      <c r="G276" s="11">
        <f>F276*34</f>
        <v>0</v>
      </c>
      <c r="L276"/>
    </row>
    <row r="277" spans="1:12" ht="15.75">
      <c r="A277" s="18" t="s">
        <v>303</v>
      </c>
      <c r="B277" s="3" t="s">
        <v>22</v>
      </c>
      <c r="C277" s="23" t="s">
        <v>29</v>
      </c>
      <c r="D277" s="16" t="s">
        <v>332</v>
      </c>
      <c r="E277" s="16" t="s">
        <v>2102</v>
      </c>
      <c r="F277" s="158" t="s">
        <v>26</v>
      </c>
      <c r="G277" s="11">
        <f>F277*21</f>
        <v>0</v>
      </c>
      <c r="L277"/>
    </row>
    <row r="278" spans="1:12" ht="15.75">
      <c r="A278" s="18" t="s">
        <v>303</v>
      </c>
      <c r="B278" s="3" t="s">
        <v>22</v>
      </c>
      <c r="C278" s="23" t="s">
        <v>31</v>
      </c>
      <c r="D278" s="16" t="s">
        <v>333</v>
      </c>
      <c r="E278" s="16" t="s">
        <v>2102</v>
      </c>
      <c r="F278" s="158" t="s">
        <v>26</v>
      </c>
      <c r="G278" s="11">
        <f>F278*5</f>
        <v>0</v>
      </c>
      <c r="L278"/>
    </row>
    <row r="279" spans="1:12" ht="15.75">
      <c r="A279" s="18" t="s">
        <v>334</v>
      </c>
      <c r="B279" s="3" t="s">
        <v>22</v>
      </c>
      <c r="C279" s="23" t="s">
        <v>27</v>
      </c>
      <c r="D279" s="16" t="s">
        <v>335</v>
      </c>
      <c r="E279" s="16" t="s">
        <v>2102</v>
      </c>
      <c r="F279" s="158" t="s">
        <v>26</v>
      </c>
      <c r="G279" s="11">
        <f>F279*34</f>
        <v>0</v>
      </c>
      <c r="L279"/>
    </row>
    <row r="280" spans="1:12" ht="15.75">
      <c r="A280" s="18" t="s">
        <v>334</v>
      </c>
      <c r="B280" s="3" t="s">
        <v>22</v>
      </c>
      <c r="C280" s="23" t="s">
        <v>29</v>
      </c>
      <c r="D280" s="16" t="s">
        <v>336</v>
      </c>
      <c r="E280" s="16" t="s">
        <v>2102</v>
      </c>
      <c r="F280" s="158" t="s">
        <v>26</v>
      </c>
      <c r="G280" s="11">
        <f>F280*21</f>
        <v>0</v>
      </c>
      <c r="L280"/>
    </row>
    <row r="281" spans="1:12" ht="15.75">
      <c r="A281" s="18" t="s">
        <v>334</v>
      </c>
      <c r="B281" s="3" t="s">
        <v>22</v>
      </c>
      <c r="C281" s="23" t="s">
        <v>31</v>
      </c>
      <c r="D281" s="16" t="s">
        <v>337</v>
      </c>
      <c r="E281" s="16" t="s">
        <v>2102</v>
      </c>
      <c r="F281" s="158" t="s">
        <v>26</v>
      </c>
      <c r="G281" s="11">
        <f>F281*5</f>
        <v>0</v>
      </c>
      <c r="L281"/>
    </row>
    <row r="282" spans="1:12" ht="15.75">
      <c r="A282" s="18" t="s">
        <v>334</v>
      </c>
      <c r="B282" s="3" t="s">
        <v>22</v>
      </c>
      <c r="C282" s="25" t="s">
        <v>71</v>
      </c>
      <c r="D282" s="16" t="s">
        <v>338</v>
      </c>
      <c r="E282" s="16" t="s">
        <v>2102</v>
      </c>
      <c r="F282" s="157">
        <v>124</v>
      </c>
      <c r="G282" s="11">
        <f>F282*40</f>
        <v>4960</v>
      </c>
      <c r="L282"/>
    </row>
    <row r="283" spans="1:12" ht="15.75">
      <c r="A283" s="18" t="s">
        <v>334</v>
      </c>
      <c r="B283" s="3" t="s">
        <v>22</v>
      </c>
      <c r="C283" s="23" t="s">
        <v>29</v>
      </c>
      <c r="D283" s="16" t="s">
        <v>339</v>
      </c>
      <c r="E283" s="16" t="s">
        <v>2102</v>
      </c>
      <c r="F283" s="158" t="s">
        <v>26</v>
      </c>
      <c r="G283" s="11">
        <f>F283*21</f>
        <v>0</v>
      </c>
      <c r="L283"/>
    </row>
    <row r="284" spans="1:12" ht="15.75">
      <c r="A284" s="18" t="s">
        <v>334</v>
      </c>
      <c r="B284" s="3" t="s">
        <v>22</v>
      </c>
      <c r="C284" s="23" t="s">
        <v>31</v>
      </c>
      <c r="D284" s="16" t="s">
        <v>283</v>
      </c>
      <c r="E284" s="16" t="s">
        <v>2102</v>
      </c>
      <c r="F284" s="158" t="s">
        <v>26</v>
      </c>
      <c r="G284" s="11">
        <f>F284*5</f>
        <v>0</v>
      </c>
      <c r="L284"/>
    </row>
    <row r="285" spans="1:12" ht="15.75">
      <c r="A285" s="18" t="s">
        <v>334</v>
      </c>
      <c r="B285" s="3" t="s">
        <v>22</v>
      </c>
      <c r="C285" s="23" t="s">
        <v>27</v>
      </c>
      <c r="D285" s="16" t="s">
        <v>341</v>
      </c>
      <c r="E285" s="16" t="s">
        <v>2102</v>
      </c>
      <c r="F285" s="158" t="s">
        <v>26</v>
      </c>
      <c r="G285" s="11">
        <f>F285*34</f>
        <v>0</v>
      </c>
      <c r="L285"/>
    </row>
    <row r="286" spans="1:12" ht="15.75">
      <c r="A286" s="18" t="s">
        <v>334</v>
      </c>
      <c r="B286" s="3" t="s">
        <v>22</v>
      </c>
      <c r="C286" s="24" t="s">
        <v>29</v>
      </c>
      <c r="D286" s="16" t="s">
        <v>342</v>
      </c>
      <c r="E286" s="16" t="s">
        <v>2102</v>
      </c>
      <c r="F286" s="158" t="s">
        <v>26</v>
      </c>
      <c r="G286" s="11">
        <f>F286*21</f>
        <v>0</v>
      </c>
      <c r="L286"/>
    </row>
    <row r="287" spans="1:12" ht="15.75">
      <c r="A287" s="18" t="s">
        <v>334</v>
      </c>
      <c r="B287" s="3" t="s">
        <v>22</v>
      </c>
      <c r="C287" s="23" t="s">
        <v>31</v>
      </c>
      <c r="D287" s="16" t="s">
        <v>343</v>
      </c>
      <c r="E287" s="16" t="s">
        <v>2102</v>
      </c>
      <c r="F287" s="158" t="s">
        <v>26</v>
      </c>
      <c r="G287" s="11">
        <f>F287*5</f>
        <v>0</v>
      </c>
      <c r="L287"/>
    </row>
    <row r="288" spans="1:12" ht="15.75">
      <c r="A288" s="18" t="s">
        <v>334</v>
      </c>
      <c r="B288" s="3" t="s">
        <v>22</v>
      </c>
      <c r="C288" s="23" t="s">
        <v>24</v>
      </c>
      <c r="D288" s="16" t="s">
        <v>345</v>
      </c>
      <c r="E288" s="16" t="s">
        <v>2102</v>
      </c>
      <c r="F288" s="157">
        <v>650</v>
      </c>
      <c r="G288" s="11">
        <f>F288*45</f>
        <v>29250</v>
      </c>
      <c r="L288"/>
    </row>
    <row r="289" spans="1:12" ht="15.75">
      <c r="A289" s="18" t="s">
        <v>334</v>
      </c>
      <c r="B289" s="3" t="s">
        <v>22</v>
      </c>
      <c r="C289" s="23" t="s">
        <v>27</v>
      </c>
      <c r="D289" s="16" t="s">
        <v>346</v>
      </c>
      <c r="E289" s="16" t="s">
        <v>2102</v>
      </c>
      <c r="F289" s="157">
        <v>444</v>
      </c>
      <c r="G289" s="11">
        <f>F289*34</f>
        <v>15096</v>
      </c>
      <c r="L289"/>
    </row>
    <row r="290" spans="1:12" ht="15.75">
      <c r="A290" s="18" t="s">
        <v>334</v>
      </c>
      <c r="B290" s="3" t="s">
        <v>22</v>
      </c>
      <c r="C290" s="23" t="s">
        <v>29</v>
      </c>
      <c r="D290" s="16" t="s">
        <v>347</v>
      </c>
      <c r="E290" s="16" t="s">
        <v>2102</v>
      </c>
      <c r="F290" s="157">
        <v>822</v>
      </c>
      <c r="G290" s="11">
        <f>F290*21</f>
        <v>17262</v>
      </c>
      <c r="L290"/>
    </row>
    <row r="291" spans="1:12" ht="15.75">
      <c r="A291" s="18" t="s">
        <v>334</v>
      </c>
      <c r="B291" s="3" t="s">
        <v>22</v>
      </c>
      <c r="C291" s="23" t="s">
        <v>31</v>
      </c>
      <c r="D291" s="16" t="s">
        <v>348</v>
      </c>
      <c r="E291" s="16" t="s">
        <v>2102</v>
      </c>
      <c r="F291" s="157">
        <v>40</v>
      </c>
      <c r="G291" s="11">
        <f>F291*5</f>
        <v>200</v>
      </c>
      <c r="L291"/>
    </row>
    <row r="292" spans="1:12" ht="15.75">
      <c r="A292" s="18" t="s">
        <v>334</v>
      </c>
      <c r="B292" s="3" t="s">
        <v>22</v>
      </c>
      <c r="C292" s="23" t="s">
        <v>24</v>
      </c>
      <c r="D292" s="16" t="s">
        <v>350</v>
      </c>
      <c r="E292" s="16" t="s">
        <v>2102</v>
      </c>
      <c r="F292" s="158" t="s">
        <v>26</v>
      </c>
      <c r="G292" s="11">
        <f>F292*45</f>
        <v>0</v>
      </c>
      <c r="L292"/>
    </row>
    <row r="293" spans="1:12" ht="15.75">
      <c r="A293" s="18" t="s">
        <v>334</v>
      </c>
      <c r="B293" s="3" t="s">
        <v>22</v>
      </c>
      <c r="C293" s="23" t="s">
        <v>27</v>
      </c>
      <c r="D293" s="16" t="s">
        <v>351</v>
      </c>
      <c r="E293" s="16" t="s">
        <v>2102</v>
      </c>
      <c r="F293" s="158" t="s">
        <v>26</v>
      </c>
      <c r="G293" s="11">
        <f>F293*34</f>
        <v>0</v>
      </c>
      <c r="L293"/>
    </row>
    <row r="294" spans="1:12" ht="15.75">
      <c r="A294" s="18" t="s">
        <v>334</v>
      </c>
      <c r="B294" s="3" t="s">
        <v>22</v>
      </c>
      <c r="C294" s="23" t="s">
        <v>29</v>
      </c>
      <c r="D294" s="16" t="s">
        <v>352</v>
      </c>
      <c r="E294" s="16" t="s">
        <v>2102</v>
      </c>
      <c r="F294" s="158" t="s">
        <v>26</v>
      </c>
      <c r="G294" s="11">
        <f>F294*21</f>
        <v>0</v>
      </c>
      <c r="L294"/>
    </row>
    <row r="295" spans="1:12" ht="15.75">
      <c r="A295" s="18" t="s">
        <v>334</v>
      </c>
      <c r="B295" s="3" t="s">
        <v>22</v>
      </c>
      <c r="C295" s="23" t="s">
        <v>31</v>
      </c>
      <c r="D295" s="16" t="s">
        <v>263</v>
      </c>
      <c r="E295" s="16" t="s">
        <v>2102</v>
      </c>
      <c r="F295" s="158" t="s">
        <v>26</v>
      </c>
      <c r="G295" s="11">
        <f>F295*5</f>
        <v>0</v>
      </c>
      <c r="L295"/>
    </row>
    <row r="296" spans="1:12" ht="15.75">
      <c r="A296" s="18" t="s">
        <v>334</v>
      </c>
      <c r="B296" s="3" t="s">
        <v>22</v>
      </c>
      <c r="C296" s="25" t="s">
        <v>131</v>
      </c>
      <c r="D296" s="16" t="s">
        <v>353</v>
      </c>
      <c r="E296" s="16" t="s">
        <v>2102</v>
      </c>
      <c r="F296" s="158" t="s">
        <v>26</v>
      </c>
      <c r="G296" s="11">
        <f>F296*10</f>
        <v>0</v>
      </c>
      <c r="L296"/>
    </row>
    <row r="297" spans="1:12" ht="15.75">
      <c r="A297" s="18" t="s">
        <v>334</v>
      </c>
      <c r="B297" s="3" t="s">
        <v>22</v>
      </c>
      <c r="C297" s="23" t="s">
        <v>24</v>
      </c>
      <c r="D297" s="16" t="s">
        <v>354</v>
      </c>
      <c r="E297" s="16" t="s">
        <v>2102</v>
      </c>
      <c r="F297" s="158" t="s">
        <v>26</v>
      </c>
      <c r="G297" s="11">
        <f>F297*45</f>
        <v>0</v>
      </c>
      <c r="L297"/>
    </row>
    <row r="298" spans="1:12" ht="15.75">
      <c r="A298" s="18" t="s">
        <v>334</v>
      </c>
      <c r="B298" s="3" t="s">
        <v>22</v>
      </c>
      <c r="C298" s="23" t="s">
        <v>27</v>
      </c>
      <c r="D298" s="16" t="s">
        <v>355</v>
      </c>
      <c r="E298" s="16" t="s">
        <v>2102</v>
      </c>
      <c r="F298" s="158" t="s">
        <v>26</v>
      </c>
      <c r="G298" s="11">
        <f>F298*34</f>
        <v>0</v>
      </c>
      <c r="L298"/>
    </row>
    <row r="299" spans="1:12" ht="15.75">
      <c r="A299" s="18" t="s">
        <v>334</v>
      </c>
      <c r="B299" s="3" t="s">
        <v>22</v>
      </c>
      <c r="C299" s="23" t="s">
        <v>29</v>
      </c>
      <c r="D299" s="16" t="s">
        <v>356</v>
      </c>
      <c r="E299" s="16" t="s">
        <v>2102</v>
      </c>
      <c r="F299" s="158" t="s">
        <v>26</v>
      </c>
      <c r="G299" s="11">
        <f>F299*21</f>
        <v>0</v>
      </c>
      <c r="L299"/>
    </row>
    <row r="300" spans="1:12" ht="15.75">
      <c r="A300" s="18" t="s">
        <v>334</v>
      </c>
      <c r="B300" s="3" t="s">
        <v>22</v>
      </c>
      <c r="C300" s="23" t="s">
        <v>31</v>
      </c>
      <c r="D300" s="16" t="s">
        <v>115</v>
      </c>
      <c r="E300" s="16" t="s">
        <v>2102</v>
      </c>
      <c r="F300" s="158" t="s">
        <v>26</v>
      </c>
      <c r="G300" s="11">
        <f>F300*5</f>
        <v>0</v>
      </c>
      <c r="L300"/>
    </row>
    <row r="301" spans="1:12" ht="15.75">
      <c r="A301" s="18" t="s">
        <v>334</v>
      </c>
      <c r="B301" s="3" t="s">
        <v>22</v>
      </c>
      <c r="C301" s="25" t="s">
        <v>131</v>
      </c>
      <c r="D301" s="16" t="s">
        <v>357</v>
      </c>
      <c r="E301" s="16" t="s">
        <v>2102</v>
      </c>
      <c r="F301" s="157">
        <v>30</v>
      </c>
      <c r="G301" s="11">
        <f>F301*10</f>
        <v>300</v>
      </c>
      <c r="L301"/>
    </row>
    <row r="302" spans="1:12" ht="15.75">
      <c r="A302" s="18" t="s">
        <v>334</v>
      </c>
      <c r="B302" s="3" t="s">
        <v>22</v>
      </c>
      <c r="C302" s="23" t="s">
        <v>27</v>
      </c>
      <c r="D302" s="16" t="s">
        <v>359</v>
      </c>
      <c r="E302" s="16" t="s">
        <v>2102</v>
      </c>
      <c r="F302" s="158" t="s">
        <v>26</v>
      </c>
      <c r="G302" s="11">
        <f>F302*34</f>
        <v>0</v>
      </c>
      <c r="L302"/>
    </row>
    <row r="303" spans="1:12" ht="15.75">
      <c r="A303" s="18" t="s">
        <v>334</v>
      </c>
      <c r="B303" s="3" t="s">
        <v>22</v>
      </c>
      <c r="C303" s="23" t="s">
        <v>29</v>
      </c>
      <c r="D303" s="16" t="s">
        <v>360</v>
      </c>
      <c r="E303" s="16" t="s">
        <v>2102</v>
      </c>
      <c r="F303" s="158" t="s">
        <v>26</v>
      </c>
      <c r="G303" s="11">
        <f>F303*21</f>
        <v>0</v>
      </c>
      <c r="L303"/>
    </row>
    <row r="304" spans="1:12" ht="15.75">
      <c r="A304" s="18" t="s">
        <v>334</v>
      </c>
      <c r="B304" s="3" t="s">
        <v>22</v>
      </c>
      <c r="C304" s="23" t="s">
        <v>31</v>
      </c>
      <c r="D304" s="16" t="s">
        <v>361</v>
      </c>
      <c r="E304" s="16" t="s">
        <v>2102</v>
      </c>
      <c r="F304" s="158" t="s">
        <v>26</v>
      </c>
      <c r="G304" s="11">
        <f>F304*5</f>
        <v>0</v>
      </c>
      <c r="L304"/>
    </row>
    <row r="305" spans="1:12" ht="15.75">
      <c r="A305" s="18" t="s">
        <v>334</v>
      </c>
      <c r="B305" s="3" t="s">
        <v>22</v>
      </c>
      <c r="C305" s="23" t="s">
        <v>24</v>
      </c>
      <c r="D305" s="16" t="s">
        <v>362</v>
      </c>
      <c r="E305" s="16" t="s">
        <v>2102</v>
      </c>
      <c r="F305" s="158" t="s">
        <v>26</v>
      </c>
      <c r="G305" s="11">
        <f>F305*45</f>
        <v>0</v>
      </c>
      <c r="L305"/>
    </row>
    <row r="306" spans="1:12" ht="15.75">
      <c r="A306" s="18" t="s">
        <v>334</v>
      </c>
      <c r="B306" s="3" t="s">
        <v>22</v>
      </c>
      <c r="C306" s="23" t="s">
        <v>27</v>
      </c>
      <c r="D306" s="16" t="s">
        <v>363</v>
      </c>
      <c r="E306" s="16" t="s">
        <v>2102</v>
      </c>
      <c r="F306" s="158" t="s">
        <v>26</v>
      </c>
      <c r="G306" s="11">
        <f>F306*34</f>
        <v>0</v>
      </c>
      <c r="L306"/>
    </row>
    <row r="307" spans="1:12" ht="15.75">
      <c r="A307" s="18" t="s">
        <v>334</v>
      </c>
      <c r="B307" s="3" t="s">
        <v>22</v>
      </c>
      <c r="C307" s="23" t="s">
        <v>29</v>
      </c>
      <c r="D307" s="16" t="s">
        <v>364</v>
      </c>
      <c r="E307" s="16" t="s">
        <v>2102</v>
      </c>
      <c r="F307" s="158" t="s">
        <v>26</v>
      </c>
      <c r="G307" s="11">
        <f>F307*21</f>
        <v>0</v>
      </c>
      <c r="L307"/>
    </row>
    <row r="308" spans="1:12" ht="15.75">
      <c r="A308" s="18" t="s">
        <v>334</v>
      </c>
      <c r="B308" s="3" t="s">
        <v>22</v>
      </c>
      <c r="C308" s="23" t="s">
        <v>31</v>
      </c>
      <c r="D308" s="16" t="s">
        <v>365</v>
      </c>
      <c r="E308" s="16" t="s">
        <v>2102</v>
      </c>
      <c r="F308" s="158" t="s">
        <v>26</v>
      </c>
      <c r="G308" s="11">
        <f>F308*5</f>
        <v>0</v>
      </c>
      <c r="L308"/>
    </row>
    <row r="309" spans="1:12" ht="15.75">
      <c r="A309" s="18" t="s">
        <v>366</v>
      </c>
      <c r="B309" s="3" t="s">
        <v>22</v>
      </c>
      <c r="C309" s="23" t="s">
        <v>27</v>
      </c>
      <c r="D309" s="16" t="s">
        <v>367</v>
      </c>
      <c r="E309" s="16" t="s">
        <v>2102</v>
      </c>
      <c r="F309" s="157">
        <v>465</v>
      </c>
      <c r="G309" s="11">
        <f>F309*34</f>
        <v>15810</v>
      </c>
      <c r="L309"/>
    </row>
    <row r="310" spans="1:12" ht="15.75">
      <c r="A310" s="18" t="s">
        <v>366</v>
      </c>
      <c r="B310" s="3" t="s">
        <v>22</v>
      </c>
      <c r="C310" s="23" t="s">
        <v>29</v>
      </c>
      <c r="D310" s="16" t="s">
        <v>368</v>
      </c>
      <c r="E310" s="16" t="s">
        <v>2102</v>
      </c>
      <c r="F310" s="158" t="s">
        <v>26</v>
      </c>
      <c r="G310" s="11">
        <f>F310*21</f>
        <v>0</v>
      </c>
      <c r="L310"/>
    </row>
    <row r="311" spans="1:12" ht="15.75">
      <c r="A311" s="18" t="s">
        <v>366</v>
      </c>
      <c r="B311" s="3" t="s">
        <v>22</v>
      </c>
      <c r="C311" s="23" t="s">
        <v>31</v>
      </c>
      <c r="D311" s="16" t="s">
        <v>369</v>
      </c>
      <c r="E311" s="16" t="s">
        <v>2102</v>
      </c>
      <c r="F311" s="158" t="s">
        <v>26</v>
      </c>
      <c r="G311" s="11">
        <f>F311*5</f>
        <v>0</v>
      </c>
      <c r="L311"/>
    </row>
    <row r="312" spans="1:12" ht="15.75">
      <c r="A312" s="18" t="s">
        <v>366</v>
      </c>
      <c r="B312" s="3" t="s">
        <v>22</v>
      </c>
      <c r="C312" s="25" t="s">
        <v>71</v>
      </c>
      <c r="D312" s="16" t="s">
        <v>370</v>
      </c>
      <c r="E312" s="16" t="s">
        <v>2102</v>
      </c>
      <c r="F312" s="157">
        <v>74</v>
      </c>
      <c r="G312" s="11">
        <f>F312*40</f>
        <v>2960</v>
      </c>
      <c r="L312"/>
    </row>
    <row r="313" spans="1:12" ht="15.75">
      <c r="A313" s="18" t="s">
        <v>366</v>
      </c>
      <c r="B313" s="3" t="s">
        <v>22</v>
      </c>
      <c r="C313" s="23" t="s">
        <v>29</v>
      </c>
      <c r="D313" s="16" t="s">
        <v>371</v>
      </c>
      <c r="E313" s="16" t="s">
        <v>2102</v>
      </c>
      <c r="F313" s="157">
        <v>671</v>
      </c>
      <c r="G313" s="11">
        <f>F313*21</f>
        <v>14091</v>
      </c>
      <c r="L313"/>
    </row>
    <row r="314" spans="1:12" ht="15.75">
      <c r="A314" s="18" t="s">
        <v>366</v>
      </c>
      <c r="B314" s="3" t="s">
        <v>22</v>
      </c>
      <c r="C314" s="23" t="s">
        <v>31</v>
      </c>
      <c r="D314" s="16" t="s">
        <v>372</v>
      </c>
      <c r="E314" s="16" t="s">
        <v>2102</v>
      </c>
      <c r="F314" s="157">
        <v>40</v>
      </c>
      <c r="G314" s="11">
        <f>F314*5</f>
        <v>200</v>
      </c>
      <c r="L314"/>
    </row>
    <row r="315" spans="1:12" ht="15.75">
      <c r="A315" s="18" t="s">
        <v>366</v>
      </c>
      <c r="B315" s="3" t="s">
        <v>22</v>
      </c>
      <c r="C315" s="23" t="s">
        <v>27</v>
      </c>
      <c r="D315" s="16" t="s">
        <v>374</v>
      </c>
      <c r="E315" s="16" t="s">
        <v>2102</v>
      </c>
      <c r="F315" s="158" t="s">
        <v>26</v>
      </c>
      <c r="G315" s="11">
        <f>F315*34</f>
        <v>0</v>
      </c>
      <c r="L315"/>
    </row>
    <row r="316" spans="1:12" ht="15.75">
      <c r="A316" s="18" t="s">
        <v>366</v>
      </c>
      <c r="B316" s="3" t="s">
        <v>22</v>
      </c>
      <c r="C316" s="23" t="s">
        <v>29</v>
      </c>
      <c r="D316" s="16" t="s">
        <v>375</v>
      </c>
      <c r="E316" s="16" t="s">
        <v>2102</v>
      </c>
      <c r="F316" s="158" t="s">
        <v>26</v>
      </c>
      <c r="G316" s="11">
        <f>F316*21</f>
        <v>0</v>
      </c>
      <c r="L316"/>
    </row>
    <row r="317" spans="1:12" ht="15.75">
      <c r="A317" s="18" t="s">
        <v>366</v>
      </c>
      <c r="B317" s="3" t="s">
        <v>22</v>
      </c>
      <c r="C317" s="23" t="s">
        <v>31</v>
      </c>
      <c r="D317" s="16" t="s">
        <v>376</v>
      </c>
      <c r="E317" s="16" t="s">
        <v>2102</v>
      </c>
      <c r="F317" s="158" t="s">
        <v>26</v>
      </c>
      <c r="G317" s="11">
        <f>F317*5</f>
        <v>0</v>
      </c>
      <c r="L317"/>
    </row>
    <row r="318" spans="1:12" ht="15.75">
      <c r="A318" s="18" t="s">
        <v>366</v>
      </c>
      <c r="B318" s="3" t="s">
        <v>22</v>
      </c>
      <c r="C318" s="23" t="s">
        <v>24</v>
      </c>
      <c r="D318" s="16" t="s">
        <v>377</v>
      </c>
      <c r="E318" s="16" t="s">
        <v>2102</v>
      </c>
      <c r="F318" s="157">
        <v>594</v>
      </c>
      <c r="G318" s="11">
        <f>F318*45</f>
        <v>26730</v>
      </c>
      <c r="L318"/>
    </row>
    <row r="319" spans="1:12" ht="15.75">
      <c r="A319" s="18" t="s">
        <v>366</v>
      </c>
      <c r="B319" s="3" t="s">
        <v>22</v>
      </c>
      <c r="C319" s="23" t="s">
        <v>27</v>
      </c>
      <c r="D319" s="16" t="s">
        <v>378</v>
      </c>
      <c r="E319" s="16" t="s">
        <v>2102</v>
      </c>
      <c r="F319" s="158" t="s">
        <v>26</v>
      </c>
      <c r="G319" s="11">
        <f>F319*34</f>
        <v>0</v>
      </c>
      <c r="L319"/>
    </row>
    <row r="320" spans="1:12" ht="15.75">
      <c r="A320" s="18" t="s">
        <v>366</v>
      </c>
      <c r="B320" s="3" t="s">
        <v>22</v>
      </c>
      <c r="C320" s="23" t="s">
        <v>29</v>
      </c>
      <c r="D320" s="16" t="s">
        <v>379</v>
      </c>
      <c r="E320" s="16" t="s">
        <v>2102</v>
      </c>
      <c r="F320" s="158" t="s">
        <v>26</v>
      </c>
      <c r="G320" s="11">
        <f>F320*21</f>
        <v>0</v>
      </c>
      <c r="L320"/>
    </row>
    <row r="321" spans="1:12" ht="15.75">
      <c r="A321" s="18" t="s">
        <v>366</v>
      </c>
      <c r="B321" s="3" t="s">
        <v>22</v>
      </c>
      <c r="C321" s="23" t="s">
        <v>31</v>
      </c>
      <c r="D321" s="16" t="s">
        <v>380</v>
      </c>
      <c r="E321" s="16" t="s">
        <v>2102</v>
      </c>
      <c r="F321" s="158" t="s">
        <v>26</v>
      </c>
      <c r="G321" s="11">
        <f>F321*5</f>
        <v>0</v>
      </c>
      <c r="L321"/>
    </row>
    <row r="322" spans="1:12" ht="15.75">
      <c r="A322" s="18" t="s">
        <v>366</v>
      </c>
      <c r="B322" s="3" t="s">
        <v>22</v>
      </c>
      <c r="C322" s="23" t="s">
        <v>24</v>
      </c>
      <c r="D322" s="16" t="s">
        <v>382</v>
      </c>
      <c r="E322" s="16" t="s">
        <v>2102</v>
      </c>
      <c r="F322" s="158" t="s">
        <v>26</v>
      </c>
      <c r="G322" s="11">
        <f>F322*45</f>
        <v>0</v>
      </c>
      <c r="L322"/>
    </row>
    <row r="323" spans="1:12" ht="15.75">
      <c r="A323" s="18" t="s">
        <v>366</v>
      </c>
      <c r="B323" s="3" t="s">
        <v>22</v>
      </c>
      <c r="C323" s="23" t="s">
        <v>27</v>
      </c>
      <c r="D323" s="16" t="s">
        <v>383</v>
      </c>
      <c r="E323" s="16" t="s">
        <v>2102</v>
      </c>
      <c r="F323" s="158" t="s">
        <v>26</v>
      </c>
      <c r="G323" s="11">
        <f>F323*34</f>
        <v>0</v>
      </c>
      <c r="L323"/>
    </row>
    <row r="324" spans="1:12" ht="15.75">
      <c r="A324" s="18" t="s">
        <v>366</v>
      </c>
      <c r="B324" s="3" t="s">
        <v>22</v>
      </c>
      <c r="C324" s="23" t="s">
        <v>29</v>
      </c>
      <c r="D324" s="16" t="s">
        <v>384</v>
      </c>
      <c r="E324" s="16" t="s">
        <v>2102</v>
      </c>
      <c r="F324" s="158" t="s">
        <v>26</v>
      </c>
      <c r="G324" s="11">
        <f>F324*21</f>
        <v>0</v>
      </c>
      <c r="L324"/>
    </row>
    <row r="325" spans="1:12" ht="15.75">
      <c r="A325" s="18" t="s">
        <v>366</v>
      </c>
      <c r="B325" s="3" t="s">
        <v>22</v>
      </c>
      <c r="C325" s="23" t="s">
        <v>31</v>
      </c>
      <c r="D325" s="16" t="s">
        <v>223</v>
      </c>
      <c r="E325" s="16" t="s">
        <v>2102</v>
      </c>
      <c r="F325" s="158" t="s">
        <v>26</v>
      </c>
      <c r="G325" s="11">
        <f>F325*5</f>
        <v>0</v>
      </c>
      <c r="L325"/>
    </row>
    <row r="326" spans="1:12" ht="15.75">
      <c r="A326" s="18" t="s">
        <v>366</v>
      </c>
      <c r="B326" s="3" t="s">
        <v>22</v>
      </c>
      <c r="C326" s="23" t="s">
        <v>24</v>
      </c>
      <c r="D326" s="16" t="s">
        <v>385</v>
      </c>
      <c r="E326" s="16" t="s">
        <v>2102</v>
      </c>
      <c r="F326" s="158" t="s">
        <v>26</v>
      </c>
      <c r="G326" s="11">
        <f>F326*45</f>
        <v>0</v>
      </c>
      <c r="L326"/>
    </row>
    <row r="327" spans="1:12" ht="15.75">
      <c r="A327" s="18" t="s">
        <v>366</v>
      </c>
      <c r="B327" s="3" t="s">
        <v>22</v>
      </c>
      <c r="C327" s="23" t="s">
        <v>27</v>
      </c>
      <c r="D327" s="16" t="s">
        <v>386</v>
      </c>
      <c r="E327" s="16" t="s">
        <v>2102</v>
      </c>
      <c r="F327" s="158" t="s">
        <v>26</v>
      </c>
      <c r="G327" s="11">
        <f>F327*34</f>
        <v>0</v>
      </c>
      <c r="L327"/>
    </row>
    <row r="328" spans="1:12" ht="15.75">
      <c r="A328" s="18" t="s">
        <v>366</v>
      </c>
      <c r="B328" s="3" t="s">
        <v>22</v>
      </c>
      <c r="C328" s="23" t="s">
        <v>29</v>
      </c>
      <c r="D328" s="16" t="s">
        <v>387</v>
      </c>
      <c r="E328" s="16" t="s">
        <v>2102</v>
      </c>
      <c r="F328" s="158" t="s">
        <v>26</v>
      </c>
      <c r="G328" s="11">
        <f>F328*21</f>
        <v>0</v>
      </c>
      <c r="L328"/>
    </row>
    <row r="329" spans="1:12" ht="15.75">
      <c r="A329" s="18" t="s">
        <v>366</v>
      </c>
      <c r="B329" s="3" t="s">
        <v>22</v>
      </c>
      <c r="C329" s="23" t="s">
        <v>31</v>
      </c>
      <c r="D329" s="16" t="s">
        <v>144</v>
      </c>
      <c r="E329" s="16" t="s">
        <v>2102</v>
      </c>
      <c r="F329" s="158" t="s">
        <v>26</v>
      </c>
      <c r="G329" s="11">
        <f>F329*5</f>
        <v>0</v>
      </c>
      <c r="L329"/>
    </row>
    <row r="330" spans="1:12" ht="15.75">
      <c r="A330" s="18" t="s">
        <v>366</v>
      </c>
      <c r="B330" s="3" t="s">
        <v>22</v>
      </c>
      <c r="C330" s="23" t="s">
        <v>27</v>
      </c>
      <c r="D330" s="16" t="s">
        <v>389</v>
      </c>
      <c r="E330" s="16" t="s">
        <v>2102</v>
      </c>
      <c r="F330" s="158" t="s">
        <v>26</v>
      </c>
      <c r="G330" s="11">
        <f>F330*34</f>
        <v>0</v>
      </c>
      <c r="L330"/>
    </row>
    <row r="331" spans="1:12" ht="15.75">
      <c r="A331" s="18" t="s">
        <v>366</v>
      </c>
      <c r="B331" s="3" t="s">
        <v>22</v>
      </c>
      <c r="C331" s="23" t="s">
        <v>29</v>
      </c>
      <c r="D331" s="16" t="s">
        <v>390</v>
      </c>
      <c r="E331" s="16" t="s">
        <v>2102</v>
      </c>
      <c r="F331" s="158" t="s">
        <v>26</v>
      </c>
      <c r="G331" s="11">
        <f>F331*21</f>
        <v>0</v>
      </c>
      <c r="L331"/>
    </row>
    <row r="332" spans="1:12" ht="15.75">
      <c r="A332" s="18" t="s">
        <v>366</v>
      </c>
      <c r="B332" s="3" t="s">
        <v>22</v>
      </c>
      <c r="C332" s="23" t="s">
        <v>31</v>
      </c>
      <c r="D332" s="16" t="s">
        <v>391</v>
      </c>
      <c r="E332" s="16" t="s">
        <v>2102</v>
      </c>
      <c r="F332" s="158" t="s">
        <v>26</v>
      </c>
      <c r="G332" s="11">
        <f>F332*5</f>
        <v>0</v>
      </c>
      <c r="L332"/>
    </row>
    <row r="333" spans="1:12" ht="15.75">
      <c r="A333" s="18" t="s">
        <v>392</v>
      </c>
      <c r="B333" s="3" t="s">
        <v>22</v>
      </c>
      <c r="C333" s="23" t="s">
        <v>27</v>
      </c>
      <c r="D333" s="16" t="s">
        <v>393</v>
      </c>
      <c r="E333" s="16" t="s">
        <v>2102</v>
      </c>
      <c r="F333" s="157">
        <v>275</v>
      </c>
      <c r="G333" s="11">
        <f>F333*34</f>
        <v>9350</v>
      </c>
      <c r="L333"/>
    </row>
    <row r="334" spans="1:12" ht="15.75">
      <c r="A334" s="18" t="s">
        <v>392</v>
      </c>
      <c r="B334" s="3" t="s">
        <v>22</v>
      </c>
      <c r="C334" s="23" t="s">
        <v>29</v>
      </c>
      <c r="D334" s="16" t="s">
        <v>394</v>
      </c>
      <c r="E334" s="16" t="s">
        <v>2102</v>
      </c>
      <c r="F334" s="158" t="s">
        <v>26</v>
      </c>
      <c r="G334" s="11">
        <f>F334*21</f>
        <v>0</v>
      </c>
      <c r="L334"/>
    </row>
    <row r="335" spans="1:12" ht="15.75">
      <c r="A335" s="18" t="s">
        <v>392</v>
      </c>
      <c r="B335" s="3" t="s">
        <v>22</v>
      </c>
      <c r="C335" s="23" t="s">
        <v>31</v>
      </c>
      <c r="D335" s="16" t="s">
        <v>395</v>
      </c>
      <c r="E335" s="16" t="s">
        <v>2102</v>
      </c>
      <c r="F335" s="158" t="s">
        <v>26</v>
      </c>
      <c r="G335" s="11">
        <f>F335*5</f>
        <v>0</v>
      </c>
      <c r="L335"/>
    </row>
    <row r="336" spans="1:12" ht="15.75">
      <c r="A336" s="18" t="s">
        <v>392</v>
      </c>
      <c r="B336" s="3" t="s">
        <v>22</v>
      </c>
      <c r="C336" s="24" t="s">
        <v>71</v>
      </c>
      <c r="D336" s="16" t="s">
        <v>396</v>
      </c>
      <c r="E336" s="16" t="s">
        <v>2102</v>
      </c>
      <c r="F336" s="157">
        <v>174</v>
      </c>
      <c r="G336" s="11">
        <f>F336*40</f>
        <v>6960</v>
      </c>
      <c r="L336"/>
    </row>
    <row r="337" spans="1:12" ht="15.75">
      <c r="A337" s="18" t="s">
        <v>392</v>
      </c>
      <c r="B337" s="3" t="s">
        <v>22</v>
      </c>
      <c r="C337" s="23" t="s">
        <v>29</v>
      </c>
      <c r="D337" s="16" t="s">
        <v>397</v>
      </c>
      <c r="E337" s="16" t="s">
        <v>2102</v>
      </c>
      <c r="F337" s="157">
        <v>202</v>
      </c>
      <c r="G337" s="11">
        <f>F337*21</f>
        <v>4242</v>
      </c>
      <c r="L337"/>
    </row>
    <row r="338" spans="1:12" ht="15.75">
      <c r="A338" s="18" t="s">
        <v>392</v>
      </c>
      <c r="B338" s="3" t="s">
        <v>22</v>
      </c>
      <c r="C338" s="23" t="s">
        <v>31</v>
      </c>
      <c r="D338" s="16" t="s">
        <v>280</v>
      </c>
      <c r="E338" s="16" t="s">
        <v>2102</v>
      </c>
      <c r="F338" s="157">
        <v>43</v>
      </c>
      <c r="G338" s="11">
        <f>F338*5</f>
        <v>215</v>
      </c>
      <c r="L338"/>
    </row>
    <row r="339" spans="1:12" ht="15.75">
      <c r="A339" s="18" t="s">
        <v>392</v>
      </c>
      <c r="B339" s="3" t="s">
        <v>22</v>
      </c>
      <c r="C339" s="23" t="s">
        <v>24</v>
      </c>
      <c r="D339" s="16" t="s">
        <v>398</v>
      </c>
      <c r="E339" s="16" t="s">
        <v>2102</v>
      </c>
      <c r="F339" s="157">
        <v>482</v>
      </c>
      <c r="G339" s="11">
        <f>F339*45</f>
        <v>21690</v>
      </c>
      <c r="L339"/>
    </row>
    <row r="340" spans="1:12" ht="15.75">
      <c r="A340" s="18" t="s">
        <v>392</v>
      </c>
      <c r="B340" s="3" t="s">
        <v>22</v>
      </c>
      <c r="C340" s="23" t="s">
        <v>27</v>
      </c>
      <c r="D340" s="16" t="s">
        <v>399</v>
      </c>
      <c r="E340" s="16" t="s">
        <v>2102</v>
      </c>
      <c r="F340" s="158" t="s">
        <v>26</v>
      </c>
      <c r="G340" s="11">
        <f>F340*34</f>
        <v>0</v>
      </c>
      <c r="L340"/>
    </row>
    <row r="341" spans="1:12" ht="15.75">
      <c r="A341" s="18" t="s">
        <v>392</v>
      </c>
      <c r="B341" s="3" t="s">
        <v>22</v>
      </c>
      <c r="C341" s="23" t="s">
        <v>29</v>
      </c>
      <c r="D341" s="16" t="s">
        <v>400</v>
      </c>
      <c r="E341" s="16" t="s">
        <v>2102</v>
      </c>
      <c r="F341" s="158" t="s">
        <v>26</v>
      </c>
      <c r="G341" s="11">
        <f>F341*21</f>
        <v>0</v>
      </c>
      <c r="L341"/>
    </row>
    <row r="342" spans="1:12" ht="15.75">
      <c r="A342" s="18" t="s">
        <v>392</v>
      </c>
      <c r="B342" s="3" t="s">
        <v>22</v>
      </c>
      <c r="C342" s="23" t="s">
        <v>31</v>
      </c>
      <c r="D342" s="16" t="s">
        <v>312</v>
      </c>
      <c r="E342" s="16" t="s">
        <v>2102</v>
      </c>
      <c r="F342" s="158" t="s">
        <v>26</v>
      </c>
      <c r="G342" s="11">
        <f>F342*5</f>
        <v>0</v>
      </c>
      <c r="L342"/>
    </row>
    <row r="343" spans="1:12" ht="15.75">
      <c r="A343" s="18" t="s">
        <v>392</v>
      </c>
      <c r="B343" s="3" t="s">
        <v>22</v>
      </c>
      <c r="C343" s="23" t="s">
        <v>24</v>
      </c>
      <c r="D343" s="16" t="s">
        <v>401</v>
      </c>
      <c r="E343" s="16" t="s">
        <v>2102</v>
      </c>
      <c r="F343" s="158" t="s">
        <v>26</v>
      </c>
      <c r="G343" s="11">
        <f>F343*45</f>
        <v>0</v>
      </c>
      <c r="L343"/>
    </row>
    <row r="344" spans="1:12" ht="15.75">
      <c r="A344" s="18" t="s">
        <v>392</v>
      </c>
      <c r="B344" s="3" t="s">
        <v>22</v>
      </c>
      <c r="C344" s="23" t="s">
        <v>27</v>
      </c>
      <c r="D344" s="16" t="s">
        <v>402</v>
      </c>
      <c r="E344" s="16" t="s">
        <v>2102</v>
      </c>
      <c r="F344" s="158" t="s">
        <v>26</v>
      </c>
      <c r="G344" s="11">
        <f>F344*34</f>
        <v>0</v>
      </c>
      <c r="L344"/>
    </row>
    <row r="345" spans="1:12" ht="15.75">
      <c r="A345" s="18" t="s">
        <v>392</v>
      </c>
      <c r="B345" s="3" t="s">
        <v>22</v>
      </c>
      <c r="C345" s="23" t="s">
        <v>29</v>
      </c>
      <c r="D345" s="16" t="s">
        <v>232</v>
      </c>
      <c r="E345" s="16" t="s">
        <v>2102</v>
      </c>
      <c r="F345" s="158" t="s">
        <v>26</v>
      </c>
      <c r="G345" s="11">
        <f>F345*21</f>
        <v>0</v>
      </c>
      <c r="L345"/>
    </row>
    <row r="346" spans="1:12" ht="15.75">
      <c r="A346" s="18" t="s">
        <v>392</v>
      </c>
      <c r="B346" s="3" t="s">
        <v>22</v>
      </c>
      <c r="C346" s="23" t="s">
        <v>31</v>
      </c>
      <c r="D346" s="16" t="s">
        <v>403</v>
      </c>
      <c r="E346" s="16" t="s">
        <v>2102</v>
      </c>
      <c r="F346" s="158" t="s">
        <v>26</v>
      </c>
      <c r="G346" s="11">
        <f>F346*5</f>
        <v>0</v>
      </c>
      <c r="L346"/>
    </row>
    <row r="347" spans="1:12" ht="15.75">
      <c r="A347" s="18" t="s">
        <v>392</v>
      </c>
      <c r="B347" s="3" t="s">
        <v>22</v>
      </c>
      <c r="C347" s="25" t="s">
        <v>131</v>
      </c>
      <c r="D347" s="16" t="s">
        <v>1477</v>
      </c>
      <c r="E347" s="16" t="s">
        <v>2102</v>
      </c>
      <c r="F347" s="158" t="s">
        <v>26</v>
      </c>
      <c r="G347" s="11">
        <f>F347*10</f>
        <v>0</v>
      </c>
      <c r="L347"/>
    </row>
    <row r="348" spans="1:12" ht="15.75">
      <c r="A348" s="18" t="s">
        <v>392</v>
      </c>
      <c r="B348" s="3" t="s">
        <v>22</v>
      </c>
      <c r="C348" s="25" t="s">
        <v>71</v>
      </c>
      <c r="D348" s="16" t="s">
        <v>407</v>
      </c>
      <c r="E348" s="16" t="s">
        <v>2102</v>
      </c>
      <c r="F348" s="158" t="s">
        <v>26</v>
      </c>
      <c r="G348" s="11">
        <f>F348*40</f>
        <v>0</v>
      </c>
      <c r="L348"/>
    </row>
    <row r="349" spans="1:12" ht="15.75">
      <c r="A349" s="18" t="s">
        <v>392</v>
      </c>
      <c r="B349" s="3" t="s">
        <v>22</v>
      </c>
      <c r="C349" s="23" t="s">
        <v>29</v>
      </c>
      <c r="D349" s="16" t="s">
        <v>408</v>
      </c>
      <c r="E349" s="16" t="s">
        <v>2102</v>
      </c>
      <c r="F349" s="158" t="s">
        <v>26</v>
      </c>
      <c r="G349" s="11">
        <f>F349*21</f>
        <v>0</v>
      </c>
      <c r="L349"/>
    </row>
    <row r="350" spans="1:12" ht="15.75">
      <c r="A350" s="18" t="s">
        <v>392</v>
      </c>
      <c r="B350" s="3" t="s">
        <v>22</v>
      </c>
      <c r="C350" s="23" t="s">
        <v>31</v>
      </c>
      <c r="D350" s="16" t="s">
        <v>409</v>
      </c>
      <c r="E350" s="16" t="s">
        <v>2102</v>
      </c>
      <c r="F350" s="158" t="s">
        <v>26</v>
      </c>
      <c r="G350" s="11">
        <f>F350*5</f>
        <v>0</v>
      </c>
      <c r="L350"/>
    </row>
    <row r="351" spans="1:12" ht="15.75">
      <c r="A351" s="18" t="s">
        <v>392</v>
      </c>
      <c r="B351" s="3" t="s">
        <v>22</v>
      </c>
      <c r="C351" s="23" t="s">
        <v>24</v>
      </c>
      <c r="D351" s="16" t="s">
        <v>410</v>
      </c>
      <c r="E351" s="16" t="s">
        <v>2102</v>
      </c>
      <c r="F351" s="158" t="s">
        <v>26</v>
      </c>
      <c r="G351" s="11">
        <f>F351*45</f>
        <v>0</v>
      </c>
      <c r="L351"/>
    </row>
    <row r="352" spans="1:12" ht="15.75">
      <c r="A352" s="18" t="s">
        <v>392</v>
      </c>
      <c r="B352" s="3" t="s">
        <v>22</v>
      </c>
      <c r="C352" s="23" t="s">
        <v>27</v>
      </c>
      <c r="D352" s="16" t="s">
        <v>411</v>
      </c>
      <c r="E352" s="16" t="s">
        <v>2102</v>
      </c>
      <c r="F352" s="158" t="s">
        <v>26</v>
      </c>
      <c r="G352" s="11">
        <f>F352*34</f>
        <v>0</v>
      </c>
      <c r="L352"/>
    </row>
    <row r="353" spans="1:12" ht="15.75">
      <c r="A353" s="18" t="s">
        <v>392</v>
      </c>
      <c r="B353" s="3" t="s">
        <v>22</v>
      </c>
      <c r="C353" s="23" t="s">
        <v>29</v>
      </c>
      <c r="D353" s="16" t="s">
        <v>412</v>
      </c>
      <c r="E353" s="16" t="s">
        <v>2102</v>
      </c>
      <c r="F353" s="158" t="s">
        <v>26</v>
      </c>
      <c r="G353" s="11">
        <f>F353*21</f>
        <v>0</v>
      </c>
      <c r="L353"/>
    </row>
    <row r="354" spans="1:12" ht="15.75">
      <c r="A354" s="18" t="s">
        <v>392</v>
      </c>
      <c r="B354" s="3" t="s">
        <v>22</v>
      </c>
      <c r="C354" s="23" t="s">
        <v>31</v>
      </c>
      <c r="D354" s="16" t="s">
        <v>413</v>
      </c>
      <c r="E354" s="16" t="s">
        <v>2102</v>
      </c>
      <c r="F354" s="158" t="s">
        <v>26</v>
      </c>
      <c r="G354" s="11">
        <f>F354*5</f>
        <v>0</v>
      </c>
      <c r="L354"/>
    </row>
    <row r="355" spans="1:12" ht="15.75">
      <c r="A355" s="18" t="s">
        <v>392</v>
      </c>
      <c r="B355" s="3" t="s">
        <v>22</v>
      </c>
      <c r="C355" s="23" t="s">
        <v>27</v>
      </c>
      <c r="D355" s="16" t="s">
        <v>414</v>
      </c>
      <c r="E355" s="16" t="s">
        <v>2102</v>
      </c>
      <c r="F355" s="158" t="s">
        <v>26</v>
      </c>
      <c r="G355" s="11">
        <f>F355*34</f>
        <v>0</v>
      </c>
      <c r="L355"/>
    </row>
    <row r="356" spans="1:12" ht="15.75">
      <c r="A356" s="18" t="s">
        <v>392</v>
      </c>
      <c r="B356" s="3" t="s">
        <v>22</v>
      </c>
      <c r="C356" s="23" t="s">
        <v>29</v>
      </c>
      <c r="D356" s="16" t="s">
        <v>415</v>
      </c>
      <c r="E356" s="16" t="s">
        <v>2102</v>
      </c>
      <c r="F356" s="158" t="s">
        <v>26</v>
      </c>
      <c r="G356" s="11">
        <f>F356*21</f>
        <v>0</v>
      </c>
      <c r="L356"/>
    </row>
    <row r="357" spans="1:12" ht="15.75">
      <c r="A357" s="18" t="s">
        <v>392</v>
      </c>
      <c r="B357" s="3" t="s">
        <v>22</v>
      </c>
      <c r="C357" s="23" t="s">
        <v>31</v>
      </c>
      <c r="D357" s="16" t="s">
        <v>416</v>
      </c>
      <c r="E357" s="16" t="s">
        <v>2102</v>
      </c>
      <c r="F357" s="158" t="s">
        <v>26</v>
      </c>
      <c r="G357" s="11">
        <f>F357*5</f>
        <v>0</v>
      </c>
      <c r="L357"/>
    </row>
    <row r="358" spans="1:12" ht="15.75">
      <c r="A358" s="18" t="s">
        <v>392</v>
      </c>
      <c r="B358" s="3" t="s">
        <v>22</v>
      </c>
      <c r="C358" s="23" t="s">
        <v>24</v>
      </c>
      <c r="D358" s="16" t="s">
        <v>1478</v>
      </c>
      <c r="E358" s="16" t="s">
        <v>2102</v>
      </c>
      <c r="F358" s="158" t="s">
        <v>26</v>
      </c>
      <c r="G358" s="11">
        <f>F358*45</f>
        <v>0</v>
      </c>
      <c r="L358"/>
    </row>
    <row r="359" spans="1:12" ht="15.75">
      <c r="A359" s="18" t="s">
        <v>392</v>
      </c>
      <c r="B359" s="3" t="s">
        <v>22</v>
      </c>
      <c r="C359" s="23" t="s">
        <v>27</v>
      </c>
      <c r="D359" s="16" t="s">
        <v>401</v>
      </c>
      <c r="E359" s="16" t="s">
        <v>2102</v>
      </c>
      <c r="F359" s="158" t="s">
        <v>26</v>
      </c>
      <c r="G359" s="11">
        <f>F359*34</f>
        <v>0</v>
      </c>
      <c r="L359"/>
    </row>
    <row r="360" spans="1:12" ht="15.75">
      <c r="A360" s="18" t="s">
        <v>392</v>
      </c>
      <c r="B360" s="3" t="s">
        <v>22</v>
      </c>
      <c r="C360" s="23" t="s">
        <v>29</v>
      </c>
      <c r="D360" s="16" t="s">
        <v>1479</v>
      </c>
      <c r="E360" s="16" t="s">
        <v>2102</v>
      </c>
      <c r="F360" s="158" t="s">
        <v>26</v>
      </c>
      <c r="G360" s="11">
        <f>F360*21</f>
        <v>0</v>
      </c>
      <c r="L360"/>
    </row>
    <row r="361" spans="1:12" ht="15.75">
      <c r="A361" s="18" t="s">
        <v>392</v>
      </c>
      <c r="B361" s="3" t="s">
        <v>22</v>
      </c>
      <c r="C361" s="23" t="s">
        <v>31</v>
      </c>
      <c r="D361" s="16" t="s">
        <v>697</v>
      </c>
      <c r="E361" s="16" t="s">
        <v>2102</v>
      </c>
      <c r="F361" s="158" t="s">
        <v>26</v>
      </c>
      <c r="G361" s="11">
        <f>F361*5</f>
        <v>0</v>
      </c>
      <c r="L361"/>
    </row>
    <row r="362" spans="1:12" ht="15.75">
      <c r="A362" s="18" t="s">
        <v>392</v>
      </c>
      <c r="B362" s="3" t="s">
        <v>22</v>
      </c>
      <c r="C362" s="23" t="s">
        <v>24</v>
      </c>
      <c r="D362" s="16" t="s">
        <v>419</v>
      </c>
      <c r="E362" s="16" t="s">
        <v>2102</v>
      </c>
      <c r="F362" s="158" t="s">
        <v>26</v>
      </c>
      <c r="G362" s="11">
        <f>F362*45</f>
        <v>0</v>
      </c>
      <c r="L362"/>
    </row>
    <row r="363" spans="1:12" ht="15.75">
      <c r="A363" s="18" t="s">
        <v>392</v>
      </c>
      <c r="B363" s="3" t="s">
        <v>22</v>
      </c>
      <c r="C363" s="23" t="s">
        <v>27</v>
      </c>
      <c r="D363" s="16" t="s">
        <v>420</v>
      </c>
      <c r="E363" s="16" t="s">
        <v>2102</v>
      </c>
      <c r="F363" s="158" t="s">
        <v>26</v>
      </c>
      <c r="G363" s="11">
        <f>F363*34</f>
        <v>0</v>
      </c>
      <c r="L363"/>
    </row>
    <row r="364" spans="1:12" ht="15.75">
      <c r="A364" s="18" t="s">
        <v>392</v>
      </c>
      <c r="B364" s="3" t="s">
        <v>22</v>
      </c>
      <c r="C364" s="23" t="s">
        <v>29</v>
      </c>
      <c r="D364" s="16" t="s">
        <v>421</v>
      </c>
      <c r="E364" s="16" t="s">
        <v>2102</v>
      </c>
      <c r="F364" s="158" t="s">
        <v>26</v>
      </c>
      <c r="G364" s="11">
        <f>F364*21</f>
        <v>0</v>
      </c>
      <c r="L364"/>
    </row>
    <row r="365" spans="1:12" ht="15.75">
      <c r="A365" s="18" t="s">
        <v>392</v>
      </c>
      <c r="B365" s="3" t="s">
        <v>22</v>
      </c>
      <c r="C365" s="23" t="s">
        <v>31</v>
      </c>
      <c r="D365" s="16" t="s">
        <v>422</v>
      </c>
      <c r="E365" s="16" t="s">
        <v>2102</v>
      </c>
      <c r="F365" s="158" t="s">
        <v>26</v>
      </c>
      <c r="G365" s="11">
        <f>F365*5</f>
        <v>0</v>
      </c>
      <c r="L365"/>
    </row>
    <row r="366" spans="1:12" ht="15.75">
      <c r="A366" s="18" t="s">
        <v>423</v>
      </c>
      <c r="B366" s="3" t="s">
        <v>22</v>
      </c>
      <c r="C366" s="23" t="s">
        <v>24</v>
      </c>
      <c r="D366" s="16" t="s">
        <v>424</v>
      </c>
      <c r="E366" s="16" t="s">
        <v>2102</v>
      </c>
      <c r="F366" s="157">
        <v>321</v>
      </c>
      <c r="G366" s="11">
        <f>F366*45</f>
        <v>14445</v>
      </c>
      <c r="L366"/>
    </row>
    <row r="367" spans="1:12" ht="15.75">
      <c r="A367" s="18" t="s">
        <v>423</v>
      </c>
      <c r="B367" s="3" t="s">
        <v>22</v>
      </c>
      <c r="C367" s="23" t="s">
        <v>27</v>
      </c>
      <c r="D367" s="16" t="s">
        <v>425</v>
      </c>
      <c r="E367" s="16" t="s">
        <v>2102</v>
      </c>
      <c r="F367" s="157">
        <v>195</v>
      </c>
      <c r="G367" s="11">
        <f>F367*34</f>
        <v>6630</v>
      </c>
      <c r="L367"/>
    </row>
    <row r="368" spans="1:12" ht="15.75">
      <c r="A368" s="18" t="s">
        <v>423</v>
      </c>
      <c r="B368" s="3" t="s">
        <v>22</v>
      </c>
      <c r="C368" s="23" t="s">
        <v>29</v>
      </c>
      <c r="D368" s="16" t="s">
        <v>426</v>
      </c>
      <c r="E368" s="16" t="s">
        <v>2102</v>
      </c>
      <c r="F368" s="158" t="s">
        <v>26</v>
      </c>
      <c r="G368" s="11">
        <f>F368*21</f>
        <v>0</v>
      </c>
      <c r="L368"/>
    </row>
    <row r="369" spans="1:12" ht="15.75">
      <c r="A369" s="18" t="s">
        <v>423</v>
      </c>
      <c r="B369" s="3" t="s">
        <v>22</v>
      </c>
      <c r="C369" s="23" t="s">
        <v>31</v>
      </c>
      <c r="D369" s="16" t="s">
        <v>427</v>
      </c>
      <c r="E369" s="16" t="s">
        <v>2102</v>
      </c>
      <c r="F369" s="158" t="s">
        <v>26</v>
      </c>
      <c r="G369" s="11">
        <f>F369*5</f>
        <v>0</v>
      </c>
      <c r="L369"/>
    </row>
    <row r="370" spans="1:12" ht="15.75">
      <c r="A370" s="18" t="s">
        <v>423</v>
      </c>
      <c r="B370" s="3" t="s">
        <v>22</v>
      </c>
      <c r="C370" s="23" t="s">
        <v>24</v>
      </c>
      <c r="D370" s="16" t="s">
        <v>428</v>
      </c>
      <c r="E370" s="16" t="s">
        <v>2102</v>
      </c>
      <c r="F370" s="158" t="s">
        <v>26</v>
      </c>
      <c r="G370" s="11">
        <f>F370*45</f>
        <v>0</v>
      </c>
      <c r="L370"/>
    </row>
    <row r="371" spans="1:12" ht="15.75">
      <c r="A371" s="18" t="s">
        <v>423</v>
      </c>
      <c r="B371" s="3" t="s">
        <v>22</v>
      </c>
      <c r="C371" s="23" t="s">
        <v>27</v>
      </c>
      <c r="D371" s="16" t="s">
        <v>429</v>
      </c>
      <c r="E371" s="16" t="s">
        <v>2102</v>
      </c>
      <c r="F371" s="158" t="s">
        <v>26</v>
      </c>
      <c r="G371" s="11">
        <f>F371*34</f>
        <v>0</v>
      </c>
      <c r="L371"/>
    </row>
    <row r="372" spans="1:12" ht="15.75">
      <c r="A372" s="18" t="s">
        <v>423</v>
      </c>
      <c r="B372" s="3" t="s">
        <v>22</v>
      </c>
      <c r="C372" s="23" t="s">
        <v>29</v>
      </c>
      <c r="D372" s="16" t="s">
        <v>430</v>
      </c>
      <c r="E372" s="16" t="s">
        <v>2102</v>
      </c>
      <c r="F372" s="157">
        <v>275</v>
      </c>
      <c r="G372" s="11">
        <f>F372*21</f>
        <v>5775</v>
      </c>
      <c r="L372"/>
    </row>
    <row r="373" spans="1:12" ht="15.75">
      <c r="A373" s="18" t="s">
        <v>423</v>
      </c>
      <c r="B373" s="3" t="s">
        <v>22</v>
      </c>
      <c r="C373" s="23" t="s">
        <v>31</v>
      </c>
      <c r="D373" s="16" t="s">
        <v>129</v>
      </c>
      <c r="E373" s="16" t="s">
        <v>2102</v>
      </c>
      <c r="F373" s="157">
        <v>62</v>
      </c>
      <c r="G373" s="11">
        <f>F373*5</f>
        <v>310</v>
      </c>
      <c r="L373"/>
    </row>
    <row r="374" spans="1:12" ht="15.75">
      <c r="A374" s="18" t="s">
        <v>423</v>
      </c>
      <c r="B374" s="3" t="s">
        <v>22</v>
      </c>
      <c r="C374" s="23" t="s">
        <v>24</v>
      </c>
      <c r="D374" s="16" t="s">
        <v>431</v>
      </c>
      <c r="E374" s="16" t="s">
        <v>2102</v>
      </c>
      <c r="F374" s="158" t="s">
        <v>26</v>
      </c>
      <c r="G374" s="11">
        <f>F374*45</f>
        <v>0</v>
      </c>
      <c r="L374"/>
    </row>
    <row r="375" spans="1:12" ht="15.75">
      <c r="A375" s="18" t="s">
        <v>423</v>
      </c>
      <c r="B375" s="3" t="s">
        <v>22</v>
      </c>
      <c r="C375" s="23" t="s">
        <v>27</v>
      </c>
      <c r="D375" s="16" t="s">
        <v>432</v>
      </c>
      <c r="E375" s="16" t="s">
        <v>2102</v>
      </c>
      <c r="F375" s="158" t="s">
        <v>26</v>
      </c>
      <c r="G375" s="11">
        <f>F375*34</f>
        <v>0</v>
      </c>
      <c r="L375"/>
    </row>
    <row r="376" spans="1:12" ht="15.75">
      <c r="A376" s="18" t="s">
        <v>423</v>
      </c>
      <c r="B376" s="3" t="s">
        <v>22</v>
      </c>
      <c r="C376" s="23" t="s">
        <v>29</v>
      </c>
      <c r="D376" s="16" t="s">
        <v>433</v>
      </c>
      <c r="E376" s="16" t="s">
        <v>2102</v>
      </c>
      <c r="F376" s="158" t="s">
        <v>26</v>
      </c>
      <c r="G376" s="11">
        <f>F376*21</f>
        <v>0</v>
      </c>
      <c r="L376"/>
    </row>
    <row r="377" spans="1:12" ht="15.75">
      <c r="A377" s="18" t="s">
        <v>423</v>
      </c>
      <c r="B377" s="3" t="s">
        <v>22</v>
      </c>
      <c r="C377" s="23" t="s">
        <v>31</v>
      </c>
      <c r="D377" s="16" t="s">
        <v>434</v>
      </c>
      <c r="E377" s="16" t="s">
        <v>2102</v>
      </c>
      <c r="F377" s="158" t="s">
        <v>26</v>
      </c>
      <c r="G377" s="11">
        <f>F377*5</f>
        <v>0</v>
      </c>
      <c r="L377"/>
    </row>
    <row r="378" spans="1:12" ht="15.75">
      <c r="A378" s="18" t="s">
        <v>423</v>
      </c>
      <c r="B378" s="3" t="s">
        <v>22</v>
      </c>
      <c r="C378" s="23" t="s">
        <v>24</v>
      </c>
      <c r="D378" s="16" t="s">
        <v>435</v>
      </c>
      <c r="E378" s="16" t="s">
        <v>2102</v>
      </c>
      <c r="F378" s="158" t="s">
        <v>26</v>
      </c>
      <c r="G378" s="11">
        <f>F378*45</f>
        <v>0</v>
      </c>
      <c r="L378"/>
    </row>
    <row r="379" spans="1:12" ht="15.75">
      <c r="A379" s="18" t="s">
        <v>423</v>
      </c>
      <c r="B379" s="3" t="s">
        <v>22</v>
      </c>
      <c r="C379" s="23" t="s">
        <v>27</v>
      </c>
      <c r="D379" s="16" t="s">
        <v>436</v>
      </c>
      <c r="E379" s="16" t="s">
        <v>2102</v>
      </c>
      <c r="F379" s="158" t="s">
        <v>26</v>
      </c>
      <c r="G379" s="11">
        <f>F379*34</f>
        <v>0</v>
      </c>
      <c r="L379"/>
    </row>
    <row r="380" spans="1:12" ht="15.75">
      <c r="A380" s="18" t="s">
        <v>423</v>
      </c>
      <c r="B380" s="3" t="s">
        <v>22</v>
      </c>
      <c r="C380" s="23" t="s">
        <v>29</v>
      </c>
      <c r="D380" s="16" t="s">
        <v>437</v>
      </c>
      <c r="E380" s="16" t="s">
        <v>2102</v>
      </c>
      <c r="F380" s="158" t="s">
        <v>26</v>
      </c>
      <c r="G380" s="11">
        <f>F380*21</f>
        <v>0</v>
      </c>
      <c r="L380"/>
    </row>
    <row r="381" spans="1:12" ht="15.75">
      <c r="A381" s="18" t="s">
        <v>423</v>
      </c>
      <c r="B381" s="3" t="s">
        <v>22</v>
      </c>
      <c r="C381" s="23" t="s">
        <v>31</v>
      </c>
      <c r="D381" s="16" t="s">
        <v>438</v>
      </c>
      <c r="E381" s="16" t="s">
        <v>2102</v>
      </c>
      <c r="F381" s="158" t="s">
        <v>26</v>
      </c>
      <c r="G381" s="11">
        <f>F381*5</f>
        <v>0</v>
      </c>
      <c r="L381"/>
    </row>
    <row r="382" spans="1:12" ht="15.75">
      <c r="A382" s="26" t="s">
        <v>439</v>
      </c>
      <c r="B382" s="3" t="s">
        <v>22</v>
      </c>
      <c r="C382" s="23" t="s">
        <v>24</v>
      </c>
      <c r="D382" s="16" t="s">
        <v>441</v>
      </c>
      <c r="E382" s="16" t="s">
        <v>2102</v>
      </c>
      <c r="F382" s="157">
        <v>465</v>
      </c>
      <c r="G382" s="11">
        <f>F382*45</f>
        <v>20925</v>
      </c>
      <c r="L382"/>
    </row>
    <row r="383" spans="1:12" ht="15.75">
      <c r="A383" s="26" t="s">
        <v>439</v>
      </c>
      <c r="B383" s="3" t="s">
        <v>22</v>
      </c>
      <c r="C383" s="23" t="s">
        <v>27</v>
      </c>
      <c r="D383" s="16" t="s">
        <v>442</v>
      </c>
      <c r="E383" s="16" t="s">
        <v>2102</v>
      </c>
      <c r="F383" s="157">
        <v>242</v>
      </c>
      <c r="G383" s="11">
        <f>F383*34</f>
        <v>8228</v>
      </c>
      <c r="L383"/>
    </row>
    <row r="384" spans="1:12" ht="15.75">
      <c r="A384" s="26" t="s">
        <v>439</v>
      </c>
      <c r="B384" s="3" t="s">
        <v>22</v>
      </c>
      <c r="C384" s="23" t="s">
        <v>29</v>
      </c>
      <c r="D384" s="16" t="s">
        <v>443</v>
      </c>
      <c r="E384" s="16" t="s">
        <v>2102</v>
      </c>
      <c r="F384" s="158" t="s">
        <v>26</v>
      </c>
      <c r="G384" s="11">
        <f>F384*21</f>
        <v>0</v>
      </c>
      <c r="L384"/>
    </row>
    <row r="385" spans="1:12" ht="15.75">
      <c r="A385" s="26" t="s">
        <v>439</v>
      </c>
      <c r="B385" s="3" t="s">
        <v>22</v>
      </c>
      <c r="C385" s="23" t="s">
        <v>31</v>
      </c>
      <c r="D385" s="16" t="s">
        <v>444</v>
      </c>
      <c r="E385" s="16" t="s">
        <v>2102</v>
      </c>
      <c r="F385" s="158" t="s">
        <v>26</v>
      </c>
      <c r="G385" s="11">
        <f>F385*5</f>
        <v>0</v>
      </c>
      <c r="L385"/>
    </row>
    <row r="386" spans="1:12" ht="15.75">
      <c r="A386" s="26" t="s">
        <v>439</v>
      </c>
      <c r="B386" s="3" t="s">
        <v>22</v>
      </c>
      <c r="C386" s="23" t="s">
        <v>24</v>
      </c>
      <c r="D386" s="16" t="s">
        <v>445</v>
      </c>
      <c r="E386" s="16" t="s">
        <v>2102</v>
      </c>
      <c r="F386" s="158" t="s">
        <v>26</v>
      </c>
      <c r="G386" s="11">
        <f>F386*45</f>
        <v>0</v>
      </c>
      <c r="L386"/>
    </row>
    <row r="387" spans="1:12" ht="15.75">
      <c r="A387" s="26" t="s">
        <v>439</v>
      </c>
      <c r="B387" s="3" t="s">
        <v>22</v>
      </c>
      <c r="C387" s="23" t="s">
        <v>27</v>
      </c>
      <c r="D387" s="16" t="s">
        <v>446</v>
      </c>
      <c r="E387" s="16" t="s">
        <v>2102</v>
      </c>
      <c r="F387" s="158" t="s">
        <v>26</v>
      </c>
      <c r="G387" s="11">
        <f>F387*34</f>
        <v>0</v>
      </c>
      <c r="L387"/>
    </row>
    <row r="388" spans="1:12" ht="15.75">
      <c r="A388" s="26" t="s">
        <v>439</v>
      </c>
      <c r="B388" s="3" t="s">
        <v>22</v>
      </c>
      <c r="C388" s="25" t="s">
        <v>131</v>
      </c>
      <c r="D388" s="16" t="s">
        <v>447</v>
      </c>
      <c r="E388" s="16" t="s">
        <v>2102</v>
      </c>
      <c r="F388" s="157">
        <v>555</v>
      </c>
      <c r="G388" s="11">
        <f>F388*10</f>
        <v>5550</v>
      </c>
      <c r="L388"/>
    </row>
    <row r="389" spans="1:12" ht="15.75">
      <c r="A389" s="26" t="s">
        <v>439</v>
      </c>
      <c r="B389" s="3" t="s">
        <v>22</v>
      </c>
      <c r="C389" s="23" t="s">
        <v>29</v>
      </c>
      <c r="D389" s="16" t="s">
        <v>448</v>
      </c>
      <c r="E389" s="16" t="s">
        <v>2102</v>
      </c>
      <c r="F389" s="158" t="s">
        <v>26</v>
      </c>
      <c r="G389" s="11">
        <f>F389*21</f>
        <v>0</v>
      </c>
      <c r="L389"/>
    </row>
    <row r="390" spans="1:12" ht="15.75">
      <c r="A390" s="26" t="s">
        <v>439</v>
      </c>
      <c r="B390" s="3" t="s">
        <v>22</v>
      </c>
      <c r="C390" s="23" t="s">
        <v>31</v>
      </c>
      <c r="D390" s="16" t="s">
        <v>449</v>
      </c>
      <c r="E390" s="16" t="s">
        <v>2102</v>
      </c>
      <c r="F390" s="158" t="s">
        <v>26</v>
      </c>
      <c r="G390" s="11">
        <f>F390*5</f>
        <v>0</v>
      </c>
      <c r="L390"/>
    </row>
    <row r="391" spans="1:12" ht="15.75">
      <c r="A391" s="26" t="s">
        <v>439</v>
      </c>
      <c r="B391" s="3" t="s">
        <v>22</v>
      </c>
      <c r="C391" s="23" t="s">
        <v>24</v>
      </c>
      <c r="D391" s="16" t="s">
        <v>450</v>
      </c>
      <c r="E391" s="16" t="s">
        <v>2102</v>
      </c>
      <c r="F391" s="158" t="s">
        <v>26</v>
      </c>
      <c r="G391" s="11">
        <f>F391*45</f>
        <v>0</v>
      </c>
      <c r="L391"/>
    </row>
    <row r="392" spans="1:12" ht="15.75">
      <c r="A392" s="26" t="s">
        <v>439</v>
      </c>
      <c r="B392" s="3" t="s">
        <v>22</v>
      </c>
      <c r="C392" s="23" t="s">
        <v>27</v>
      </c>
      <c r="D392" s="16" t="s">
        <v>451</v>
      </c>
      <c r="E392" s="16" t="s">
        <v>2102</v>
      </c>
      <c r="F392" s="158" t="s">
        <v>26</v>
      </c>
      <c r="G392" s="11">
        <f>F392*34</f>
        <v>0</v>
      </c>
      <c r="L392"/>
    </row>
    <row r="393" spans="1:12" ht="15.75">
      <c r="A393" s="26" t="s">
        <v>439</v>
      </c>
      <c r="B393" s="3" t="s">
        <v>22</v>
      </c>
      <c r="C393" s="23" t="s">
        <v>29</v>
      </c>
      <c r="D393" s="16" t="s">
        <v>452</v>
      </c>
      <c r="E393" s="16" t="s">
        <v>2102</v>
      </c>
      <c r="F393" s="157">
        <v>65</v>
      </c>
      <c r="G393" s="11">
        <f>F393*21</f>
        <v>1365</v>
      </c>
      <c r="L393"/>
    </row>
    <row r="394" spans="1:12" ht="15.75">
      <c r="A394" s="26" t="s">
        <v>439</v>
      </c>
      <c r="B394" s="3" t="s">
        <v>22</v>
      </c>
      <c r="C394" s="23" t="s">
        <v>31</v>
      </c>
      <c r="D394" s="16" t="s">
        <v>453</v>
      </c>
      <c r="E394" s="16" t="s">
        <v>2102</v>
      </c>
      <c r="F394" s="157">
        <v>60</v>
      </c>
      <c r="G394" s="11">
        <f>F394*5</f>
        <v>300</v>
      </c>
      <c r="L394"/>
    </row>
    <row r="395" spans="1:12" ht="15.75">
      <c r="A395" s="26" t="s">
        <v>439</v>
      </c>
      <c r="B395" s="3" t="s">
        <v>22</v>
      </c>
      <c r="C395" s="23" t="s">
        <v>24</v>
      </c>
      <c r="D395" s="16" t="s">
        <v>454</v>
      </c>
      <c r="E395" s="16" t="s">
        <v>2102</v>
      </c>
      <c r="F395" s="158" t="s">
        <v>26</v>
      </c>
      <c r="G395" s="11">
        <f>F395*45</f>
        <v>0</v>
      </c>
      <c r="L395"/>
    </row>
    <row r="396" spans="1:12" ht="15.75">
      <c r="A396" s="26" t="s">
        <v>439</v>
      </c>
      <c r="B396" s="3" t="s">
        <v>22</v>
      </c>
      <c r="C396" s="23" t="s">
        <v>27</v>
      </c>
      <c r="D396" s="16" t="s">
        <v>351</v>
      </c>
      <c r="E396" s="16" t="s">
        <v>2102</v>
      </c>
      <c r="F396" s="158" t="s">
        <v>26</v>
      </c>
      <c r="G396" s="11">
        <f>F396*34</f>
        <v>0</v>
      </c>
      <c r="L396"/>
    </row>
    <row r="397" spans="1:12" ht="15.75">
      <c r="A397" s="26" t="s">
        <v>439</v>
      </c>
      <c r="B397" s="3" t="s">
        <v>22</v>
      </c>
      <c r="C397" s="23" t="s">
        <v>29</v>
      </c>
      <c r="D397" s="16" t="s">
        <v>455</v>
      </c>
      <c r="E397" s="16" t="s">
        <v>2102</v>
      </c>
      <c r="F397" s="158" t="s">
        <v>26</v>
      </c>
      <c r="G397" s="11">
        <f>F397*21</f>
        <v>0</v>
      </c>
      <c r="L397"/>
    </row>
    <row r="398" spans="1:12" ht="15.75">
      <c r="A398" s="26" t="s">
        <v>439</v>
      </c>
      <c r="B398" s="3" t="s">
        <v>22</v>
      </c>
      <c r="C398" s="23" t="s">
        <v>31</v>
      </c>
      <c r="D398" s="16" t="s">
        <v>456</v>
      </c>
      <c r="E398" s="16" t="s">
        <v>2102</v>
      </c>
      <c r="F398" s="158" t="s">
        <v>26</v>
      </c>
      <c r="G398" s="11">
        <f>F398*5</f>
        <v>0</v>
      </c>
      <c r="L398"/>
    </row>
    <row r="399" spans="1:12" ht="15.75">
      <c r="A399" s="26" t="s">
        <v>439</v>
      </c>
      <c r="B399" s="3" t="s">
        <v>22</v>
      </c>
      <c r="C399" s="23" t="s">
        <v>24</v>
      </c>
      <c r="D399" s="16" t="s">
        <v>458</v>
      </c>
      <c r="E399" s="16" t="s">
        <v>2102</v>
      </c>
      <c r="F399" s="158" t="s">
        <v>26</v>
      </c>
      <c r="G399" s="11">
        <f>F399*45</f>
        <v>0</v>
      </c>
      <c r="L399"/>
    </row>
    <row r="400" spans="1:12" ht="15.75">
      <c r="A400" s="26" t="s">
        <v>439</v>
      </c>
      <c r="B400" s="3" t="s">
        <v>22</v>
      </c>
      <c r="C400" s="23" t="s">
        <v>27</v>
      </c>
      <c r="D400" s="16" t="s">
        <v>459</v>
      </c>
      <c r="E400" s="16" t="s">
        <v>2102</v>
      </c>
      <c r="F400" s="158" t="s">
        <v>26</v>
      </c>
      <c r="G400" s="11">
        <f>F400*34</f>
        <v>0</v>
      </c>
      <c r="L400"/>
    </row>
    <row r="401" spans="1:12" ht="15.75">
      <c r="A401" s="26" t="s">
        <v>439</v>
      </c>
      <c r="B401" s="3" t="s">
        <v>22</v>
      </c>
      <c r="C401" s="23" t="s">
        <v>29</v>
      </c>
      <c r="D401" s="16" t="s">
        <v>460</v>
      </c>
      <c r="E401" s="16" t="s">
        <v>2102</v>
      </c>
      <c r="F401" s="158" t="s">
        <v>26</v>
      </c>
      <c r="G401" s="11">
        <f>F401*21</f>
        <v>0</v>
      </c>
      <c r="L401"/>
    </row>
    <row r="402" spans="1:12" ht="15.75">
      <c r="A402" s="26" t="s">
        <v>439</v>
      </c>
      <c r="B402" s="3" t="s">
        <v>22</v>
      </c>
      <c r="C402" s="23" t="s">
        <v>31</v>
      </c>
      <c r="D402" s="16" t="s">
        <v>429</v>
      </c>
      <c r="E402" s="16" t="s">
        <v>2102</v>
      </c>
      <c r="F402" s="158" t="s">
        <v>26</v>
      </c>
      <c r="G402" s="11">
        <f>F402*5</f>
        <v>0</v>
      </c>
      <c r="L402"/>
    </row>
    <row r="403" spans="1:12" ht="15.75">
      <c r="A403" s="26" t="s">
        <v>461</v>
      </c>
      <c r="B403" s="3" t="s">
        <v>22</v>
      </c>
      <c r="C403" s="23" t="s">
        <v>24</v>
      </c>
      <c r="D403" s="16" t="s">
        <v>462</v>
      </c>
      <c r="E403" s="16" t="s">
        <v>2102</v>
      </c>
      <c r="F403" s="157">
        <v>593</v>
      </c>
      <c r="G403" s="11">
        <f>F403*45</f>
        <v>26685</v>
      </c>
      <c r="L403"/>
    </row>
    <row r="404" spans="1:12" ht="15.75">
      <c r="A404" s="26" t="s">
        <v>461</v>
      </c>
      <c r="B404" s="3" t="s">
        <v>22</v>
      </c>
      <c r="C404" s="23" t="s">
        <v>27</v>
      </c>
      <c r="D404" s="16" t="s">
        <v>463</v>
      </c>
      <c r="E404" s="16" t="s">
        <v>2102</v>
      </c>
      <c r="F404" s="157">
        <v>271</v>
      </c>
      <c r="G404" s="11">
        <f>F404*34</f>
        <v>9214</v>
      </c>
      <c r="L404"/>
    </row>
    <row r="405" spans="1:12" ht="15.75">
      <c r="A405" s="26" t="s">
        <v>461</v>
      </c>
      <c r="B405" s="3" t="s">
        <v>22</v>
      </c>
      <c r="C405" s="23" t="s">
        <v>29</v>
      </c>
      <c r="D405" s="16" t="s">
        <v>464</v>
      </c>
      <c r="E405" s="16" t="s">
        <v>2102</v>
      </c>
      <c r="F405" s="157">
        <v>186</v>
      </c>
      <c r="G405" s="11">
        <f>F405*21</f>
        <v>3906</v>
      </c>
      <c r="L405"/>
    </row>
    <row r="406" spans="1:12" ht="15.75">
      <c r="A406" s="26" t="s">
        <v>461</v>
      </c>
      <c r="B406" s="3" t="s">
        <v>22</v>
      </c>
      <c r="C406" s="23" t="s">
        <v>31</v>
      </c>
      <c r="D406" s="16" t="s">
        <v>465</v>
      </c>
      <c r="E406" s="16" t="s">
        <v>2102</v>
      </c>
      <c r="F406" s="157">
        <v>60</v>
      </c>
      <c r="G406" s="11">
        <f>F406*5</f>
        <v>300</v>
      </c>
      <c r="L406"/>
    </row>
    <row r="407" spans="1:12" ht="15.75">
      <c r="A407" s="26" t="s">
        <v>461</v>
      </c>
      <c r="B407" s="3" t="s">
        <v>22</v>
      </c>
      <c r="C407" s="23" t="s">
        <v>24</v>
      </c>
      <c r="D407" s="16" t="s">
        <v>466</v>
      </c>
      <c r="E407" s="16" t="s">
        <v>2102</v>
      </c>
      <c r="F407" s="158" t="s">
        <v>26</v>
      </c>
      <c r="G407" s="11">
        <f>F407*45</f>
        <v>0</v>
      </c>
      <c r="L407"/>
    </row>
    <row r="408" spans="1:12" ht="15.75">
      <c r="A408" s="26" t="s">
        <v>461</v>
      </c>
      <c r="B408" s="3" t="s">
        <v>22</v>
      </c>
      <c r="C408" s="23" t="s">
        <v>27</v>
      </c>
      <c r="D408" s="16" t="s">
        <v>467</v>
      </c>
      <c r="E408" s="16" t="s">
        <v>2102</v>
      </c>
      <c r="F408" s="158" t="s">
        <v>26</v>
      </c>
      <c r="G408" s="11">
        <f>F408*34</f>
        <v>0</v>
      </c>
      <c r="L408"/>
    </row>
    <row r="409" spans="1:12" ht="15.75">
      <c r="A409" s="26" t="s">
        <v>461</v>
      </c>
      <c r="B409" s="3" t="s">
        <v>22</v>
      </c>
      <c r="C409" s="23" t="s">
        <v>29</v>
      </c>
      <c r="D409" s="16" t="s">
        <v>468</v>
      </c>
      <c r="E409" s="16" t="s">
        <v>2102</v>
      </c>
      <c r="F409" s="158" t="s">
        <v>26</v>
      </c>
      <c r="G409" s="11">
        <f>F409*21</f>
        <v>0</v>
      </c>
      <c r="L409"/>
    </row>
    <row r="410" spans="1:12" ht="15.75">
      <c r="A410" s="26" t="s">
        <v>461</v>
      </c>
      <c r="B410" s="3" t="s">
        <v>22</v>
      </c>
      <c r="C410" s="23" t="s">
        <v>31</v>
      </c>
      <c r="D410" s="16" t="s">
        <v>469</v>
      </c>
      <c r="E410" s="16" t="s">
        <v>2102</v>
      </c>
      <c r="F410" s="158" t="s">
        <v>26</v>
      </c>
      <c r="G410" s="11">
        <f>F410*5</f>
        <v>0</v>
      </c>
      <c r="L410"/>
    </row>
    <row r="411" spans="1:12" ht="15.75">
      <c r="A411" s="26" t="s">
        <v>461</v>
      </c>
      <c r="B411" s="3" t="s">
        <v>22</v>
      </c>
      <c r="C411" s="23" t="s">
        <v>24</v>
      </c>
      <c r="D411" s="16" t="s">
        <v>352</v>
      </c>
      <c r="E411" s="16" t="s">
        <v>2102</v>
      </c>
      <c r="F411" s="158" t="s">
        <v>26</v>
      </c>
      <c r="G411" s="11">
        <f>F411*45</f>
        <v>0</v>
      </c>
      <c r="L411"/>
    </row>
    <row r="412" spans="1:12" ht="15.75">
      <c r="A412" s="26" t="s">
        <v>461</v>
      </c>
      <c r="B412" s="3" t="s">
        <v>22</v>
      </c>
      <c r="C412" s="23" t="s">
        <v>27</v>
      </c>
      <c r="D412" s="16" t="s">
        <v>467</v>
      </c>
      <c r="E412" s="16" t="s">
        <v>2102</v>
      </c>
      <c r="F412" s="158" t="s">
        <v>26</v>
      </c>
      <c r="G412" s="11">
        <f>F412*34</f>
        <v>0</v>
      </c>
      <c r="L412"/>
    </row>
    <row r="413" spans="1:12" ht="15.75">
      <c r="A413" s="26" t="s">
        <v>461</v>
      </c>
      <c r="B413" s="3" t="s">
        <v>22</v>
      </c>
      <c r="C413" s="23" t="s">
        <v>29</v>
      </c>
      <c r="D413" s="16" t="s">
        <v>470</v>
      </c>
      <c r="E413" s="16" t="s">
        <v>2102</v>
      </c>
      <c r="F413" s="158" t="s">
        <v>26</v>
      </c>
      <c r="G413" s="11">
        <f>F413*21</f>
        <v>0</v>
      </c>
      <c r="L413"/>
    </row>
    <row r="414" spans="1:12" ht="15.75">
      <c r="A414" s="26" t="s">
        <v>461</v>
      </c>
      <c r="B414" s="3" t="s">
        <v>22</v>
      </c>
      <c r="C414" s="23" t="s">
        <v>31</v>
      </c>
      <c r="D414" s="16" t="s">
        <v>471</v>
      </c>
      <c r="E414" s="16" t="s">
        <v>2102</v>
      </c>
      <c r="F414" s="158" t="s">
        <v>26</v>
      </c>
      <c r="G414" s="11">
        <f>F414*5</f>
        <v>0</v>
      </c>
      <c r="L414"/>
    </row>
    <row r="415" spans="1:12" ht="15.75">
      <c r="A415" s="26" t="s">
        <v>461</v>
      </c>
      <c r="B415" s="3" t="s">
        <v>22</v>
      </c>
      <c r="C415" s="25" t="s">
        <v>131</v>
      </c>
      <c r="D415" s="16" t="s">
        <v>472</v>
      </c>
      <c r="E415" s="16" t="s">
        <v>2102</v>
      </c>
      <c r="F415" s="157">
        <v>70</v>
      </c>
      <c r="G415" s="11">
        <f>F415*10</f>
        <v>700</v>
      </c>
      <c r="L415"/>
    </row>
    <row r="416" spans="1:12" ht="15.75">
      <c r="A416" s="26" t="s">
        <v>473</v>
      </c>
      <c r="B416" s="3" t="s">
        <v>22</v>
      </c>
      <c r="C416" s="23" t="s">
        <v>24</v>
      </c>
      <c r="D416" s="16" t="s">
        <v>474</v>
      </c>
      <c r="E416" s="16" t="s">
        <v>2102</v>
      </c>
      <c r="F416" s="158" t="s">
        <v>26</v>
      </c>
      <c r="G416" s="11">
        <f>F416*45</f>
        <v>0</v>
      </c>
      <c r="L416"/>
    </row>
    <row r="417" spans="1:12" ht="15.75">
      <c r="A417" s="26" t="s">
        <v>473</v>
      </c>
      <c r="B417" s="3" t="s">
        <v>22</v>
      </c>
      <c r="C417" s="23" t="s">
        <v>27</v>
      </c>
      <c r="D417" s="16" t="s">
        <v>292</v>
      </c>
      <c r="E417" s="16" t="s">
        <v>2102</v>
      </c>
      <c r="F417" s="158" t="s">
        <v>26</v>
      </c>
      <c r="G417" s="11">
        <f>F417*34</f>
        <v>0</v>
      </c>
      <c r="L417"/>
    </row>
    <row r="418" spans="1:12" ht="15.75">
      <c r="A418" s="26" t="s">
        <v>473</v>
      </c>
      <c r="B418" s="3" t="s">
        <v>22</v>
      </c>
      <c r="C418" s="23" t="s">
        <v>29</v>
      </c>
      <c r="D418" s="16" t="s">
        <v>421</v>
      </c>
      <c r="E418" s="16" t="s">
        <v>2102</v>
      </c>
      <c r="F418" s="158" t="s">
        <v>26</v>
      </c>
      <c r="G418" s="11">
        <f>F418*21</f>
        <v>0</v>
      </c>
      <c r="L418"/>
    </row>
    <row r="419" spans="1:12" ht="15.75">
      <c r="A419" s="26" t="s">
        <v>473</v>
      </c>
      <c r="B419" s="3" t="s">
        <v>22</v>
      </c>
      <c r="C419" s="23" t="s">
        <v>31</v>
      </c>
      <c r="D419" s="16" t="s">
        <v>475</v>
      </c>
      <c r="E419" s="16" t="s">
        <v>2102</v>
      </c>
      <c r="F419" s="158" t="s">
        <v>26</v>
      </c>
      <c r="G419" s="11">
        <f>F419*5</f>
        <v>0</v>
      </c>
      <c r="L419"/>
    </row>
    <row r="420" spans="1:12" ht="15.75">
      <c r="A420" s="26" t="s">
        <v>473</v>
      </c>
      <c r="B420" s="3" t="s">
        <v>22</v>
      </c>
      <c r="C420" s="23" t="s">
        <v>24</v>
      </c>
      <c r="D420" s="16" t="s">
        <v>476</v>
      </c>
      <c r="E420" s="16" t="s">
        <v>2102</v>
      </c>
      <c r="F420" s="158" t="s">
        <v>26</v>
      </c>
      <c r="G420" s="11">
        <f>F420*45</f>
        <v>0</v>
      </c>
      <c r="L420"/>
    </row>
    <row r="421" spans="1:12" ht="15.75">
      <c r="A421" s="26" t="s">
        <v>473</v>
      </c>
      <c r="B421" s="3" t="s">
        <v>22</v>
      </c>
      <c r="C421" s="23" t="s">
        <v>27</v>
      </c>
      <c r="D421" s="16" t="s">
        <v>477</v>
      </c>
      <c r="E421" s="16" t="s">
        <v>2102</v>
      </c>
      <c r="F421" s="158" t="s">
        <v>26</v>
      </c>
      <c r="G421" s="11">
        <f>F421*34</f>
        <v>0</v>
      </c>
      <c r="L421"/>
    </row>
    <row r="422" spans="1:12" ht="15.75">
      <c r="A422" s="26" t="s">
        <v>473</v>
      </c>
      <c r="B422" s="3" t="s">
        <v>22</v>
      </c>
      <c r="C422" s="23" t="s">
        <v>29</v>
      </c>
      <c r="D422" s="16" t="s">
        <v>478</v>
      </c>
      <c r="E422" s="16" t="s">
        <v>2102</v>
      </c>
      <c r="F422" s="158" t="s">
        <v>26</v>
      </c>
      <c r="G422" s="11">
        <f>F422*21</f>
        <v>0</v>
      </c>
      <c r="L422"/>
    </row>
    <row r="423" spans="1:12" ht="15.75">
      <c r="A423" s="26" t="s">
        <v>473</v>
      </c>
      <c r="B423" s="3" t="s">
        <v>22</v>
      </c>
      <c r="C423" s="23" t="s">
        <v>31</v>
      </c>
      <c r="D423" s="16" t="s">
        <v>479</v>
      </c>
      <c r="E423" s="16" t="s">
        <v>2102</v>
      </c>
      <c r="F423" s="158" t="s">
        <v>26</v>
      </c>
      <c r="G423" s="11">
        <f>F423*5</f>
        <v>0</v>
      </c>
      <c r="L423"/>
    </row>
    <row r="424" spans="1:12" ht="15.75">
      <c r="A424" s="26" t="s">
        <v>473</v>
      </c>
      <c r="B424" s="3" t="s">
        <v>22</v>
      </c>
      <c r="C424" s="23" t="s">
        <v>24</v>
      </c>
      <c r="D424" s="16" t="s">
        <v>480</v>
      </c>
      <c r="E424" s="16" t="s">
        <v>2102</v>
      </c>
      <c r="F424" s="157">
        <v>375</v>
      </c>
      <c r="G424" s="11">
        <f>F424*45</f>
        <v>16875</v>
      </c>
      <c r="L424"/>
    </row>
    <row r="425" spans="1:12" ht="15.75">
      <c r="A425" s="26" t="s">
        <v>473</v>
      </c>
      <c r="B425" s="3" t="s">
        <v>22</v>
      </c>
      <c r="C425" s="23" t="s">
        <v>27</v>
      </c>
      <c r="D425" s="16" t="s">
        <v>481</v>
      </c>
      <c r="E425" s="16" t="s">
        <v>2102</v>
      </c>
      <c r="F425" s="157">
        <v>422</v>
      </c>
      <c r="G425" s="11">
        <f>F425*34</f>
        <v>14348</v>
      </c>
      <c r="L425"/>
    </row>
    <row r="426" spans="1:12" ht="15.75">
      <c r="A426" s="26" t="s">
        <v>473</v>
      </c>
      <c r="B426" s="3" t="s">
        <v>22</v>
      </c>
      <c r="C426" s="23" t="s">
        <v>29</v>
      </c>
      <c r="D426" s="16" t="s">
        <v>482</v>
      </c>
      <c r="E426" s="16" t="s">
        <v>2102</v>
      </c>
      <c r="F426" s="157">
        <v>325</v>
      </c>
      <c r="G426" s="11">
        <f>F426*21</f>
        <v>6825</v>
      </c>
      <c r="L426"/>
    </row>
    <row r="427" spans="1:12" ht="15.75">
      <c r="A427" s="26" t="s">
        <v>473</v>
      </c>
      <c r="B427" s="3" t="s">
        <v>22</v>
      </c>
      <c r="C427" s="23" t="s">
        <v>31</v>
      </c>
      <c r="D427" s="16" t="s">
        <v>483</v>
      </c>
      <c r="E427" s="16" t="s">
        <v>2102</v>
      </c>
      <c r="F427" s="157">
        <v>210</v>
      </c>
      <c r="G427" s="11">
        <f>F427*5</f>
        <v>1050</v>
      </c>
      <c r="L427"/>
    </row>
    <row r="428" spans="1:12" ht="15.75">
      <c r="A428" s="26" t="s">
        <v>473</v>
      </c>
      <c r="B428" s="3" t="s">
        <v>22</v>
      </c>
      <c r="C428" s="23" t="s">
        <v>24</v>
      </c>
      <c r="D428" s="16" t="s">
        <v>484</v>
      </c>
      <c r="E428" s="16" t="s">
        <v>2102</v>
      </c>
      <c r="F428" s="158" t="s">
        <v>26</v>
      </c>
      <c r="G428" s="11">
        <f>F428*45</f>
        <v>0</v>
      </c>
      <c r="L428"/>
    </row>
    <row r="429" spans="1:12" ht="15.75">
      <c r="A429" s="26" t="s">
        <v>473</v>
      </c>
      <c r="B429" s="3" t="s">
        <v>22</v>
      </c>
      <c r="C429" s="23" t="s">
        <v>27</v>
      </c>
      <c r="D429" s="16" t="s">
        <v>485</v>
      </c>
      <c r="E429" s="16" t="s">
        <v>2102</v>
      </c>
      <c r="F429" s="158" t="s">
        <v>26</v>
      </c>
      <c r="G429" s="11">
        <f>F429*34</f>
        <v>0</v>
      </c>
      <c r="L429"/>
    </row>
    <row r="430" spans="1:12" ht="15.75">
      <c r="A430" s="26" t="s">
        <v>473</v>
      </c>
      <c r="B430" s="3" t="s">
        <v>22</v>
      </c>
      <c r="C430" s="23" t="s">
        <v>29</v>
      </c>
      <c r="D430" s="16" t="s">
        <v>486</v>
      </c>
      <c r="E430" s="16" t="s">
        <v>2102</v>
      </c>
      <c r="F430" s="158" t="s">
        <v>26</v>
      </c>
      <c r="G430" s="11">
        <f>F430*21</f>
        <v>0</v>
      </c>
      <c r="L430"/>
    </row>
    <row r="431" spans="1:12" ht="15.75">
      <c r="A431" s="26" t="s">
        <v>473</v>
      </c>
      <c r="B431" s="3" t="s">
        <v>22</v>
      </c>
      <c r="C431" s="23" t="s">
        <v>31</v>
      </c>
      <c r="D431" s="16" t="s">
        <v>485</v>
      </c>
      <c r="E431" s="16" t="s">
        <v>2102</v>
      </c>
      <c r="F431" s="158" t="s">
        <v>26</v>
      </c>
      <c r="G431" s="11">
        <f>F431*5</f>
        <v>0</v>
      </c>
      <c r="L431"/>
    </row>
    <row r="432" spans="1:12" ht="15.75">
      <c r="A432" s="26" t="s">
        <v>473</v>
      </c>
      <c r="B432" s="3" t="s">
        <v>22</v>
      </c>
      <c r="C432" s="25" t="s">
        <v>131</v>
      </c>
      <c r="D432" s="16" t="s">
        <v>262</v>
      </c>
      <c r="E432" s="16" t="s">
        <v>2102</v>
      </c>
      <c r="F432" s="158" t="s">
        <v>26</v>
      </c>
      <c r="G432" s="11">
        <f>F432*10</f>
        <v>0</v>
      </c>
      <c r="L432"/>
    </row>
    <row r="433" spans="1:12" ht="15.75">
      <c r="A433" s="26" t="s">
        <v>473</v>
      </c>
      <c r="B433" s="3" t="s">
        <v>22</v>
      </c>
      <c r="C433" s="23" t="s">
        <v>24</v>
      </c>
      <c r="D433" s="15" t="s">
        <v>488</v>
      </c>
      <c r="E433" s="16" t="s">
        <v>2102</v>
      </c>
      <c r="F433" s="158" t="s">
        <v>26</v>
      </c>
      <c r="G433" s="11">
        <f>F433*45</f>
        <v>0</v>
      </c>
      <c r="L433"/>
    </row>
    <row r="434" spans="1:12" ht="15.75">
      <c r="A434" s="26" t="s">
        <v>473</v>
      </c>
      <c r="B434" s="3" t="s">
        <v>22</v>
      </c>
      <c r="C434" s="23" t="s">
        <v>27</v>
      </c>
      <c r="D434" s="15" t="s">
        <v>489</v>
      </c>
      <c r="E434" s="16" t="s">
        <v>2102</v>
      </c>
      <c r="F434" s="158" t="s">
        <v>26</v>
      </c>
      <c r="G434" s="11">
        <f>F434*34</f>
        <v>0</v>
      </c>
      <c r="L434"/>
    </row>
    <row r="435" spans="1:12" ht="15.75">
      <c r="A435" s="26" t="s">
        <v>473</v>
      </c>
      <c r="B435" s="3" t="s">
        <v>22</v>
      </c>
      <c r="C435" s="23" t="s">
        <v>29</v>
      </c>
      <c r="D435" s="15" t="s">
        <v>490</v>
      </c>
      <c r="E435" s="16" t="s">
        <v>2102</v>
      </c>
      <c r="F435" s="158" t="s">
        <v>26</v>
      </c>
      <c r="G435" s="11">
        <f>F435*21</f>
        <v>0</v>
      </c>
      <c r="L435"/>
    </row>
    <row r="436" spans="1:12" ht="15.75">
      <c r="A436" s="26" t="s">
        <v>473</v>
      </c>
      <c r="B436" s="3" t="s">
        <v>22</v>
      </c>
      <c r="C436" s="23" t="s">
        <v>31</v>
      </c>
      <c r="D436" s="15" t="s">
        <v>491</v>
      </c>
      <c r="E436" s="16" t="s">
        <v>2102</v>
      </c>
      <c r="F436" s="158" t="s">
        <v>26</v>
      </c>
      <c r="G436" s="11">
        <f>F436*5</f>
        <v>0</v>
      </c>
      <c r="L436"/>
    </row>
    <row r="437" spans="1:12" ht="15.75">
      <c r="A437" s="26" t="s">
        <v>492</v>
      </c>
      <c r="B437" s="3" t="s">
        <v>22</v>
      </c>
      <c r="C437" s="25" t="s">
        <v>27</v>
      </c>
      <c r="D437" s="15" t="s">
        <v>282</v>
      </c>
      <c r="E437" s="16" t="s">
        <v>2102</v>
      </c>
      <c r="F437" s="158" t="s">
        <v>26</v>
      </c>
      <c r="G437" s="11">
        <f>F437*34</f>
        <v>0</v>
      </c>
      <c r="L437"/>
    </row>
    <row r="438" spans="1:12" ht="15.75">
      <c r="A438" s="26" t="s">
        <v>492</v>
      </c>
      <c r="B438" s="3" t="s">
        <v>22</v>
      </c>
      <c r="C438" s="25" t="s">
        <v>71</v>
      </c>
      <c r="D438" s="15" t="s">
        <v>493</v>
      </c>
      <c r="E438" s="16" t="s">
        <v>2102</v>
      </c>
      <c r="F438" s="157">
        <v>124</v>
      </c>
      <c r="G438" s="11">
        <f>F438*40</f>
        <v>4960</v>
      </c>
      <c r="L438"/>
    </row>
    <row r="439" spans="1:12" ht="15.75">
      <c r="A439" s="26" t="s">
        <v>492</v>
      </c>
      <c r="B439" s="3" t="s">
        <v>22</v>
      </c>
      <c r="C439" s="25" t="s">
        <v>29</v>
      </c>
      <c r="D439" s="15" t="s">
        <v>494</v>
      </c>
      <c r="E439" s="16" t="s">
        <v>2102</v>
      </c>
      <c r="F439" s="158" t="s">
        <v>26</v>
      </c>
      <c r="G439" s="11">
        <f>F439*21</f>
        <v>0</v>
      </c>
      <c r="L439"/>
    </row>
    <row r="440" spans="1:12" ht="15.75">
      <c r="A440" s="26" t="s">
        <v>492</v>
      </c>
      <c r="B440" s="3" t="s">
        <v>22</v>
      </c>
      <c r="C440" s="25" t="s">
        <v>31</v>
      </c>
      <c r="D440" s="15" t="s">
        <v>495</v>
      </c>
      <c r="E440" s="16" t="s">
        <v>2102</v>
      </c>
      <c r="F440" s="158" t="s">
        <v>26</v>
      </c>
      <c r="G440" s="11">
        <f>F440*5</f>
        <v>0</v>
      </c>
      <c r="L440"/>
    </row>
    <row r="441" spans="1:12" ht="15.75">
      <c r="A441" s="26" t="s">
        <v>492</v>
      </c>
      <c r="B441" s="3" t="s">
        <v>22</v>
      </c>
      <c r="C441" s="23" t="s">
        <v>24</v>
      </c>
      <c r="D441" s="15" t="s">
        <v>60</v>
      </c>
      <c r="E441" s="16" t="s">
        <v>2102</v>
      </c>
      <c r="F441" s="157">
        <v>741</v>
      </c>
      <c r="G441" s="11">
        <f>F441*45</f>
        <v>33345</v>
      </c>
      <c r="L441"/>
    </row>
    <row r="442" spans="1:12" ht="15.75">
      <c r="A442" s="26" t="s">
        <v>492</v>
      </c>
      <c r="B442" s="3" t="s">
        <v>22</v>
      </c>
      <c r="C442" s="23" t="s">
        <v>27</v>
      </c>
      <c r="D442" s="15" t="s">
        <v>475</v>
      </c>
      <c r="E442" s="16" t="s">
        <v>2102</v>
      </c>
      <c r="F442" s="157">
        <v>295</v>
      </c>
      <c r="G442" s="11">
        <f>F442*34</f>
        <v>10030</v>
      </c>
      <c r="L442"/>
    </row>
    <row r="443" spans="1:12" ht="15.75">
      <c r="A443" s="26" t="s">
        <v>492</v>
      </c>
      <c r="B443" s="3" t="s">
        <v>22</v>
      </c>
      <c r="C443" s="23" t="s">
        <v>29</v>
      </c>
      <c r="D443" s="15" t="s">
        <v>496</v>
      </c>
      <c r="E443" s="16" t="s">
        <v>2102</v>
      </c>
      <c r="F443" s="157">
        <v>782</v>
      </c>
      <c r="G443" s="11">
        <f>F443*21</f>
        <v>16422</v>
      </c>
      <c r="L443"/>
    </row>
    <row r="444" spans="1:12" ht="15.75">
      <c r="A444" s="26" t="s">
        <v>492</v>
      </c>
      <c r="B444" s="3" t="s">
        <v>22</v>
      </c>
      <c r="C444" s="23" t="s">
        <v>31</v>
      </c>
      <c r="D444" s="15" t="s">
        <v>324</v>
      </c>
      <c r="E444" s="16" t="s">
        <v>2102</v>
      </c>
      <c r="F444" s="157">
        <v>251</v>
      </c>
      <c r="G444" s="11">
        <f>F444*5</f>
        <v>1255</v>
      </c>
      <c r="L444"/>
    </row>
    <row r="445" spans="1:12" ht="15.75">
      <c r="A445" s="26" t="s">
        <v>492</v>
      </c>
      <c r="B445" s="3" t="s">
        <v>22</v>
      </c>
      <c r="C445" s="23" t="s">
        <v>24</v>
      </c>
      <c r="D445" s="15" t="s">
        <v>497</v>
      </c>
      <c r="E445" s="16" t="s">
        <v>2102</v>
      </c>
      <c r="F445" s="158" t="s">
        <v>26</v>
      </c>
      <c r="G445" s="11">
        <f>F445*45</f>
        <v>0</v>
      </c>
      <c r="L445"/>
    </row>
    <row r="446" spans="1:12" ht="15.75">
      <c r="A446" s="26" t="s">
        <v>492</v>
      </c>
      <c r="B446" s="3" t="s">
        <v>22</v>
      </c>
      <c r="C446" s="23" t="s">
        <v>27</v>
      </c>
      <c r="D446" s="15" t="s">
        <v>498</v>
      </c>
      <c r="E446" s="16" t="s">
        <v>2102</v>
      </c>
      <c r="F446" s="158" t="s">
        <v>26</v>
      </c>
      <c r="G446" s="11">
        <f>F446*34</f>
        <v>0</v>
      </c>
      <c r="L446"/>
    </row>
    <row r="447" spans="1:12" ht="15.75">
      <c r="A447" s="26" t="s">
        <v>492</v>
      </c>
      <c r="B447" s="3" t="s">
        <v>22</v>
      </c>
      <c r="C447" s="23" t="s">
        <v>29</v>
      </c>
      <c r="D447" s="15" t="s">
        <v>499</v>
      </c>
      <c r="E447" s="16" t="s">
        <v>2102</v>
      </c>
      <c r="F447" s="158" t="s">
        <v>26</v>
      </c>
      <c r="G447" s="11">
        <f>F447*21</f>
        <v>0</v>
      </c>
      <c r="L447"/>
    </row>
    <row r="448" spans="1:12" ht="15.75">
      <c r="A448" s="26" t="s">
        <v>492</v>
      </c>
      <c r="B448" s="3" t="s">
        <v>22</v>
      </c>
      <c r="C448" s="23" t="s">
        <v>31</v>
      </c>
      <c r="D448" s="15" t="s">
        <v>500</v>
      </c>
      <c r="E448" s="16" t="s">
        <v>2102</v>
      </c>
      <c r="F448" s="158" t="s">
        <v>26</v>
      </c>
      <c r="G448" s="11">
        <f>F448*5</f>
        <v>0</v>
      </c>
      <c r="L448"/>
    </row>
    <row r="449" spans="1:12" ht="15.75">
      <c r="A449" s="26" t="s">
        <v>492</v>
      </c>
      <c r="B449" s="3" t="s">
        <v>22</v>
      </c>
      <c r="C449" s="23" t="s">
        <v>24</v>
      </c>
      <c r="D449" s="15" t="s">
        <v>501</v>
      </c>
      <c r="E449" s="16" t="s">
        <v>2102</v>
      </c>
      <c r="F449" s="158" t="s">
        <v>26</v>
      </c>
      <c r="G449" s="11">
        <f>F449*45</f>
        <v>0</v>
      </c>
      <c r="L449"/>
    </row>
    <row r="450" spans="1:12" ht="15.75">
      <c r="A450" s="26" t="s">
        <v>492</v>
      </c>
      <c r="B450" s="3" t="s">
        <v>22</v>
      </c>
      <c r="C450" s="23" t="s">
        <v>27</v>
      </c>
      <c r="D450" s="15" t="s">
        <v>502</v>
      </c>
      <c r="E450" s="16" t="s">
        <v>2102</v>
      </c>
      <c r="F450" s="158" t="s">
        <v>26</v>
      </c>
      <c r="G450" s="11">
        <f>F450*34</f>
        <v>0</v>
      </c>
      <c r="L450"/>
    </row>
    <row r="451" spans="1:12" ht="15.75">
      <c r="A451" s="26" t="s">
        <v>492</v>
      </c>
      <c r="B451" s="3" t="s">
        <v>22</v>
      </c>
      <c r="C451" s="23" t="s">
        <v>29</v>
      </c>
      <c r="D451" s="15" t="s">
        <v>503</v>
      </c>
      <c r="E451" s="16" t="s">
        <v>2102</v>
      </c>
      <c r="F451" s="158" t="s">
        <v>26</v>
      </c>
      <c r="G451" s="11">
        <f>F451*21</f>
        <v>0</v>
      </c>
      <c r="L451"/>
    </row>
    <row r="452" spans="1:12" ht="15.75">
      <c r="A452" s="26" t="s">
        <v>492</v>
      </c>
      <c r="B452" s="3" t="s">
        <v>22</v>
      </c>
      <c r="C452" s="23" t="s">
        <v>31</v>
      </c>
      <c r="D452" s="15" t="s">
        <v>504</v>
      </c>
      <c r="E452" s="16" t="s">
        <v>2102</v>
      </c>
      <c r="F452" s="158" t="s">
        <v>26</v>
      </c>
      <c r="G452" s="11">
        <f>F452*5</f>
        <v>0</v>
      </c>
      <c r="L452"/>
    </row>
    <row r="453" spans="1:12" ht="15.75">
      <c r="A453" s="26" t="s">
        <v>492</v>
      </c>
      <c r="B453" s="3" t="s">
        <v>22</v>
      </c>
      <c r="C453" s="23" t="s">
        <v>24</v>
      </c>
      <c r="D453" s="15" t="s">
        <v>505</v>
      </c>
      <c r="E453" s="16" t="s">
        <v>2102</v>
      </c>
      <c r="F453" s="158" t="s">
        <v>26</v>
      </c>
      <c r="G453" s="11">
        <f>F453*45</f>
        <v>0</v>
      </c>
      <c r="L453"/>
    </row>
    <row r="454" spans="1:12" ht="15.75">
      <c r="A454" s="26" t="s">
        <v>492</v>
      </c>
      <c r="B454" s="3" t="s">
        <v>22</v>
      </c>
      <c r="C454" s="23" t="s">
        <v>27</v>
      </c>
      <c r="D454" s="15" t="s">
        <v>378</v>
      </c>
      <c r="E454" s="16" t="s">
        <v>2102</v>
      </c>
      <c r="F454" s="158" t="s">
        <v>26</v>
      </c>
      <c r="G454" s="11">
        <f>F454*34</f>
        <v>0</v>
      </c>
      <c r="L454"/>
    </row>
    <row r="455" spans="1:12" ht="15.75">
      <c r="A455" s="26" t="s">
        <v>492</v>
      </c>
      <c r="B455" s="3" t="s">
        <v>22</v>
      </c>
      <c r="C455" s="23" t="s">
        <v>29</v>
      </c>
      <c r="D455" s="15" t="s">
        <v>506</v>
      </c>
      <c r="E455" s="16" t="s">
        <v>2102</v>
      </c>
      <c r="F455" s="158" t="s">
        <v>26</v>
      </c>
      <c r="G455" s="11">
        <f>F455*21</f>
        <v>0</v>
      </c>
      <c r="L455"/>
    </row>
    <row r="456" spans="1:12" ht="15.75">
      <c r="A456" s="26" t="s">
        <v>492</v>
      </c>
      <c r="B456" s="3" t="s">
        <v>22</v>
      </c>
      <c r="C456" s="23" t="s">
        <v>31</v>
      </c>
      <c r="D456" s="15" t="s">
        <v>427</v>
      </c>
      <c r="E456" s="16" t="s">
        <v>2102</v>
      </c>
      <c r="F456" s="158" t="s">
        <v>26</v>
      </c>
      <c r="G456" s="11">
        <f>F456*5</f>
        <v>0</v>
      </c>
      <c r="L456"/>
    </row>
    <row r="457" spans="1:12" ht="15.75">
      <c r="A457" s="26" t="s">
        <v>492</v>
      </c>
      <c r="B457" s="3" t="s">
        <v>22</v>
      </c>
      <c r="C457" s="23" t="s">
        <v>24</v>
      </c>
      <c r="D457" s="15" t="s">
        <v>507</v>
      </c>
      <c r="E457" s="16" t="s">
        <v>2102</v>
      </c>
      <c r="F457" s="158" t="s">
        <v>26</v>
      </c>
      <c r="G457" s="11">
        <f>F457*45</f>
        <v>0</v>
      </c>
      <c r="L457"/>
    </row>
    <row r="458" spans="1:12" ht="15.75">
      <c r="A458" s="26" t="s">
        <v>492</v>
      </c>
      <c r="B458" s="3" t="s">
        <v>22</v>
      </c>
      <c r="C458" s="23" t="s">
        <v>27</v>
      </c>
      <c r="D458" s="15" t="s">
        <v>465</v>
      </c>
      <c r="E458" s="16" t="s">
        <v>2102</v>
      </c>
      <c r="F458" s="158" t="s">
        <v>26</v>
      </c>
      <c r="G458" s="11">
        <f>F458*34</f>
        <v>0</v>
      </c>
      <c r="L458"/>
    </row>
    <row r="459" spans="1:12" ht="15.75">
      <c r="A459" s="26" t="s">
        <v>492</v>
      </c>
      <c r="B459" s="3" t="s">
        <v>22</v>
      </c>
      <c r="C459" s="23" t="s">
        <v>29</v>
      </c>
      <c r="D459" s="15" t="s">
        <v>508</v>
      </c>
      <c r="E459" s="16" t="s">
        <v>2102</v>
      </c>
      <c r="F459" s="158" t="s">
        <v>26</v>
      </c>
      <c r="G459" s="11">
        <f>F459*21</f>
        <v>0</v>
      </c>
      <c r="L459"/>
    </row>
    <row r="460" spans="1:12" ht="15.75">
      <c r="A460" s="26" t="s">
        <v>492</v>
      </c>
      <c r="B460" s="3" t="s">
        <v>22</v>
      </c>
      <c r="C460" s="23" t="s">
        <v>31</v>
      </c>
      <c r="D460" s="15" t="s">
        <v>509</v>
      </c>
      <c r="E460" s="16" t="s">
        <v>2102</v>
      </c>
      <c r="F460" s="158" t="s">
        <v>26</v>
      </c>
      <c r="G460" s="11">
        <f>F460*5</f>
        <v>0</v>
      </c>
      <c r="L460"/>
    </row>
    <row r="461" spans="1:12" ht="15.75">
      <c r="A461" s="26" t="s">
        <v>492</v>
      </c>
      <c r="B461" s="3" t="s">
        <v>22</v>
      </c>
      <c r="C461" s="23" t="s">
        <v>24</v>
      </c>
      <c r="D461" s="15" t="s">
        <v>429</v>
      </c>
      <c r="E461" s="16" t="s">
        <v>2102</v>
      </c>
      <c r="F461" s="158" t="s">
        <v>26</v>
      </c>
      <c r="G461" s="11">
        <f>F461*45</f>
        <v>0</v>
      </c>
      <c r="L461"/>
    </row>
    <row r="462" spans="1:12" ht="15.75">
      <c r="A462" s="26" t="s">
        <v>492</v>
      </c>
      <c r="B462" s="3" t="s">
        <v>22</v>
      </c>
      <c r="C462" s="23" t="s">
        <v>27</v>
      </c>
      <c r="D462" s="15" t="s">
        <v>93</v>
      </c>
      <c r="E462" s="16" t="s">
        <v>2102</v>
      </c>
      <c r="F462" s="158" t="s">
        <v>26</v>
      </c>
      <c r="G462" s="11">
        <f>F462*34</f>
        <v>0</v>
      </c>
      <c r="L462"/>
    </row>
    <row r="463" spans="1:12" ht="15.75">
      <c r="A463" s="26" t="s">
        <v>492</v>
      </c>
      <c r="B463" s="3" t="s">
        <v>22</v>
      </c>
      <c r="C463" s="23" t="s">
        <v>29</v>
      </c>
      <c r="D463" s="15" t="s">
        <v>510</v>
      </c>
      <c r="E463" s="16" t="s">
        <v>2102</v>
      </c>
      <c r="F463" s="158" t="s">
        <v>26</v>
      </c>
      <c r="G463" s="11">
        <f>F463*21</f>
        <v>0</v>
      </c>
      <c r="L463"/>
    </row>
    <row r="464" spans="1:12" ht="15.75">
      <c r="A464" s="26" t="s">
        <v>492</v>
      </c>
      <c r="B464" s="3" t="s">
        <v>22</v>
      </c>
      <c r="C464" s="23" t="s">
        <v>31</v>
      </c>
      <c r="D464" s="15" t="s">
        <v>511</v>
      </c>
      <c r="E464" s="16" t="s">
        <v>2102</v>
      </c>
      <c r="F464" s="158" t="s">
        <v>26</v>
      </c>
      <c r="G464" s="11">
        <f>F464*5</f>
        <v>0</v>
      </c>
      <c r="L464"/>
    </row>
    <row r="465" spans="1:12" ht="15.75">
      <c r="A465" s="26" t="s">
        <v>492</v>
      </c>
      <c r="B465" s="3" t="s">
        <v>22</v>
      </c>
      <c r="C465" s="23" t="s">
        <v>24</v>
      </c>
      <c r="D465" s="15" t="s">
        <v>512</v>
      </c>
      <c r="E465" s="16" t="s">
        <v>2102</v>
      </c>
      <c r="F465" s="158" t="s">
        <v>26</v>
      </c>
      <c r="G465" s="11">
        <f>F465*45</f>
        <v>0</v>
      </c>
      <c r="L465"/>
    </row>
    <row r="466" spans="1:12" ht="15.75">
      <c r="A466" s="26" t="s">
        <v>492</v>
      </c>
      <c r="B466" s="3" t="s">
        <v>22</v>
      </c>
      <c r="C466" s="23" t="s">
        <v>27</v>
      </c>
      <c r="D466" s="15" t="s">
        <v>219</v>
      </c>
      <c r="E466" s="16" t="s">
        <v>2102</v>
      </c>
      <c r="F466" s="158" t="s">
        <v>26</v>
      </c>
      <c r="G466" s="11">
        <f>F466*34</f>
        <v>0</v>
      </c>
      <c r="L466"/>
    </row>
    <row r="467" spans="1:12" ht="15.75">
      <c r="A467" s="26" t="s">
        <v>492</v>
      </c>
      <c r="B467" s="3" t="s">
        <v>22</v>
      </c>
      <c r="C467" s="23" t="s">
        <v>29</v>
      </c>
      <c r="D467" s="15" t="s">
        <v>513</v>
      </c>
      <c r="E467" s="16" t="s">
        <v>2102</v>
      </c>
      <c r="F467" s="158" t="s">
        <v>26</v>
      </c>
      <c r="G467" s="11">
        <f>F467*21</f>
        <v>0</v>
      </c>
      <c r="L467"/>
    </row>
    <row r="468" spans="1:12" ht="15.75">
      <c r="A468" s="26" t="s">
        <v>492</v>
      </c>
      <c r="B468" s="3" t="s">
        <v>22</v>
      </c>
      <c r="C468" s="23" t="s">
        <v>31</v>
      </c>
      <c r="D468" s="15" t="s">
        <v>514</v>
      </c>
      <c r="E468" s="16" t="s">
        <v>2102</v>
      </c>
      <c r="F468" s="158" t="s">
        <v>26</v>
      </c>
      <c r="G468" s="11">
        <f>F468*5</f>
        <v>0</v>
      </c>
      <c r="L468"/>
    </row>
    <row r="469" spans="1:12" ht="15.75">
      <c r="A469" s="24" t="s">
        <v>515</v>
      </c>
      <c r="B469" s="3" t="s">
        <v>22</v>
      </c>
      <c r="C469" s="23" t="s">
        <v>24</v>
      </c>
      <c r="D469" s="15" t="s">
        <v>516</v>
      </c>
      <c r="E469" s="16" t="s">
        <v>2102</v>
      </c>
      <c r="F469" s="157">
        <v>569</v>
      </c>
      <c r="G469" s="11">
        <f>F469*45</f>
        <v>25605</v>
      </c>
      <c r="L469"/>
    </row>
    <row r="470" spans="1:12" ht="15.75">
      <c r="A470" s="24" t="s">
        <v>515</v>
      </c>
      <c r="B470" s="3" t="s">
        <v>22</v>
      </c>
      <c r="C470" s="23" t="s">
        <v>27</v>
      </c>
      <c r="D470" s="15" t="s">
        <v>144</v>
      </c>
      <c r="E470" s="16" t="s">
        <v>2102</v>
      </c>
      <c r="F470" s="157">
        <v>296</v>
      </c>
      <c r="G470" s="11">
        <f>F470*34</f>
        <v>10064</v>
      </c>
      <c r="L470"/>
    </row>
    <row r="471" spans="1:12" ht="15.75">
      <c r="A471" s="24" t="s">
        <v>515</v>
      </c>
      <c r="B471" s="3" t="s">
        <v>22</v>
      </c>
      <c r="C471" s="23" t="s">
        <v>29</v>
      </c>
      <c r="D471" s="15" t="s">
        <v>517</v>
      </c>
      <c r="E471" s="16" t="s">
        <v>2102</v>
      </c>
      <c r="F471" s="157">
        <v>657</v>
      </c>
      <c r="G471" s="11">
        <f>F471*21</f>
        <v>13797</v>
      </c>
      <c r="L471"/>
    </row>
    <row r="472" spans="1:12" ht="15.75">
      <c r="A472" s="24" t="s">
        <v>515</v>
      </c>
      <c r="B472" s="3" t="s">
        <v>22</v>
      </c>
      <c r="C472" s="23" t="s">
        <v>31</v>
      </c>
      <c r="D472" s="15" t="s">
        <v>518</v>
      </c>
      <c r="E472" s="16" t="s">
        <v>2102</v>
      </c>
      <c r="F472" s="157">
        <v>407</v>
      </c>
      <c r="G472" s="11">
        <f>F472*5</f>
        <v>2035</v>
      </c>
      <c r="L472"/>
    </row>
    <row r="473" spans="1:12" ht="15.75">
      <c r="A473" s="24" t="s">
        <v>515</v>
      </c>
      <c r="B473" s="3" t="s">
        <v>22</v>
      </c>
      <c r="C473" s="23" t="s">
        <v>24</v>
      </c>
      <c r="D473" s="15" t="s">
        <v>520</v>
      </c>
      <c r="E473" s="16" t="s">
        <v>2102</v>
      </c>
      <c r="F473" s="158" t="s">
        <v>26</v>
      </c>
      <c r="G473" s="11">
        <f>F473*45</f>
        <v>0</v>
      </c>
      <c r="L473"/>
    </row>
    <row r="474" spans="1:12" ht="15.75">
      <c r="A474" s="24" t="s">
        <v>515</v>
      </c>
      <c r="B474" s="3" t="s">
        <v>22</v>
      </c>
      <c r="C474" s="23" t="s">
        <v>27</v>
      </c>
      <c r="D474" s="15" t="s">
        <v>521</v>
      </c>
      <c r="E474" s="16" t="s">
        <v>2102</v>
      </c>
      <c r="F474" s="158" t="s">
        <v>26</v>
      </c>
      <c r="G474" s="11">
        <f>F474*34</f>
        <v>0</v>
      </c>
      <c r="L474"/>
    </row>
    <row r="475" spans="1:12" ht="15.75">
      <c r="A475" s="24" t="s">
        <v>515</v>
      </c>
      <c r="B475" s="3" t="s">
        <v>22</v>
      </c>
      <c r="C475" s="23" t="s">
        <v>29</v>
      </c>
      <c r="D475" s="15" t="s">
        <v>522</v>
      </c>
      <c r="E475" s="16" t="s">
        <v>2102</v>
      </c>
      <c r="F475" s="158" t="s">
        <v>26</v>
      </c>
      <c r="G475" s="11">
        <f>F475*21</f>
        <v>0</v>
      </c>
      <c r="L475"/>
    </row>
    <row r="476" spans="1:12" ht="15.75">
      <c r="A476" s="24" t="s">
        <v>515</v>
      </c>
      <c r="B476" s="3" t="s">
        <v>22</v>
      </c>
      <c r="C476" s="23" t="s">
        <v>31</v>
      </c>
      <c r="D476" s="15" t="s">
        <v>523</v>
      </c>
      <c r="E476" s="16" t="s">
        <v>2102</v>
      </c>
      <c r="F476" s="158" t="s">
        <v>26</v>
      </c>
      <c r="G476" s="11">
        <f>F476*5</f>
        <v>0</v>
      </c>
      <c r="L476"/>
    </row>
    <row r="477" spans="1:12" ht="15.75">
      <c r="A477" s="24" t="s">
        <v>515</v>
      </c>
      <c r="B477" s="3" t="s">
        <v>22</v>
      </c>
      <c r="C477" s="23" t="s">
        <v>27</v>
      </c>
      <c r="D477" s="15" t="s">
        <v>524</v>
      </c>
      <c r="E477" s="16" t="s">
        <v>2102</v>
      </c>
      <c r="F477" s="158" t="s">
        <v>26</v>
      </c>
      <c r="G477" s="11">
        <f>F477*34</f>
        <v>0</v>
      </c>
      <c r="L477"/>
    </row>
    <row r="478" spans="1:12" ht="15.75">
      <c r="A478" s="24" t="s">
        <v>515</v>
      </c>
      <c r="B478" s="3" t="s">
        <v>22</v>
      </c>
      <c r="C478" s="23" t="s">
        <v>29</v>
      </c>
      <c r="D478" s="16" t="s">
        <v>525</v>
      </c>
      <c r="E478" s="16" t="s">
        <v>2102</v>
      </c>
      <c r="F478" s="158" t="s">
        <v>26</v>
      </c>
      <c r="G478" s="11">
        <f>F478*21</f>
        <v>0</v>
      </c>
      <c r="L478"/>
    </row>
    <row r="479" spans="1:12" ht="15.75">
      <c r="A479" s="24" t="s">
        <v>515</v>
      </c>
      <c r="B479" s="3" t="s">
        <v>22</v>
      </c>
      <c r="C479" s="23" t="s">
        <v>31</v>
      </c>
      <c r="D479" s="16" t="s">
        <v>526</v>
      </c>
      <c r="E479" s="16" t="s">
        <v>2102</v>
      </c>
      <c r="F479" s="158" t="s">
        <v>26</v>
      </c>
      <c r="G479" s="11">
        <f>F479*5</f>
        <v>0</v>
      </c>
      <c r="L479"/>
    </row>
    <row r="480" spans="1:12" ht="15.75">
      <c r="A480" s="24" t="s">
        <v>515</v>
      </c>
      <c r="B480" s="3" t="s">
        <v>22</v>
      </c>
      <c r="C480" s="23" t="s">
        <v>24</v>
      </c>
      <c r="D480" s="16" t="s">
        <v>527</v>
      </c>
      <c r="E480" s="16" t="s">
        <v>2102</v>
      </c>
      <c r="F480" s="158" t="s">
        <v>26</v>
      </c>
      <c r="G480" s="11">
        <f>F480*45</f>
        <v>0</v>
      </c>
      <c r="L480"/>
    </row>
    <row r="481" spans="1:12" ht="15.75">
      <c r="A481" s="24" t="s">
        <v>515</v>
      </c>
      <c r="B481" s="3" t="s">
        <v>22</v>
      </c>
      <c r="C481" s="23" t="s">
        <v>27</v>
      </c>
      <c r="D481" s="16" t="s">
        <v>30</v>
      </c>
      <c r="E481" s="16" t="s">
        <v>2102</v>
      </c>
      <c r="F481" s="158" t="s">
        <v>26</v>
      </c>
      <c r="G481" s="11">
        <f>F481*34</f>
        <v>0</v>
      </c>
      <c r="L481"/>
    </row>
    <row r="482" spans="1:12" ht="15.75">
      <c r="A482" s="24" t="s">
        <v>515</v>
      </c>
      <c r="B482" s="3" t="s">
        <v>22</v>
      </c>
      <c r="C482" s="23" t="s">
        <v>29</v>
      </c>
      <c r="D482" s="16" t="s">
        <v>528</v>
      </c>
      <c r="E482" s="16" t="s">
        <v>2102</v>
      </c>
      <c r="F482" s="158" t="s">
        <v>26</v>
      </c>
      <c r="G482" s="11">
        <f>F482*21</f>
        <v>0</v>
      </c>
      <c r="L482"/>
    </row>
    <row r="483" spans="1:12" ht="15.75">
      <c r="A483" s="24" t="s">
        <v>515</v>
      </c>
      <c r="B483" s="3" t="s">
        <v>22</v>
      </c>
      <c r="C483" s="23" t="s">
        <v>31</v>
      </c>
      <c r="D483" s="16" t="s">
        <v>529</v>
      </c>
      <c r="E483" s="16" t="s">
        <v>2102</v>
      </c>
      <c r="F483" s="158" t="s">
        <v>26</v>
      </c>
      <c r="G483" s="11">
        <f>F483*5</f>
        <v>0</v>
      </c>
      <c r="L483"/>
    </row>
    <row r="484" spans="1:12" ht="15.75">
      <c r="A484" s="24" t="s">
        <v>515</v>
      </c>
      <c r="B484" s="3" t="s">
        <v>22</v>
      </c>
      <c r="C484" s="23" t="s">
        <v>24</v>
      </c>
      <c r="D484" s="16" t="s">
        <v>530</v>
      </c>
      <c r="E484" s="16" t="s">
        <v>2102</v>
      </c>
      <c r="F484" s="158" t="s">
        <v>26</v>
      </c>
      <c r="G484" s="11">
        <f>F484*45</f>
        <v>0</v>
      </c>
      <c r="L484"/>
    </row>
    <row r="485" spans="1:12" ht="15.75">
      <c r="A485" s="24" t="s">
        <v>515</v>
      </c>
      <c r="B485" s="3" t="s">
        <v>22</v>
      </c>
      <c r="C485" s="23" t="s">
        <v>27</v>
      </c>
      <c r="D485" s="16" t="s">
        <v>531</v>
      </c>
      <c r="E485" s="16" t="s">
        <v>2102</v>
      </c>
      <c r="F485" s="158" t="s">
        <v>26</v>
      </c>
      <c r="G485" s="11">
        <f>F485*34</f>
        <v>0</v>
      </c>
      <c r="L485"/>
    </row>
    <row r="486" spans="1:12" ht="15.75">
      <c r="A486" s="24" t="s">
        <v>515</v>
      </c>
      <c r="B486" s="3" t="s">
        <v>22</v>
      </c>
      <c r="C486" s="23" t="s">
        <v>29</v>
      </c>
      <c r="D486" s="16" t="s">
        <v>532</v>
      </c>
      <c r="E486" s="16" t="s">
        <v>2102</v>
      </c>
      <c r="F486" s="158" t="s">
        <v>26</v>
      </c>
      <c r="G486" s="11">
        <f>F486*21</f>
        <v>0</v>
      </c>
      <c r="L486"/>
    </row>
    <row r="487" spans="1:12" ht="15.75">
      <c r="A487" s="24" t="s">
        <v>515</v>
      </c>
      <c r="B487" s="3" t="s">
        <v>22</v>
      </c>
      <c r="C487" s="23" t="s">
        <v>31</v>
      </c>
      <c r="D487" s="16" t="s">
        <v>533</v>
      </c>
      <c r="E487" s="16" t="s">
        <v>2102</v>
      </c>
      <c r="F487" s="158" t="s">
        <v>26</v>
      </c>
      <c r="G487" s="11">
        <f>F487*5</f>
        <v>0</v>
      </c>
      <c r="L487"/>
    </row>
    <row r="488" spans="1:12" ht="15.75">
      <c r="A488" s="26" t="s">
        <v>534</v>
      </c>
      <c r="B488" s="3" t="s">
        <v>22</v>
      </c>
      <c r="C488" s="23" t="s">
        <v>24</v>
      </c>
      <c r="D488" s="16" t="s">
        <v>536</v>
      </c>
      <c r="E488" s="16" t="s">
        <v>2102</v>
      </c>
      <c r="F488" s="157">
        <v>674</v>
      </c>
      <c r="G488" s="11">
        <f>F488*45</f>
        <v>30330</v>
      </c>
      <c r="L488"/>
    </row>
    <row r="489" spans="1:12" ht="15.75">
      <c r="A489" s="26" t="s">
        <v>534</v>
      </c>
      <c r="B489" s="3" t="s">
        <v>22</v>
      </c>
      <c r="C489" s="23" t="s">
        <v>27</v>
      </c>
      <c r="D489" s="16" t="s">
        <v>93</v>
      </c>
      <c r="E489" s="16" t="s">
        <v>2102</v>
      </c>
      <c r="F489" s="157">
        <v>279</v>
      </c>
      <c r="G489" s="11">
        <f>F489*34</f>
        <v>9486</v>
      </c>
      <c r="L489"/>
    </row>
    <row r="490" spans="1:12" ht="15.75">
      <c r="A490" s="26" t="s">
        <v>534</v>
      </c>
      <c r="B490" s="3" t="s">
        <v>22</v>
      </c>
      <c r="C490" s="23" t="s">
        <v>29</v>
      </c>
      <c r="D490" s="16" t="s">
        <v>537</v>
      </c>
      <c r="E490" s="16" t="s">
        <v>2102</v>
      </c>
      <c r="F490" s="157">
        <v>563</v>
      </c>
      <c r="G490" s="11">
        <f>F490*21</f>
        <v>11823</v>
      </c>
      <c r="L490"/>
    </row>
    <row r="491" spans="1:12" ht="15.75">
      <c r="A491" s="26" t="s">
        <v>534</v>
      </c>
      <c r="B491" s="3" t="s">
        <v>22</v>
      </c>
      <c r="C491" s="23" t="s">
        <v>31</v>
      </c>
      <c r="D491" s="16" t="s">
        <v>538</v>
      </c>
      <c r="E491" s="16" t="s">
        <v>2102</v>
      </c>
      <c r="F491" s="157">
        <v>261</v>
      </c>
      <c r="G491" s="11">
        <f>F491*5</f>
        <v>1305</v>
      </c>
      <c r="L491"/>
    </row>
    <row r="492" spans="1:12" ht="15.75">
      <c r="A492" s="26" t="s">
        <v>534</v>
      </c>
      <c r="B492" s="3" t="s">
        <v>22</v>
      </c>
      <c r="C492" s="23" t="s">
        <v>27</v>
      </c>
      <c r="D492" s="16" t="s">
        <v>539</v>
      </c>
      <c r="E492" s="16" t="s">
        <v>2102</v>
      </c>
      <c r="F492" s="158" t="s">
        <v>26</v>
      </c>
      <c r="G492" s="11">
        <f>F492*34</f>
        <v>0</v>
      </c>
      <c r="L492"/>
    </row>
    <row r="493" spans="1:12" ht="15.75">
      <c r="A493" s="26" t="s">
        <v>534</v>
      </c>
      <c r="B493" s="3" t="s">
        <v>22</v>
      </c>
      <c r="C493" s="23" t="s">
        <v>29</v>
      </c>
      <c r="D493" s="16" t="s">
        <v>540</v>
      </c>
      <c r="E493" s="16" t="s">
        <v>2102</v>
      </c>
      <c r="F493" s="158" t="s">
        <v>26</v>
      </c>
      <c r="G493" s="11">
        <f>F493*21</f>
        <v>0</v>
      </c>
      <c r="L493"/>
    </row>
    <row r="494" spans="1:12" ht="15.75">
      <c r="A494" s="26" t="s">
        <v>534</v>
      </c>
      <c r="B494" s="3" t="s">
        <v>22</v>
      </c>
      <c r="C494" s="23" t="s">
        <v>31</v>
      </c>
      <c r="D494" s="16" t="s">
        <v>541</v>
      </c>
      <c r="E494" s="16" t="s">
        <v>2102</v>
      </c>
      <c r="F494" s="158" t="s">
        <v>26</v>
      </c>
      <c r="G494" s="11">
        <f>F494*5</f>
        <v>0</v>
      </c>
      <c r="L494"/>
    </row>
    <row r="495" spans="1:12" ht="15.75">
      <c r="A495" s="26" t="s">
        <v>534</v>
      </c>
      <c r="B495" s="3" t="s">
        <v>22</v>
      </c>
      <c r="C495" s="23" t="s">
        <v>24</v>
      </c>
      <c r="D495" s="16" t="s">
        <v>543</v>
      </c>
      <c r="E495" s="16" t="s">
        <v>2102</v>
      </c>
      <c r="F495" s="158" t="s">
        <v>26</v>
      </c>
      <c r="G495" s="11">
        <f>F495*45</f>
        <v>0</v>
      </c>
      <c r="L495"/>
    </row>
    <row r="496" spans="1:12" ht="15.75">
      <c r="A496" s="26" t="s">
        <v>534</v>
      </c>
      <c r="B496" s="3" t="s">
        <v>22</v>
      </c>
      <c r="C496" s="23" t="s">
        <v>27</v>
      </c>
      <c r="D496" s="16" t="s">
        <v>544</v>
      </c>
      <c r="E496" s="16" t="s">
        <v>2102</v>
      </c>
      <c r="F496" s="158" t="s">
        <v>26</v>
      </c>
      <c r="G496" s="11">
        <f>F496*34</f>
        <v>0</v>
      </c>
      <c r="L496"/>
    </row>
    <row r="497" spans="1:12" ht="15.75">
      <c r="A497" s="26" t="s">
        <v>534</v>
      </c>
      <c r="B497" s="3" t="s">
        <v>22</v>
      </c>
      <c r="C497" s="23" t="s">
        <v>29</v>
      </c>
      <c r="D497" s="16" t="s">
        <v>295</v>
      </c>
      <c r="E497" s="16" t="s">
        <v>2102</v>
      </c>
      <c r="F497" s="158" t="s">
        <v>26</v>
      </c>
      <c r="G497" s="11">
        <f>F497*21</f>
        <v>0</v>
      </c>
      <c r="L497"/>
    </row>
    <row r="498" spans="1:12" ht="15.75">
      <c r="A498" s="26" t="s">
        <v>534</v>
      </c>
      <c r="B498" s="3" t="s">
        <v>22</v>
      </c>
      <c r="C498" s="23" t="s">
        <v>31</v>
      </c>
      <c r="D498" s="16" t="s">
        <v>545</v>
      </c>
      <c r="E498" s="16" t="s">
        <v>2102</v>
      </c>
      <c r="F498" s="158" t="s">
        <v>26</v>
      </c>
      <c r="G498" s="11">
        <f>F498*5</f>
        <v>0</v>
      </c>
      <c r="L498"/>
    </row>
    <row r="499" spans="1:12" ht="15.75">
      <c r="A499" s="26" t="s">
        <v>534</v>
      </c>
      <c r="B499" s="3" t="s">
        <v>22</v>
      </c>
      <c r="C499" s="23" t="s">
        <v>24</v>
      </c>
      <c r="D499" s="16" t="s">
        <v>546</v>
      </c>
      <c r="E499" s="16" t="s">
        <v>2102</v>
      </c>
      <c r="F499" s="158" t="s">
        <v>26</v>
      </c>
      <c r="G499" s="11">
        <f>F499*45</f>
        <v>0</v>
      </c>
      <c r="L499"/>
    </row>
    <row r="500" spans="1:12" ht="15.75">
      <c r="A500" s="26" t="s">
        <v>534</v>
      </c>
      <c r="B500" s="3" t="s">
        <v>22</v>
      </c>
      <c r="C500" s="23" t="s">
        <v>27</v>
      </c>
      <c r="D500" s="16" t="s">
        <v>547</v>
      </c>
      <c r="E500" s="16" t="s">
        <v>2102</v>
      </c>
      <c r="F500" s="158" t="s">
        <v>26</v>
      </c>
      <c r="G500" s="11">
        <f>F500*34</f>
        <v>0</v>
      </c>
      <c r="L500"/>
    </row>
    <row r="501" spans="1:12" ht="15.75">
      <c r="A501" s="26" t="s">
        <v>534</v>
      </c>
      <c r="B501" s="3" t="s">
        <v>22</v>
      </c>
      <c r="C501" s="23" t="s">
        <v>29</v>
      </c>
      <c r="D501" s="16" t="s">
        <v>181</v>
      </c>
      <c r="E501" s="16" t="s">
        <v>2102</v>
      </c>
      <c r="F501" s="158" t="s">
        <v>26</v>
      </c>
      <c r="G501" s="11">
        <f>F501*21</f>
        <v>0</v>
      </c>
      <c r="L501"/>
    </row>
    <row r="502" spans="1:12" ht="15.75">
      <c r="A502" s="26" t="s">
        <v>534</v>
      </c>
      <c r="B502" s="3" t="s">
        <v>22</v>
      </c>
      <c r="C502" s="23" t="s">
        <v>31</v>
      </c>
      <c r="D502" s="16" t="s">
        <v>548</v>
      </c>
      <c r="E502" s="16" t="s">
        <v>2102</v>
      </c>
      <c r="F502" s="158" t="s">
        <v>26</v>
      </c>
      <c r="G502" s="11">
        <f>F502*5</f>
        <v>0</v>
      </c>
      <c r="L502"/>
    </row>
    <row r="503" spans="1:12" ht="15.75">
      <c r="A503" s="26" t="s">
        <v>534</v>
      </c>
      <c r="B503" s="3" t="s">
        <v>22</v>
      </c>
      <c r="C503" s="23" t="s">
        <v>24</v>
      </c>
      <c r="D503" s="16" t="s">
        <v>550</v>
      </c>
      <c r="E503" s="16" t="s">
        <v>2102</v>
      </c>
      <c r="F503" s="158" t="s">
        <v>26</v>
      </c>
      <c r="G503" s="11">
        <f>F503*45</f>
        <v>0</v>
      </c>
      <c r="L503"/>
    </row>
    <row r="504" spans="1:12" ht="15.75">
      <c r="A504" s="26" t="s">
        <v>534</v>
      </c>
      <c r="B504" s="3" t="s">
        <v>22</v>
      </c>
      <c r="C504" s="23" t="s">
        <v>27</v>
      </c>
      <c r="D504" s="16" t="s">
        <v>551</v>
      </c>
      <c r="E504" s="16" t="s">
        <v>2102</v>
      </c>
      <c r="F504" s="158" t="s">
        <v>26</v>
      </c>
      <c r="G504" s="11">
        <f>F504*34</f>
        <v>0</v>
      </c>
      <c r="L504"/>
    </row>
    <row r="505" spans="1:12" ht="15.75">
      <c r="A505" s="26" t="s">
        <v>534</v>
      </c>
      <c r="B505" s="3" t="s">
        <v>22</v>
      </c>
      <c r="C505" s="23" t="s">
        <v>29</v>
      </c>
      <c r="D505" s="16" t="s">
        <v>552</v>
      </c>
      <c r="E505" s="16" t="s">
        <v>2102</v>
      </c>
      <c r="F505" s="158" t="s">
        <v>26</v>
      </c>
      <c r="G505" s="11">
        <f>F505*21</f>
        <v>0</v>
      </c>
      <c r="L505"/>
    </row>
    <row r="506" spans="1:12" ht="15.75">
      <c r="A506" s="26" t="s">
        <v>534</v>
      </c>
      <c r="B506" s="3" t="s">
        <v>22</v>
      </c>
      <c r="C506" s="23" t="s">
        <v>31</v>
      </c>
      <c r="D506" s="16" t="s">
        <v>553</v>
      </c>
      <c r="E506" s="16" t="s">
        <v>2102</v>
      </c>
      <c r="F506" s="158" t="s">
        <v>26</v>
      </c>
      <c r="G506" s="11">
        <f>F506*5</f>
        <v>0</v>
      </c>
      <c r="L506"/>
    </row>
    <row r="507" spans="1:12" ht="15.75">
      <c r="A507" s="26" t="s">
        <v>534</v>
      </c>
      <c r="B507" s="3" t="s">
        <v>22</v>
      </c>
      <c r="C507" s="23" t="s">
        <v>24</v>
      </c>
      <c r="D507" s="16" t="s">
        <v>554</v>
      </c>
      <c r="E507" s="16" t="s">
        <v>2102</v>
      </c>
      <c r="F507" s="158" t="s">
        <v>26</v>
      </c>
      <c r="G507" s="11">
        <f>F507*45</f>
        <v>0</v>
      </c>
      <c r="L507"/>
    </row>
    <row r="508" spans="1:12" ht="15.75">
      <c r="A508" s="26" t="s">
        <v>534</v>
      </c>
      <c r="B508" s="3" t="s">
        <v>22</v>
      </c>
      <c r="C508" s="23" t="s">
        <v>27</v>
      </c>
      <c r="D508" s="16" t="s">
        <v>555</v>
      </c>
      <c r="E508" s="16" t="s">
        <v>2102</v>
      </c>
      <c r="F508" s="158" t="s">
        <v>26</v>
      </c>
      <c r="G508" s="11">
        <f>F508*34</f>
        <v>0</v>
      </c>
      <c r="L508"/>
    </row>
    <row r="509" spans="1:12" ht="15.75">
      <c r="A509" s="26" t="s">
        <v>534</v>
      </c>
      <c r="B509" s="3" t="s">
        <v>22</v>
      </c>
      <c r="C509" s="23" t="s">
        <v>29</v>
      </c>
      <c r="D509" s="16" t="s">
        <v>556</v>
      </c>
      <c r="E509" s="16" t="s">
        <v>2102</v>
      </c>
      <c r="F509" s="158" t="s">
        <v>26</v>
      </c>
      <c r="G509" s="11">
        <f>F509*21</f>
        <v>0</v>
      </c>
      <c r="L509"/>
    </row>
    <row r="510" spans="1:12" ht="15.75">
      <c r="A510" s="26" t="s">
        <v>534</v>
      </c>
      <c r="B510" s="3" t="s">
        <v>22</v>
      </c>
      <c r="C510" s="23" t="s">
        <v>31</v>
      </c>
      <c r="D510" s="16" t="s">
        <v>160</v>
      </c>
      <c r="E510" s="16" t="s">
        <v>2102</v>
      </c>
      <c r="F510" s="158" t="s">
        <v>26</v>
      </c>
      <c r="G510" s="11">
        <f>F510*5</f>
        <v>0</v>
      </c>
      <c r="L510"/>
    </row>
    <row r="511" spans="1:12" ht="15.75">
      <c r="A511" s="26" t="s">
        <v>557</v>
      </c>
      <c r="B511" s="3" t="s">
        <v>22</v>
      </c>
      <c r="C511" s="23" t="s">
        <v>24</v>
      </c>
      <c r="D511" s="19">
        <v>2451</v>
      </c>
      <c r="E511" s="16" t="s">
        <v>2102</v>
      </c>
      <c r="F511" s="158" t="s">
        <v>26</v>
      </c>
      <c r="G511" s="11">
        <f>F511*45</f>
        <v>0</v>
      </c>
      <c r="L511"/>
    </row>
    <row r="512" spans="1:12" ht="15.75">
      <c r="A512" s="26" t="s">
        <v>557</v>
      </c>
      <c r="B512" s="3" t="s">
        <v>22</v>
      </c>
      <c r="C512" s="23" t="s">
        <v>27</v>
      </c>
      <c r="D512" s="19">
        <v>1121</v>
      </c>
      <c r="E512" s="16" t="s">
        <v>2102</v>
      </c>
      <c r="F512" s="158" t="s">
        <v>26</v>
      </c>
      <c r="G512" s="11">
        <f>F512*34</f>
        <v>0</v>
      </c>
      <c r="L512"/>
    </row>
    <row r="513" spans="1:12" ht="15.75">
      <c r="A513" s="26" t="s">
        <v>557</v>
      </c>
      <c r="B513" s="3" t="s">
        <v>22</v>
      </c>
      <c r="C513" s="23" t="s">
        <v>29</v>
      </c>
      <c r="D513" s="19">
        <v>2517</v>
      </c>
      <c r="E513" s="16" t="s">
        <v>2102</v>
      </c>
      <c r="F513" s="158" t="s">
        <v>26</v>
      </c>
      <c r="G513" s="11">
        <f>F513*21</f>
        <v>0</v>
      </c>
      <c r="L513"/>
    </row>
    <row r="514" spans="1:12" ht="15.75">
      <c r="A514" s="26" t="s">
        <v>557</v>
      </c>
      <c r="B514" s="3" t="s">
        <v>22</v>
      </c>
      <c r="C514" s="23" t="s">
        <v>31</v>
      </c>
      <c r="D514" s="19">
        <v>799</v>
      </c>
      <c r="E514" s="16" t="s">
        <v>2102</v>
      </c>
      <c r="F514" s="158" t="s">
        <v>26</v>
      </c>
      <c r="G514" s="11">
        <f>F514*5</f>
        <v>0</v>
      </c>
      <c r="L514"/>
    </row>
    <row r="515" spans="1:12" ht="15.75">
      <c r="A515" s="26" t="s">
        <v>557</v>
      </c>
      <c r="B515" s="3" t="s">
        <v>22</v>
      </c>
      <c r="C515" s="23" t="s">
        <v>27</v>
      </c>
      <c r="D515" s="16" t="s">
        <v>558</v>
      </c>
      <c r="E515" s="16" t="s">
        <v>2102</v>
      </c>
      <c r="F515" s="158" t="s">
        <v>26</v>
      </c>
      <c r="G515" s="11">
        <f>F515*34</f>
        <v>0</v>
      </c>
      <c r="L515"/>
    </row>
    <row r="516" spans="1:12" ht="15.75">
      <c r="A516" s="26" t="s">
        <v>557</v>
      </c>
      <c r="B516" s="3" t="s">
        <v>22</v>
      </c>
      <c r="C516" s="23" t="s">
        <v>29</v>
      </c>
      <c r="D516" s="16" t="s">
        <v>559</v>
      </c>
      <c r="E516" s="16" t="s">
        <v>2102</v>
      </c>
      <c r="F516" s="158" t="s">
        <v>26</v>
      </c>
      <c r="G516" s="11">
        <f>F516*21</f>
        <v>0</v>
      </c>
      <c r="L516"/>
    </row>
    <row r="517" spans="1:12" ht="15.75">
      <c r="A517" s="26" t="s">
        <v>557</v>
      </c>
      <c r="B517" s="3" t="s">
        <v>22</v>
      </c>
      <c r="C517" s="23" t="s">
        <v>31</v>
      </c>
      <c r="D517" s="16" t="s">
        <v>560</v>
      </c>
      <c r="E517" s="16" t="s">
        <v>2102</v>
      </c>
      <c r="F517" s="158" t="s">
        <v>26</v>
      </c>
      <c r="G517" s="11">
        <f>F517*5</f>
        <v>0</v>
      </c>
      <c r="L517"/>
    </row>
    <row r="518" spans="1:12" ht="15.75">
      <c r="A518" s="26" t="s">
        <v>557</v>
      </c>
      <c r="B518" s="3" t="s">
        <v>22</v>
      </c>
      <c r="C518" s="23" t="s">
        <v>24</v>
      </c>
      <c r="D518" s="16" t="s">
        <v>561</v>
      </c>
      <c r="E518" s="16" t="s">
        <v>2102</v>
      </c>
      <c r="F518" s="158" t="s">
        <v>26</v>
      </c>
      <c r="G518" s="11">
        <f>F518*45</f>
        <v>0</v>
      </c>
      <c r="L518"/>
    </row>
    <row r="519" spans="1:12" ht="15.75">
      <c r="A519" s="26" t="s">
        <v>557</v>
      </c>
      <c r="B519" s="3" t="s">
        <v>22</v>
      </c>
      <c r="C519" s="23" t="s">
        <v>27</v>
      </c>
      <c r="D519" s="16" t="s">
        <v>562</v>
      </c>
      <c r="E519" s="16" t="s">
        <v>2102</v>
      </c>
      <c r="F519" s="158" t="s">
        <v>26</v>
      </c>
      <c r="G519" s="11">
        <f>F519*34</f>
        <v>0</v>
      </c>
      <c r="L519"/>
    </row>
    <row r="520" spans="1:12" ht="15.75">
      <c r="A520" s="26" t="s">
        <v>557</v>
      </c>
      <c r="B520" s="3" t="s">
        <v>22</v>
      </c>
      <c r="C520" s="23" t="s">
        <v>29</v>
      </c>
      <c r="D520" s="16" t="s">
        <v>563</v>
      </c>
      <c r="E520" s="16" t="s">
        <v>2102</v>
      </c>
      <c r="F520" s="158" t="s">
        <v>26</v>
      </c>
      <c r="G520" s="11">
        <f>F520*21</f>
        <v>0</v>
      </c>
      <c r="L520"/>
    </row>
    <row r="521" spans="1:12" ht="15.75">
      <c r="A521" s="26" t="s">
        <v>557</v>
      </c>
      <c r="B521" s="3" t="s">
        <v>22</v>
      </c>
      <c r="C521" s="23" t="s">
        <v>31</v>
      </c>
      <c r="D521" s="16" t="s">
        <v>564</v>
      </c>
      <c r="E521" s="16" t="s">
        <v>2102</v>
      </c>
      <c r="F521" s="158" t="s">
        <v>26</v>
      </c>
      <c r="G521" s="11">
        <f>F521*5</f>
        <v>0</v>
      </c>
      <c r="L521"/>
    </row>
    <row r="522" spans="1:12" ht="15.75">
      <c r="A522" s="26" t="s">
        <v>557</v>
      </c>
      <c r="B522" s="3" t="s">
        <v>22</v>
      </c>
      <c r="C522" s="23" t="s">
        <v>24</v>
      </c>
      <c r="D522" s="16" t="s">
        <v>565</v>
      </c>
      <c r="E522" s="16" t="s">
        <v>2102</v>
      </c>
      <c r="F522" s="157">
        <v>481</v>
      </c>
      <c r="G522" s="11">
        <f>F522*45</f>
        <v>21645</v>
      </c>
      <c r="L522"/>
    </row>
    <row r="523" spans="1:12" ht="15.75">
      <c r="A523" s="26" t="s">
        <v>557</v>
      </c>
      <c r="B523" s="3" t="s">
        <v>22</v>
      </c>
      <c r="C523" s="23" t="s">
        <v>27</v>
      </c>
      <c r="D523" s="16" t="s">
        <v>566</v>
      </c>
      <c r="E523" s="16" t="s">
        <v>2102</v>
      </c>
      <c r="F523" s="157">
        <v>170</v>
      </c>
      <c r="G523" s="11">
        <f>F523*34</f>
        <v>5780</v>
      </c>
      <c r="L523"/>
    </row>
    <row r="524" spans="1:12" ht="15.75">
      <c r="A524" s="26" t="s">
        <v>557</v>
      </c>
      <c r="B524" s="3" t="s">
        <v>22</v>
      </c>
      <c r="C524" s="23" t="s">
        <v>29</v>
      </c>
      <c r="D524" s="16" t="s">
        <v>567</v>
      </c>
      <c r="E524" s="16" t="s">
        <v>2102</v>
      </c>
      <c r="F524" s="157">
        <v>485</v>
      </c>
      <c r="G524" s="11">
        <f>F524*21</f>
        <v>10185</v>
      </c>
      <c r="L524"/>
    </row>
    <row r="525" spans="1:12" ht="15.75">
      <c r="A525" s="26" t="s">
        <v>557</v>
      </c>
      <c r="B525" s="3" t="s">
        <v>22</v>
      </c>
      <c r="C525" s="23" t="s">
        <v>31</v>
      </c>
      <c r="D525" s="16" t="s">
        <v>568</v>
      </c>
      <c r="E525" s="16" t="s">
        <v>2102</v>
      </c>
      <c r="F525" s="157">
        <v>211</v>
      </c>
      <c r="G525" s="11">
        <f>F525*5</f>
        <v>1055</v>
      </c>
      <c r="L525"/>
    </row>
    <row r="526" spans="1:12" ht="15.75">
      <c r="A526" s="26" t="s">
        <v>557</v>
      </c>
      <c r="B526" s="3" t="s">
        <v>22</v>
      </c>
      <c r="C526" s="23" t="s">
        <v>24</v>
      </c>
      <c r="D526" s="16" t="s">
        <v>569</v>
      </c>
      <c r="E526" s="16" t="s">
        <v>2102</v>
      </c>
      <c r="F526" s="158" t="s">
        <v>26</v>
      </c>
      <c r="G526" s="11">
        <f>F526*45</f>
        <v>0</v>
      </c>
      <c r="L526"/>
    </row>
    <row r="527" spans="1:12" ht="15.75">
      <c r="A527" s="26" t="s">
        <v>557</v>
      </c>
      <c r="B527" s="3" t="s">
        <v>22</v>
      </c>
      <c r="C527" s="23" t="s">
        <v>27</v>
      </c>
      <c r="D527" s="16" t="s">
        <v>570</v>
      </c>
      <c r="E527" s="16" t="s">
        <v>2102</v>
      </c>
      <c r="F527" s="158" t="s">
        <v>26</v>
      </c>
      <c r="G527" s="11">
        <f>F527*34</f>
        <v>0</v>
      </c>
      <c r="L527"/>
    </row>
    <row r="528" spans="1:12" ht="15.75">
      <c r="A528" s="26" t="s">
        <v>557</v>
      </c>
      <c r="B528" s="3" t="s">
        <v>22</v>
      </c>
      <c r="C528" s="23" t="s">
        <v>29</v>
      </c>
      <c r="D528" s="16" t="s">
        <v>571</v>
      </c>
      <c r="E528" s="16" t="s">
        <v>2102</v>
      </c>
      <c r="F528" s="158" t="s">
        <v>26</v>
      </c>
      <c r="G528" s="11">
        <f>F528*21</f>
        <v>0</v>
      </c>
      <c r="L528"/>
    </row>
    <row r="529" spans="1:12" ht="15.75">
      <c r="A529" s="26" t="s">
        <v>557</v>
      </c>
      <c r="B529" s="3" t="s">
        <v>22</v>
      </c>
      <c r="C529" s="23" t="s">
        <v>31</v>
      </c>
      <c r="D529" s="16" t="s">
        <v>265</v>
      </c>
      <c r="E529" s="16" t="s">
        <v>2102</v>
      </c>
      <c r="F529" s="158" t="s">
        <v>26</v>
      </c>
      <c r="G529" s="11">
        <f>F529*5</f>
        <v>0</v>
      </c>
      <c r="L529"/>
    </row>
    <row r="530" spans="1:12" ht="15.75">
      <c r="A530" s="26" t="s">
        <v>572</v>
      </c>
      <c r="B530" s="3" t="s">
        <v>22</v>
      </c>
      <c r="C530" s="23" t="s">
        <v>27</v>
      </c>
      <c r="D530" s="16" t="s">
        <v>573</v>
      </c>
      <c r="E530" s="16" t="s">
        <v>2102</v>
      </c>
      <c r="F530" s="158" t="s">
        <v>26</v>
      </c>
      <c r="G530" s="11">
        <f>F530*34</f>
        <v>0</v>
      </c>
      <c r="L530"/>
    </row>
    <row r="531" spans="1:12" ht="15.75">
      <c r="A531" s="26" t="s">
        <v>572</v>
      </c>
      <c r="B531" s="3" t="s">
        <v>22</v>
      </c>
      <c r="C531" s="23" t="s">
        <v>29</v>
      </c>
      <c r="D531" s="16" t="s">
        <v>574</v>
      </c>
      <c r="E531" s="16" t="s">
        <v>2102</v>
      </c>
      <c r="F531" s="158" t="s">
        <v>26</v>
      </c>
      <c r="G531" s="11">
        <f>F531*21</f>
        <v>0</v>
      </c>
      <c r="L531"/>
    </row>
    <row r="532" spans="1:12" ht="15.75">
      <c r="A532" s="26" t="s">
        <v>572</v>
      </c>
      <c r="B532" s="3" t="s">
        <v>22</v>
      </c>
      <c r="C532" s="23" t="s">
        <v>31</v>
      </c>
      <c r="D532" s="16" t="s">
        <v>575</v>
      </c>
      <c r="E532" s="16" t="s">
        <v>2102</v>
      </c>
      <c r="F532" s="158" t="s">
        <v>26</v>
      </c>
      <c r="G532" s="11">
        <f>F532*5</f>
        <v>0</v>
      </c>
      <c r="L532"/>
    </row>
    <row r="533" spans="1:12" ht="15.75">
      <c r="A533" s="26" t="s">
        <v>572</v>
      </c>
      <c r="B533" s="3" t="s">
        <v>22</v>
      </c>
      <c r="C533" s="23" t="s">
        <v>24</v>
      </c>
      <c r="D533" s="16" t="s">
        <v>576</v>
      </c>
      <c r="E533" s="16" t="s">
        <v>2102</v>
      </c>
      <c r="F533" s="157">
        <v>750</v>
      </c>
      <c r="G533" s="11">
        <f>F533*45</f>
        <v>33750</v>
      </c>
      <c r="L533"/>
    </row>
    <row r="534" spans="1:12" ht="15.75">
      <c r="A534" s="26" t="s">
        <v>572</v>
      </c>
      <c r="B534" s="3" t="s">
        <v>22</v>
      </c>
      <c r="C534" s="23" t="s">
        <v>27</v>
      </c>
      <c r="D534" s="16" t="s">
        <v>577</v>
      </c>
      <c r="E534" s="16" t="s">
        <v>2102</v>
      </c>
      <c r="F534" s="157">
        <v>309</v>
      </c>
      <c r="G534" s="11">
        <f>F534*34</f>
        <v>10506</v>
      </c>
      <c r="L534"/>
    </row>
    <row r="535" spans="1:12" ht="15.75">
      <c r="A535" s="26" t="s">
        <v>572</v>
      </c>
      <c r="B535" s="3" t="s">
        <v>22</v>
      </c>
      <c r="C535" s="23" t="s">
        <v>29</v>
      </c>
      <c r="D535" s="16" t="s">
        <v>578</v>
      </c>
      <c r="E535" s="16" t="s">
        <v>2102</v>
      </c>
      <c r="F535" s="157">
        <v>1135</v>
      </c>
      <c r="G535" s="11">
        <f>F535*21</f>
        <v>23835</v>
      </c>
      <c r="L535"/>
    </row>
    <row r="536" spans="1:12" ht="15.75">
      <c r="A536" s="26" t="s">
        <v>572</v>
      </c>
      <c r="B536" s="3" t="s">
        <v>22</v>
      </c>
      <c r="C536" s="23" t="s">
        <v>31</v>
      </c>
      <c r="D536" s="16" t="s">
        <v>579</v>
      </c>
      <c r="E536" s="16" t="s">
        <v>2102</v>
      </c>
      <c r="F536" s="157">
        <v>88</v>
      </c>
      <c r="G536" s="11">
        <f>F536*5</f>
        <v>440</v>
      </c>
      <c r="L536"/>
    </row>
    <row r="537" spans="1:12" ht="15.75">
      <c r="A537" s="26" t="s">
        <v>572</v>
      </c>
      <c r="B537" s="3" t="s">
        <v>22</v>
      </c>
      <c r="C537" s="23" t="s">
        <v>24</v>
      </c>
      <c r="D537" s="16" t="s">
        <v>581</v>
      </c>
      <c r="E537" s="16" t="s">
        <v>2102</v>
      </c>
      <c r="F537" s="158" t="s">
        <v>26</v>
      </c>
      <c r="G537" s="11">
        <f>F537*45</f>
        <v>0</v>
      </c>
      <c r="L537"/>
    </row>
    <row r="538" spans="1:12" ht="15.75">
      <c r="A538" s="26" t="s">
        <v>572</v>
      </c>
      <c r="B538" s="3" t="s">
        <v>22</v>
      </c>
      <c r="C538" s="23" t="s">
        <v>27</v>
      </c>
      <c r="D538" s="16" t="s">
        <v>582</v>
      </c>
      <c r="E538" s="16" t="s">
        <v>2102</v>
      </c>
      <c r="F538" s="158" t="s">
        <v>26</v>
      </c>
      <c r="G538" s="11">
        <f>F538*34</f>
        <v>0</v>
      </c>
      <c r="L538"/>
    </row>
    <row r="539" spans="1:12" ht="15.75">
      <c r="A539" s="26" t="s">
        <v>572</v>
      </c>
      <c r="B539" s="3" t="s">
        <v>22</v>
      </c>
      <c r="C539" s="23" t="s">
        <v>29</v>
      </c>
      <c r="D539" s="16" t="s">
        <v>583</v>
      </c>
      <c r="E539" s="16" t="s">
        <v>2102</v>
      </c>
      <c r="F539" s="158" t="s">
        <v>26</v>
      </c>
      <c r="G539" s="11">
        <f>F539*21</f>
        <v>0</v>
      </c>
      <c r="L539"/>
    </row>
    <row r="540" spans="1:12" ht="15.75">
      <c r="A540" s="26" t="s">
        <v>572</v>
      </c>
      <c r="B540" s="3" t="s">
        <v>22</v>
      </c>
      <c r="C540" s="23" t="s">
        <v>31</v>
      </c>
      <c r="D540" s="16" t="s">
        <v>584</v>
      </c>
      <c r="E540" s="16" t="s">
        <v>2102</v>
      </c>
      <c r="F540" s="158" t="s">
        <v>26</v>
      </c>
      <c r="G540" s="11">
        <f>F540*5</f>
        <v>0</v>
      </c>
      <c r="L540"/>
    </row>
    <row r="541" spans="1:12" ht="15.75">
      <c r="A541" s="26" t="s">
        <v>572</v>
      </c>
      <c r="B541" s="3" t="s">
        <v>22</v>
      </c>
      <c r="C541" s="23" t="s">
        <v>24</v>
      </c>
      <c r="D541" s="16" t="s">
        <v>585</v>
      </c>
      <c r="E541" s="16" t="s">
        <v>2102</v>
      </c>
      <c r="F541" s="158" t="s">
        <v>26</v>
      </c>
      <c r="G541" s="11">
        <f>F541*45</f>
        <v>0</v>
      </c>
      <c r="L541"/>
    </row>
    <row r="542" spans="1:12" ht="15.75">
      <c r="A542" s="26" t="s">
        <v>572</v>
      </c>
      <c r="B542" s="3" t="s">
        <v>22</v>
      </c>
      <c r="C542" s="23" t="s">
        <v>27</v>
      </c>
      <c r="D542" s="16" t="s">
        <v>586</v>
      </c>
      <c r="E542" s="16" t="s">
        <v>2102</v>
      </c>
      <c r="F542" s="158" t="s">
        <v>26</v>
      </c>
      <c r="G542" s="11">
        <f>F542*34</f>
        <v>0</v>
      </c>
      <c r="L542"/>
    </row>
    <row r="543" spans="1:12" ht="15.75">
      <c r="A543" s="26" t="s">
        <v>572</v>
      </c>
      <c r="B543" s="3" t="s">
        <v>22</v>
      </c>
      <c r="C543" s="23" t="s">
        <v>29</v>
      </c>
      <c r="D543" s="16" t="s">
        <v>587</v>
      </c>
      <c r="E543" s="16" t="s">
        <v>2102</v>
      </c>
      <c r="F543" s="158" t="s">
        <v>26</v>
      </c>
      <c r="G543" s="11">
        <f>F543*21</f>
        <v>0</v>
      </c>
      <c r="L543"/>
    </row>
    <row r="544" spans="1:12" ht="15.75">
      <c r="A544" s="26" t="s">
        <v>572</v>
      </c>
      <c r="B544" s="3" t="s">
        <v>22</v>
      </c>
      <c r="C544" s="23" t="s">
        <v>31</v>
      </c>
      <c r="D544" s="16" t="s">
        <v>588</v>
      </c>
      <c r="E544" s="16" t="s">
        <v>2102</v>
      </c>
      <c r="F544" s="158" t="s">
        <v>26</v>
      </c>
      <c r="G544" s="11">
        <f>F544*5</f>
        <v>0</v>
      </c>
      <c r="L544"/>
    </row>
    <row r="545" spans="1:12" ht="15.75">
      <c r="A545" s="26" t="s">
        <v>572</v>
      </c>
      <c r="B545" s="3" t="s">
        <v>22</v>
      </c>
      <c r="C545" s="23" t="s">
        <v>24</v>
      </c>
      <c r="D545" s="16" t="s">
        <v>589</v>
      </c>
      <c r="E545" s="16" t="s">
        <v>2102</v>
      </c>
      <c r="F545" s="158" t="s">
        <v>26</v>
      </c>
      <c r="G545" s="11">
        <f>F545*45</f>
        <v>0</v>
      </c>
      <c r="L545"/>
    </row>
    <row r="546" spans="1:12" ht="15.75">
      <c r="A546" s="26" t="s">
        <v>572</v>
      </c>
      <c r="B546" s="3" t="s">
        <v>22</v>
      </c>
      <c r="C546" s="23" t="s">
        <v>27</v>
      </c>
      <c r="D546" s="16" t="s">
        <v>590</v>
      </c>
      <c r="E546" s="16" t="s">
        <v>2102</v>
      </c>
      <c r="F546" s="158" t="s">
        <v>26</v>
      </c>
      <c r="G546" s="11">
        <f>F546*34</f>
        <v>0</v>
      </c>
      <c r="L546"/>
    </row>
    <row r="547" spans="1:12" ht="15.75">
      <c r="A547" s="26" t="s">
        <v>572</v>
      </c>
      <c r="B547" s="3" t="s">
        <v>22</v>
      </c>
      <c r="C547" s="23" t="s">
        <v>29</v>
      </c>
      <c r="D547" s="16" t="s">
        <v>591</v>
      </c>
      <c r="E547" s="16" t="s">
        <v>2102</v>
      </c>
      <c r="F547" s="158" t="s">
        <v>26</v>
      </c>
      <c r="G547" s="11">
        <f>F547*21</f>
        <v>0</v>
      </c>
      <c r="L547"/>
    </row>
    <row r="548" spans="1:12" ht="15.75">
      <c r="A548" s="26" t="s">
        <v>572</v>
      </c>
      <c r="B548" s="3" t="s">
        <v>22</v>
      </c>
      <c r="C548" s="23" t="s">
        <v>31</v>
      </c>
      <c r="D548" s="16" t="s">
        <v>592</v>
      </c>
      <c r="E548" s="16" t="s">
        <v>2102</v>
      </c>
      <c r="F548" s="158" t="s">
        <v>26</v>
      </c>
      <c r="G548" s="11">
        <f>F548*5</f>
        <v>0</v>
      </c>
      <c r="L548"/>
    </row>
    <row r="549" spans="1:12" ht="15.75">
      <c r="A549" s="26" t="s">
        <v>572</v>
      </c>
      <c r="B549" s="3" t="s">
        <v>22</v>
      </c>
      <c r="C549" s="23" t="s">
        <v>24</v>
      </c>
      <c r="D549" s="16" t="s">
        <v>593</v>
      </c>
      <c r="E549" s="16" t="s">
        <v>2102</v>
      </c>
      <c r="F549" s="158" t="s">
        <v>26</v>
      </c>
      <c r="G549" s="11">
        <f>F549*45</f>
        <v>0</v>
      </c>
      <c r="L549"/>
    </row>
    <row r="550" spans="1:12" ht="15.75">
      <c r="A550" s="26" t="s">
        <v>572</v>
      </c>
      <c r="B550" s="3" t="s">
        <v>22</v>
      </c>
      <c r="C550" s="23" t="s">
        <v>27</v>
      </c>
      <c r="D550" s="16" t="s">
        <v>594</v>
      </c>
      <c r="E550" s="16" t="s">
        <v>2102</v>
      </c>
      <c r="F550" s="158" t="s">
        <v>26</v>
      </c>
      <c r="G550" s="11">
        <f>F550*34</f>
        <v>0</v>
      </c>
      <c r="L550"/>
    </row>
    <row r="551" spans="1:12" ht="15.75">
      <c r="A551" s="26" t="s">
        <v>572</v>
      </c>
      <c r="B551" s="3" t="s">
        <v>22</v>
      </c>
      <c r="C551" s="23" t="s">
        <v>29</v>
      </c>
      <c r="D551" s="16" t="s">
        <v>595</v>
      </c>
      <c r="E551" s="16" t="s">
        <v>2102</v>
      </c>
      <c r="F551" s="158" t="s">
        <v>26</v>
      </c>
      <c r="G551" s="11">
        <f>F551*21</f>
        <v>0</v>
      </c>
      <c r="L551"/>
    </row>
    <row r="552" spans="1:12" ht="15.75">
      <c r="A552" s="26" t="s">
        <v>572</v>
      </c>
      <c r="B552" s="3" t="s">
        <v>22</v>
      </c>
      <c r="C552" s="23" t="s">
        <v>31</v>
      </c>
      <c r="D552" s="16" t="s">
        <v>596</v>
      </c>
      <c r="E552" s="16" t="s">
        <v>2102</v>
      </c>
      <c r="F552" s="158" t="s">
        <v>26</v>
      </c>
      <c r="G552" s="11">
        <f>F552*5</f>
        <v>0</v>
      </c>
      <c r="L552"/>
    </row>
    <row r="553" spans="1:12" ht="15.75">
      <c r="A553" s="26" t="s">
        <v>572</v>
      </c>
      <c r="B553" s="3" t="s">
        <v>22</v>
      </c>
      <c r="C553" s="23" t="s">
        <v>24</v>
      </c>
      <c r="D553" s="16" t="s">
        <v>597</v>
      </c>
      <c r="E553" s="16" t="s">
        <v>2102</v>
      </c>
      <c r="F553" s="158" t="s">
        <v>26</v>
      </c>
      <c r="G553" s="11">
        <f>F553*45</f>
        <v>0</v>
      </c>
      <c r="L553"/>
    </row>
    <row r="554" spans="1:12" ht="15.75">
      <c r="A554" s="26" t="s">
        <v>572</v>
      </c>
      <c r="B554" s="3" t="s">
        <v>22</v>
      </c>
      <c r="C554" s="23" t="s">
        <v>27</v>
      </c>
      <c r="D554" s="16" t="s">
        <v>598</v>
      </c>
      <c r="E554" s="16" t="s">
        <v>2102</v>
      </c>
      <c r="F554" s="158" t="s">
        <v>26</v>
      </c>
      <c r="G554" s="11">
        <f>F554*34</f>
        <v>0</v>
      </c>
      <c r="L554"/>
    </row>
    <row r="555" spans="1:12" ht="15.75">
      <c r="A555" s="26" t="s">
        <v>572</v>
      </c>
      <c r="B555" s="3" t="s">
        <v>22</v>
      </c>
      <c r="C555" s="23" t="s">
        <v>29</v>
      </c>
      <c r="D555" s="16" t="s">
        <v>599</v>
      </c>
      <c r="E555" s="16" t="s">
        <v>2102</v>
      </c>
      <c r="F555" s="158" t="s">
        <v>26</v>
      </c>
      <c r="G555" s="11">
        <f>F555*21</f>
        <v>0</v>
      </c>
      <c r="L555"/>
    </row>
    <row r="556" spans="1:12" ht="15.75">
      <c r="A556" s="26" t="s">
        <v>572</v>
      </c>
      <c r="B556" s="3" t="s">
        <v>22</v>
      </c>
      <c r="C556" s="23" t="s">
        <v>31</v>
      </c>
      <c r="D556" s="16" t="s">
        <v>600</v>
      </c>
      <c r="E556" s="16" t="s">
        <v>2102</v>
      </c>
      <c r="F556" s="158" t="s">
        <v>26</v>
      </c>
      <c r="G556" s="11">
        <f>F556*5</f>
        <v>0</v>
      </c>
      <c r="L556"/>
    </row>
    <row r="557" spans="1:12" ht="15.75">
      <c r="A557" s="26" t="s">
        <v>572</v>
      </c>
      <c r="B557" s="3" t="s">
        <v>22</v>
      </c>
      <c r="C557" s="23" t="s">
        <v>24</v>
      </c>
      <c r="D557" s="16" t="s">
        <v>601</v>
      </c>
      <c r="E557" s="16" t="s">
        <v>2102</v>
      </c>
      <c r="F557" s="158" t="s">
        <v>26</v>
      </c>
      <c r="G557" s="11">
        <f>F557*45</f>
        <v>0</v>
      </c>
      <c r="L557"/>
    </row>
    <row r="558" spans="1:12" ht="15.75">
      <c r="A558" s="26" t="s">
        <v>572</v>
      </c>
      <c r="B558" s="3" t="s">
        <v>22</v>
      </c>
      <c r="C558" s="23" t="s">
        <v>27</v>
      </c>
      <c r="D558" s="16" t="s">
        <v>602</v>
      </c>
      <c r="E558" s="16" t="s">
        <v>2102</v>
      </c>
      <c r="F558" s="158" t="s">
        <v>26</v>
      </c>
      <c r="G558" s="11">
        <f>F558*34</f>
        <v>0</v>
      </c>
      <c r="L558"/>
    </row>
    <row r="559" spans="1:12" ht="15.75">
      <c r="A559" s="26" t="s">
        <v>572</v>
      </c>
      <c r="B559" s="3" t="s">
        <v>22</v>
      </c>
      <c r="C559" s="23" t="s">
        <v>29</v>
      </c>
      <c r="D559" s="16" t="s">
        <v>603</v>
      </c>
      <c r="E559" s="16" t="s">
        <v>2102</v>
      </c>
      <c r="F559" s="158" t="s">
        <v>26</v>
      </c>
      <c r="G559" s="11">
        <f>F559*21</f>
        <v>0</v>
      </c>
      <c r="L559"/>
    </row>
    <row r="560" spans="1:12" ht="15.75">
      <c r="A560" s="26" t="s">
        <v>572</v>
      </c>
      <c r="B560" s="3" t="s">
        <v>22</v>
      </c>
      <c r="C560" s="23" t="s">
        <v>31</v>
      </c>
      <c r="D560" s="16" t="s">
        <v>604</v>
      </c>
      <c r="E560" s="16" t="s">
        <v>2102</v>
      </c>
      <c r="F560" s="158" t="s">
        <v>26</v>
      </c>
      <c r="G560" s="11">
        <f>F560*5</f>
        <v>0</v>
      </c>
      <c r="L560"/>
    </row>
    <row r="561" spans="1:12" ht="15.75">
      <c r="A561" s="26" t="s">
        <v>605</v>
      </c>
      <c r="B561" s="3" t="s">
        <v>22</v>
      </c>
      <c r="C561" s="23" t="s">
        <v>24</v>
      </c>
      <c r="D561" s="16" t="s">
        <v>607</v>
      </c>
      <c r="E561" s="16" t="s">
        <v>2102</v>
      </c>
      <c r="F561" s="157">
        <v>621</v>
      </c>
      <c r="G561" s="11">
        <f>F561*45</f>
        <v>27945</v>
      </c>
      <c r="L561"/>
    </row>
    <row r="562" spans="1:12" ht="15.75">
      <c r="A562" s="26" t="s">
        <v>605</v>
      </c>
      <c r="B562" s="3" t="s">
        <v>22</v>
      </c>
      <c r="C562" s="23" t="s">
        <v>27</v>
      </c>
      <c r="D562" s="16" t="s">
        <v>608</v>
      </c>
      <c r="E562" s="16" t="s">
        <v>2102</v>
      </c>
      <c r="F562" s="157">
        <v>249</v>
      </c>
      <c r="G562" s="11">
        <f>F562*34</f>
        <v>8466</v>
      </c>
      <c r="L562"/>
    </row>
    <row r="563" spans="1:12" ht="15.75">
      <c r="A563" s="26" t="s">
        <v>605</v>
      </c>
      <c r="B563" s="3" t="s">
        <v>22</v>
      </c>
      <c r="C563" s="23" t="s">
        <v>29</v>
      </c>
      <c r="D563" s="16" t="s">
        <v>609</v>
      </c>
      <c r="E563" s="16" t="s">
        <v>2102</v>
      </c>
      <c r="F563" s="157">
        <v>975</v>
      </c>
      <c r="G563" s="11">
        <f>F563*21</f>
        <v>20475</v>
      </c>
      <c r="L563"/>
    </row>
    <row r="564" spans="1:12" ht="15.75">
      <c r="A564" s="26" t="s">
        <v>605</v>
      </c>
      <c r="B564" s="3" t="s">
        <v>22</v>
      </c>
      <c r="C564" s="23" t="s">
        <v>31</v>
      </c>
      <c r="D564" s="16" t="s">
        <v>610</v>
      </c>
      <c r="E564" s="16" t="s">
        <v>2102</v>
      </c>
      <c r="F564" s="157">
        <v>210</v>
      </c>
      <c r="G564" s="11">
        <f>F564*5</f>
        <v>1050</v>
      </c>
      <c r="L564"/>
    </row>
    <row r="565" spans="1:12" ht="15.75">
      <c r="A565" s="26" t="s">
        <v>605</v>
      </c>
      <c r="B565" s="3" t="s">
        <v>22</v>
      </c>
      <c r="C565" s="23" t="s">
        <v>24</v>
      </c>
      <c r="D565" s="16" t="s">
        <v>611</v>
      </c>
      <c r="E565" s="16" t="s">
        <v>2102</v>
      </c>
      <c r="F565" s="158" t="s">
        <v>26</v>
      </c>
      <c r="G565" s="11">
        <f>F565*45</f>
        <v>0</v>
      </c>
      <c r="L565"/>
    </row>
    <row r="566" spans="1:12" ht="15.75">
      <c r="A566" s="26" t="s">
        <v>605</v>
      </c>
      <c r="B566" s="3" t="s">
        <v>22</v>
      </c>
      <c r="C566" s="23" t="s">
        <v>27</v>
      </c>
      <c r="D566" s="16" t="s">
        <v>612</v>
      </c>
      <c r="E566" s="16" t="s">
        <v>2102</v>
      </c>
      <c r="F566" s="158" t="s">
        <v>26</v>
      </c>
      <c r="G566" s="11">
        <f>F566*34</f>
        <v>0</v>
      </c>
      <c r="L566"/>
    </row>
    <row r="567" spans="1:12" ht="15.75">
      <c r="A567" s="26" t="s">
        <v>605</v>
      </c>
      <c r="B567" s="3" t="s">
        <v>22</v>
      </c>
      <c r="C567" s="23" t="s">
        <v>29</v>
      </c>
      <c r="D567" s="16" t="s">
        <v>613</v>
      </c>
      <c r="E567" s="16" t="s">
        <v>2102</v>
      </c>
      <c r="F567" s="158" t="s">
        <v>26</v>
      </c>
      <c r="G567" s="11">
        <f>F567*21</f>
        <v>0</v>
      </c>
      <c r="L567"/>
    </row>
    <row r="568" spans="1:12" ht="15.75">
      <c r="A568" s="26" t="s">
        <v>605</v>
      </c>
      <c r="B568" s="3" t="s">
        <v>22</v>
      </c>
      <c r="C568" s="23" t="s">
        <v>31</v>
      </c>
      <c r="D568" s="16" t="s">
        <v>44</v>
      </c>
      <c r="E568" s="16" t="s">
        <v>2102</v>
      </c>
      <c r="F568" s="158" t="s">
        <v>26</v>
      </c>
      <c r="G568" s="11">
        <f>F568*5</f>
        <v>0</v>
      </c>
      <c r="L568"/>
    </row>
    <row r="569" spans="1:12" ht="15.75">
      <c r="A569" s="26" t="s">
        <v>605</v>
      </c>
      <c r="B569" s="3" t="s">
        <v>22</v>
      </c>
      <c r="C569" s="23" t="s">
        <v>24</v>
      </c>
      <c r="D569" s="16" t="s">
        <v>615</v>
      </c>
      <c r="E569" s="16" t="s">
        <v>2102</v>
      </c>
      <c r="F569" s="158" t="s">
        <v>26</v>
      </c>
      <c r="G569" s="11">
        <f>F569*45</f>
        <v>0</v>
      </c>
      <c r="L569"/>
    </row>
    <row r="570" spans="1:12" ht="15.75">
      <c r="A570" s="26" t="s">
        <v>605</v>
      </c>
      <c r="B570" s="3" t="s">
        <v>22</v>
      </c>
      <c r="C570" s="23" t="s">
        <v>27</v>
      </c>
      <c r="D570" s="16" t="s">
        <v>616</v>
      </c>
      <c r="E570" s="16" t="s">
        <v>2102</v>
      </c>
      <c r="F570" s="158" t="s">
        <v>26</v>
      </c>
      <c r="G570" s="11">
        <f>F570*34</f>
        <v>0</v>
      </c>
      <c r="L570"/>
    </row>
    <row r="571" spans="1:12" ht="15.75">
      <c r="A571" s="26" t="s">
        <v>605</v>
      </c>
      <c r="B571" s="3" t="s">
        <v>22</v>
      </c>
      <c r="C571" s="23" t="s">
        <v>29</v>
      </c>
      <c r="D571" s="16" t="s">
        <v>617</v>
      </c>
      <c r="E571" s="16" t="s">
        <v>2102</v>
      </c>
      <c r="F571" s="158" t="s">
        <v>26</v>
      </c>
      <c r="G571" s="11">
        <f>F571*21</f>
        <v>0</v>
      </c>
      <c r="L571"/>
    </row>
    <row r="572" spans="1:12" ht="15.75">
      <c r="A572" s="26" t="s">
        <v>605</v>
      </c>
      <c r="B572" s="3" t="s">
        <v>22</v>
      </c>
      <c r="C572" s="23" t="s">
        <v>31</v>
      </c>
      <c r="D572" s="16" t="s">
        <v>618</v>
      </c>
      <c r="E572" s="16" t="s">
        <v>2102</v>
      </c>
      <c r="F572" s="158" t="s">
        <v>26</v>
      </c>
      <c r="G572" s="11">
        <f>F572*5</f>
        <v>0</v>
      </c>
      <c r="L572"/>
    </row>
    <row r="573" spans="1:12" ht="15.75">
      <c r="A573" s="26" t="s">
        <v>605</v>
      </c>
      <c r="B573" s="3" t="s">
        <v>22</v>
      </c>
      <c r="C573" s="23" t="s">
        <v>24</v>
      </c>
      <c r="D573" s="16" t="s">
        <v>619</v>
      </c>
      <c r="E573" s="16" t="s">
        <v>2102</v>
      </c>
      <c r="F573" s="158" t="s">
        <v>26</v>
      </c>
      <c r="G573" s="11">
        <f>F573*45</f>
        <v>0</v>
      </c>
      <c r="L573"/>
    </row>
    <row r="574" spans="1:12" ht="15.75">
      <c r="A574" s="26" t="s">
        <v>605</v>
      </c>
      <c r="B574" s="3" t="s">
        <v>22</v>
      </c>
      <c r="C574" s="23" t="s">
        <v>27</v>
      </c>
      <c r="D574" s="16" t="s">
        <v>620</v>
      </c>
      <c r="E574" s="16" t="s">
        <v>2102</v>
      </c>
      <c r="F574" s="158" t="s">
        <v>26</v>
      </c>
      <c r="G574" s="11">
        <f>F574*34</f>
        <v>0</v>
      </c>
      <c r="L574"/>
    </row>
    <row r="575" spans="1:12" ht="15.75">
      <c r="A575" s="26" t="s">
        <v>605</v>
      </c>
      <c r="B575" s="3" t="s">
        <v>22</v>
      </c>
      <c r="C575" s="23" t="s">
        <v>29</v>
      </c>
      <c r="D575" s="16" t="s">
        <v>621</v>
      </c>
      <c r="E575" s="16" t="s">
        <v>2102</v>
      </c>
      <c r="F575" s="158" t="s">
        <v>26</v>
      </c>
      <c r="G575" s="11">
        <f>F575*21</f>
        <v>0</v>
      </c>
      <c r="L575"/>
    </row>
    <row r="576" spans="1:12" ht="15.75">
      <c r="A576" s="26" t="s">
        <v>605</v>
      </c>
      <c r="B576" s="3" t="s">
        <v>22</v>
      </c>
      <c r="C576" s="23" t="s">
        <v>31</v>
      </c>
      <c r="D576" s="16" t="s">
        <v>622</v>
      </c>
      <c r="E576" s="16" t="s">
        <v>2102</v>
      </c>
      <c r="F576" s="158" t="s">
        <v>26</v>
      </c>
      <c r="G576" s="11">
        <f>F576*5</f>
        <v>0</v>
      </c>
      <c r="L576"/>
    </row>
    <row r="577" spans="1:12" ht="15.75">
      <c r="A577" s="26" t="s">
        <v>605</v>
      </c>
      <c r="B577" s="3" t="s">
        <v>22</v>
      </c>
      <c r="C577" s="23" t="s">
        <v>24</v>
      </c>
      <c r="D577" s="16" t="s">
        <v>624</v>
      </c>
      <c r="E577" s="16" t="s">
        <v>2102</v>
      </c>
      <c r="F577" s="158" t="s">
        <v>26</v>
      </c>
      <c r="G577" s="11">
        <f>F577*45</f>
        <v>0</v>
      </c>
      <c r="L577"/>
    </row>
    <row r="578" spans="1:12" ht="15.75">
      <c r="A578" s="26" t="s">
        <v>605</v>
      </c>
      <c r="B578" s="3" t="s">
        <v>22</v>
      </c>
      <c r="C578" s="23" t="s">
        <v>27</v>
      </c>
      <c r="D578" s="16" t="s">
        <v>413</v>
      </c>
      <c r="E578" s="16" t="s">
        <v>2102</v>
      </c>
      <c r="F578" s="158" t="s">
        <v>26</v>
      </c>
      <c r="G578" s="11">
        <f>F578*34</f>
        <v>0</v>
      </c>
      <c r="L578"/>
    </row>
    <row r="579" spans="1:12" ht="15.75">
      <c r="A579" s="26" t="s">
        <v>605</v>
      </c>
      <c r="B579" s="3" t="s">
        <v>22</v>
      </c>
      <c r="C579" s="23" t="s">
        <v>29</v>
      </c>
      <c r="D579" s="16" t="s">
        <v>625</v>
      </c>
      <c r="E579" s="16" t="s">
        <v>2102</v>
      </c>
      <c r="F579" s="158" t="s">
        <v>26</v>
      </c>
      <c r="G579" s="11">
        <f>F579*21</f>
        <v>0</v>
      </c>
      <c r="L579"/>
    </row>
    <row r="580" spans="1:12" ht="15.75">
      <c r="A580" s="26" t="s">
        <v>605</v>
      </c>
      <c r="B580" s="3" t="s">
        <v>22</v>
      </c>
      <c r="C580" s="23" t="s">
        <v>31</v>
      </c>
      <c r="D580" s="16" t="s">
        <v>626</v>
      </c>
      <c r="E580" s="16" t="s">
        <v>2102</v>
      </c>
      <c r="F580" s="158" t="s">
        <v>26</v>
      </c>
      <c r="G580" s="11">
        <f>F580*5</f>
        <v>0</v>
      </c>
      <c r="L580"/>
    </row>
    <row r="581" spans="1:12" ht="15.75">
      <c r="A581" s="26" t="s">
        <v>605</v>
      </c>
      <c r="B581" s="3" t="s">
        <v>22</v>
      </c>
      <c r="C581" s="23" t="s">
        <v>24</v>
      </c>
      <c r="D581" s="16" t="s">
        <v>627</v>
      </c>
      <c r="E581" s="16" t="s">
        <v>2102</v>
      </c>
      <c r="F581" s="158" t="s">
        <v>26</v>
      </c>
      <c r="G581" s="11">
        <f>F581*45</f>
        <v>0</v>
      </c>
      <c r="L581"/>
    </row>
    <row r="582" spans="1:12" ht="15.75">
      <c r="A582" s="26" t="s">
        <v>605</v>
      </c>
      <c r="B582" s="3" t="s">
        <v>22</v>
      </c>
      <c r="C582" s="23" t="s">
        <v>27</v>
      </c>
      <c r="D582" s="16" t="s">
        <v>628</v>
      </c>
      <c r="E582" s="16" t="s">
        <v>2102</v>
      </c>
      <c r="F582" s="158" t="s">
        <v>26</v>
      </c>
      <c r="G582" s="11">
        <f>F582*34</f>
        <v>0</v>
      </c>
      <c r="L582"/>
    </row>
    <row r="583" spans="1:12" ht="15.75">
      <c r="A583" s="26" t="s">
        <v>605</v>
      </c>
      <c r="B583" s="3" t="s">
        <v>22</v>
      </c>
      <c r="C583" s="23" t="s">
        <v>29</v>
      </c>
      <c r="D583" s="16" t="s">
        <v>629</v>
      </c>
      <c r="E583" s="16" t="s">
        <v>2102</v>
      </c>
      <c r="F583" s="158" t="s">
        <v>26</v>
      </c>
      <c r="G583" s="11">
        <f>F583*21</f>
        <v>0</v>
      </c>
      <c r="L583"/>
    </row>
    <row r="584" spans="1:12" ht="15.75">
      <c r="A584" s="26" t="s">
        <v>605</v>
      </c>
      <c r="B584" s="3" t="s">
        <v>22</v>
      </c>
      <c r="C584" s="23" t="s">
        <v>31</v>
      </c>
      <c r="D584" s="16" t="s">
        <v>630</v>
      </c>
      <c r="E584" s="16" t="s">
        <v>2102</v>
      </c>
      <c r="F584" s="158" t="s">
        <v>26</v>
      </c>
      <c r="G584" s="11">
        <f>F584*5</f>
        <v>0</v>
      </c>
      <c r="L584"/>
    </row>
    <row r="585" spans="1:12" ht="15.75">
      <c r="A585" s="26" t="s">
        <v>631</v>
      </c>
      <c r="B585" s="3" t="s">
        <v>22</v>
      </c>
      <c r="C585" s="23" t="s">
        <v>24</v>
      </c>
      <c r="D585" s="16" t="s">
        <v>632</v>
      </c>
      <c r="E585" s="16" t="s">
        <v>2102</v>
      </c>
      <c r="F585" s="157">
        <v>560</v>
      </c>
      <c r="G585" s="11">
        <f>F585*45</f>
        <v>25200</v>
      </c>
      <c r="L585"/>
    </row>
    <row r="586" spans="1:12" ht="15.75">
      <c r="A586" s="26" t="s">
        <v>631</v>
      </c>
      <c r="B586" s="3" t="s">
        <v>22</v>
      </c>
      <c r="C586" s="23" t="s">
        <v>27</v>
      </c>
      <c r="D586" s="16" t="s">
        <v>633</v>
      </c>
      <c r="E586" s="16" t="s">
        <v>2102</v>
      </c>
      <c r="F586" s="157">
        <v>210</v>
      </c>
      <c r="G586" s="11">
        <f>F586*34</f>
        <v>7140</v>
      </c>
      <c r="L586"/>
    </row>
    <row r="587" spans="1:12" ht="15.75">
      <c r="A587" s="26" t="s">
        <v>631</v>
      </c>
      <c r="B587" s="3" t="s">
        <v>22</v>
      </c>
      <c r="C587" s="23" t="s">
        <v>29</v>
      </c>
      <c r="D587" s="16" t="s">
        <v>634</v>
      </c>
      <c r="E587" s="16" t="s">
        <v>2102</v>
      </c>
      <c r="F587" s="157">
        <v>822</v>
      </c>
      <c r="G587" s="11">
        <f>F587*21</f>
        <v>17262</v>
      </c>
      <c r="L587"/>
    </row>
    <row r="588" spans="1:12" ht="15.75">
      <c r="A588" s="26" t="s">
        <v>631</v>
      </c>
      <c r="B588" s="3" t="s">
        <v>22</v>
      </c>
      <c r="C588" s="23" t="s">
        <v>31</v>
      </c>
      <c r="D588" s="16" t="s">
        <v>635</v>
      </c>
      <c r="E588" s="16" t="s">
        <v>2102</v>
      </c>
      <c r="F588" s="157">
        <v>71</v>
      </c>
      <c r="G588" s="11">
        <f>F588*5</f>
        <v>355</v>
      </c>
      <c r="L588"/>
    </row>
    <row r="589" spans="1:12" ht="15.75">
      <c r="A589" s="26" t="s">
        <v>631</v>
      </c>
      <c r="B589" s="3" t="s">
        <v>22</v>
      </c>
      <c r="C589" s="23" t="s">
        <v>24</v>
      </c>
      <c r="D589" s="16" t="s">
        <v>636</v>
      </c>
      <c r="E589" s="16" t="s">
        <v>2102</v>
      </c>
      <c r="F589" s="158" t="s">
        <v>26</v>
      </c>
      <c r="G589" s="11">
        <f>F589*45</f>
        <v>0</v>
      </c>
      <c r="L589"/>
    </row>
    <row r="590" spans="1:12" ht="15.75">
      <c r="A590" s="26" t="s">
        <v>631</v>
      </c>
      <c r="B590" s="3" t="s">
        <v>22</v>
      </c>
      <c r="C590" s="23" t="s">
        <v>27</v>
      </c>
      <c r="D590" s="16" t="s">
        <v>637</v>
      </c>
      <c r="E590" s="16" t="s">
        <v>2102</v>
      </c>
      <c r="F590" s="158" t="s">
        <v>26</v>
      </c>
      <c r="G590" s="11">
        <f>F590*34</f>
        <v>0</v>
      </c>
      <c r="L590"/>
    </row>
    <row r="591" spans="1:12" ht="15.75">
      <c r="A591" s="26" t="s">
        <v>631</v>
      </c>
      <c r="B591" s="3" t="s">
        <v>22</v>
      </c>
      <c r="C591" s="23" t="s">
        <v>29</v>
      </c>
      <c r="D591" s="16" t="s">
        <v>495</v>
      </c>
      <c r="E591" s="16" t="s">
        <v>2102</v>
      </c>
      <c r="F591" s="158" t="s">
        <v>26</v>
      </c>
      <c r="G591" s="11">
        <f>F591*21</f>
        <v>0</v>
      </c>
      <c r="L591"/>
    </row>
    <row r="592" spans="1:12" ht="15.75">
      <c r="A592" s="26" t="s">
        <v>631</v>
      </c>
      <c r="B592" s="3" t="s">
        <v>22</v>
      </c>
      <c r="C592" s="23" t="s">
        <v>31</v>
      </c>
      <c r="D592" s="16" t="s">
        <v>638</v>
      </c>
      <c r="E592" s="16" t="s">
        <v>2102</v>
      </c>
      <c r="F592" s="158" t="s">
        <v>26</v>
      </c>
      <c r="G592" s="11">
        <f>F592*5</f>
        <v>0</v>
      </c>
      <c r="L592"/>
    </row>
    <row r="593" spans="1:12" ht="15.75">
      <c r="A593" s="26" t="s">
        <v>631</v>
      </c>
      <c r="B593" s="3" t="s">
        <v>22</v>
      </c>
      <c r="C593" s="23" t="s">
        <v>24</v>
      </c>
      <c r="D593" s="8">
        <v>2511</v>
      </c>
      <c r="E593" s="16" t="s">
        <v>2102</v>
      </c>
      <c r="F593" s="158" t="s">
        <v>26</v>
      </c>
      <c r="G593" s="11">
        <f>F593*45</f>
        <v>0</v>
      </c>
      <c r="L593"/>
    </row>
    <row r="594" spans="1:12" ht="15.75">
      <c r="A594" s="26" t="s">
        <v>631</v>
      </c>
      <c r="B594" s="3" t="s">
        <v>22</v>
      </c>
      <c r="C594" s="23" t="s">
        <v>27</v>
      </c>
      <c r="D594" s="8">
        <v>479</v>
      </c>
      <c r="E594" s="16" t="s">
        <v>2102</v>
      </c>
      <c r="F594" s="158" t="s">
        <v>26</v>
      </c>
      <c r="G594" s="11">
        <f>F594*34</f>
        <v>0</v>
      </c>
      <c r="L594"/>
    </row>
    <row r="595" spans="1:12" ht="15.75">
      <c r="A595" s="26" t="s">
        <v>631</v>
      </c>
      <c r="B595" s="3" t="s">
        <v>22</v>
      </c>
      <c r="C595" s="23" t="s">
        <v>29</v>
      </c>
      <c r="D595" s="16" t="s">
        <v>639</v>
      </c>
      <c r="E595" s="16" t="s">
        <v>2102</v>
      </c>
      <c r="F595" s="158" t="s">
        <v>26</v>
      </c>
      <c r="G595" s="11">
        <f>F595*21</f>
        <v>0</v>
      </c>
      <c r="L595"/>
    </row>
    <row r="596" spans="1:12" ht="15.75">
      <c r="A596" s="26" t="s">
        <v>631</v>
      </c>
      <c r="B596" s="3" t="s">
        <v>22</v>
      </c>
      <c r="C596" s="23" t="s">
        <v>31</v>
      </c>
      <c r="D596" s="16" t="s">
        <v>640</v>
      </c>
      <c r="E596" s="16" t="s">
        <v>2102</v>
      </c>
      <c r="F596" s="158" t="s">
        <v>26</v>
      </c>
      <c r="G596" s="11">
        <f>F596*5</f>
        <v>0</v>
      </c>
      <c r="L596"/>
    </row>
    <row r="597" spans="1:12" ht="15.75">
      <c r="A597" s="26" t="s">
        <v>631</v>
      </c>
      <c r="B597" s="3" t="s">
        <v>22</v>
      </c>
      <c r="C597" s="23" t="s">
        <v>24</v>
      </c>
      <c r="D597" s="16" t="s">
        <v>641</v>
      </c>
      <c r="E597" s="16" t="s">
        <v>2102</v>
      </c>
      <c r="F597" s="158" t="s">
        <v>26</v>
      </c>
      <c r="G597" s="11">
        <f>F597*45</f>
        <v>0</v>
      </c>
      <c r="L597"/>
    </row>
    <row r="598" spans="1:12" ht="15.75">
      <c r="A598" s="26" t="s">
        <v>631</v>
      </c>
      <c r="B598" s="3" t="s">
        <v>22</v>
      </c>
      <c r="C598" s="23" t="s">
        <v>27</v>
      </c>
      <c r="D598" s="16" t="s">
        <v>642</v>
      </c>
      <c r="E598" s="16" t="s">
        <v>2102</v>
      </c>
      <c r="F598" s="158" t="s">
        <v>26</v>
      </c>
      <c r="G598" s="11">
        <f>F598*34</f>
        <v>0</v>
      </c>
      <c r="L598"/>
    </row>
    <row r="599" spans="1:12" ht="15.75">
      <c r="A599" s="26" t="s">
        <v>631</v>
      </c>
      <c r="B599" s="3" t="s">
        <v>22</v>
      </c>
      <c r="C599" s="23" t="s">
        <v>29</v>
      </c>
      <c r="D599" s="16" t="s">
        <v>643</v>
      </c>
      <c r="E599" s="16" t="s">
        <v>2102</v>
      </c>
      <c r="F599" s="158" t="s">
        <v>26</v>
      </c>
      <c r="G599" s="11">
        <f>F599*21</f>
        <v>0</v>
      </c>
      <c r="L599"/>
    </row>
    <row r="600" spans="1:12" ht="15.75">
      <c r="A600" s="26" t="s">
        <v>631</v>
      </c>
      <c r="B600" s="3" t="s">
        <v>22</v>
      </c>
      <c r="C600" s="23" t="s">
        <v>31</v>
      </c>
      <c r="D600" s="16" t="s">
        <v>644</v>
      </c>
      <c r="E600" s="16" t="s">
        <v>2102</v>
      </c>
      <c r="F600" s="158" t="s">
        <v>26</v>
      </c>
      <c r="G600" s="11">
        <f>F600*5</f>
        <v>0</v>
      </c>
      <c r="L600"/>
    </row>
    <row r="601" spans="1:12" ht="15.75">
      <c r="A601" s="26" t="s">
        <v>631</v>
      </c>
      <c r="B601" s="3" t="s">
        <v>22</v>
      </c>
      <c r="C601" s="23" t="s">
        <v>24</v>
      </c>
      <c r="D601" s="16" t="s">
        <v>84</v>
      </c>
      <c r="E601" s="16" t="s">
        <v>2102</v>
      </c>
      <c r="F601" s="158" t="s">
        <v>26</v>
      </c>
      <c r="G601" s="11">
        <f>F601*45</f>
        <v>0</v>
      </c>
      <c r="L601"/>
    </row>
    <row r="602" spans="1:12" ht="15.75">
      <c r="A602" s="26" t="s">
        <v>631</v>
      </c>
      <c r="B602" s="3" t="s">
        <v>22</v>
      </c>
      <c r="C602" s="23" t="s">
        <v>27</v>
      </c>
      <c r="D602" s="16" t="s">
        <v>645</v>
      </c>
      <c r="E602" s="16" t="s">
        <v>2102</v>
      </c>
      <c r="F602" s="158" t="s">
        <v>26</v>
      </c>
      <c r="G602" s="11">
        <f>F602*34</f>
        <v>0</v>
      </c>
      <c r="L602"/>
    </row>
    <row r="603" spans="1:12" ht="15.75">
      <c r="A603" s="26" t="s">
        <v>631</v>
      </c>
      <c r="B603" s="3" t="s">
        <v>22</v>
      </c>
      <c r="C603" s="23" t="s">
        <v>29</v>
      </c>
      <c r="D603" s="16" t="s">
        <v>646</v>
      </c>
      <c r="E603" s="16" t="s">
        <v>2102</v>
      </c>
      <c r="F603" s="158" t="s">
        <v>26</v>
      </c>
      <c r="G603" s="11">
        <f>F603*21</f>
        <v>0</v>
      </c>
      <c r="L603"/>
    </row>
    <row r="604" spans="1:12" ht="15.75">
      <c r="A604" s="26" t="s">
        <v>631</v>
      </c>
      <c r="B604" s="3" t="s">
        <v>22</v>
      </c>
      <c r="C604" s="23" t="s">
        <v>31</v>
      </c>
      <c r="D604" s="16" t="s">
        <v>647</v>
      </c>
      <c r="E604" s="16" t="s">
        <v>2102</v>
      </c>
      <c r="F604" s="158" t="s">
        <v>26</v>
      </c>
      <c r="G604" s="11">
        <f>F604*5</f>
        <v>0</v>
      </c>
      <c r="L604"/>
    </row>
    <row r="605" spans="1:12" ht="15.75">
      <c r="A605" s="26" t="s">
        <v>631</v>
      </c>
      <c r="B605" s="3" t="s">
        <v>22</v>
      </c>
      <c r="C605" s="23" t="s">
        <v>24</v>
      </c>
      <c r="D605" s="16" t="s">
        <v>648</v>
      </c>
      <c r="E605" s="16" t="s">
        <v>2102</v>
      </c>
      <c r="F605" s="158" t="s">
        <v>26</v>
      </c>
      <c r="G605" s="11">
        <f>F605*45</f>
        <v>0</v>
      </c>
      <c r="L605"/>
    </row>
    <row r="606" spans="1:12" ht="15.75">
      <c r="A606" s="26" t="s">
        <v>631</v>
      </c>
      <c r="B606" s="3" t="s">
        <v>22</v>
      </c>
      <c r="C606" s="23" t="s">
        <v>27</v>
      </c>
      <c r="D606" s="16" t="s">
        <v>62</v>
      </c>
      <c r="E606" s="16" t="s">
        <v>2102</v>
      </c>
      <c r="F606" s="158" t="s">
        <v>26</v>
      </c>
      <c r="G606" s="11">
        <f>F606*34</f>
        <v>0</v>
      </c>
      <c r="L606"/>
    </row>
    <row r="607" spans="1:12" ht="15.75">
      <c r="A607" s="26" t="s">
        <v>631</v>
      </c>
      <c r="B607" s="3" t="s">
        <v>22</v>
      </c>
      <c r="C607" s="23" t="s">
        <v>29</v>
      </c>
      <c r="D607" s="16" t="s">
        <v>649</v>
      </c>
      <c r="E607" s="16" t="s">
        <v>2102</v>
      </c>
      <c r="F607" s="158" t="s">
        <v>26</v>
      </c>
      <c r="G607" s="11">
        <f>F607*21</f>
        <v>0</v>
      </c>
      <c r="L607"/>
    </row>
    <row r="608" spans="1:12" ht="15.75">
      <c r="A608" s="26" t="s">
        <v>631</v>
      </c>
      <c r="B608" s="3" t="s">
        <v>22</v>
      </c>
      <c r="C608" s="23" t="s">
        <v>31</v>
      </c>
      <c r="D608" s="16" t="s">
        <v>650</v>
      </c>
      <c r="E608" s="16" t="s">
        <v>2102</v>
      </c>
      <c r="F608" s="158" t="s">
        <v>26</v>
      </c>
      <c r="G608" s="11">
        <f>F608*5</f>
        <v>0</v>
      </c>
      <c r="L608"/>
    </row>
    <row r="609" spans="1:12" ht="15.75">
      <c r="A609" s="26" t="s">
        <v>651</v>
      </c>
      <c r="B609" s="3" t="s">
        <v>22</v>
      </c>
      <c r="C609" s="23" t="s">
        <v>24</v>
      </c>
      <c r="D609" s="16" t="s">
        <v>652</v>
      </c>
      <c r="E609" s="16" t="s">
        <v>2102</v>
      </c>
      <c r="F609" s="158" t="s">
        <v>26</v>
      </c>
      <c r="G609" s="11">
        <f>F609*45</f>
        <v>0</v>
      </c>
      <c r="L609"/>
    </row>
    <row r="610" spans="1:12" ht="15.75">
      <c r="A610" s="26" t="s">
        <v>651</v>
      </c>
      <c r="B610" s="3" t="s">
        <v>22</v>
      </c>
      <c r="C610" s="23" t="s">
        <v>27</v>
      </c>
      <c r="D610" s="16" t="s">
        <v>653</v>
      </c>
      <c r="E610" s="16" t="s">
        <v>2102</v>
      </c>
      <c r="F610" s="158" t="s">
        <v>26</v>
      </c>
      <c r="G610" s="11">
        <f>F610*34</f>
        <v>0</v>
      </c>
      <c r="L610"/>
    </row>
    <row r="611" spans="1:12" ht="15.75">
      <c r="A611" s="26" t="s">
        <v>651</v>
      </c>
      <c r="B611" s="3" t="s">
        <v>22</v>
      </c>
      <c r="C611" s="23" t="s">
        <v>29</v>
      </c>
      <c r="D611" s="16" t="s">
        <v>586</v>
      </c>
      <c r="E611" s="16" t="s">
        <v>2102</v>
      </c>
      <c r="F611" s="158" t="s">
        <v>26</v>
      </c>
      <c r="G611" s="11">
        <f>F611*21</f>
        <v>0</v>
      </c>
      <c r="L611"/>
    </row>
    <row r="612" spans="1:12" ht="15.75">
      <c r="A612" s="26" t="s">
        <v>651</v>
      </c>
      <c r="B612" s="3" t="s">
        <v>22</v>
      </c>
      <c r="C612" s="23" t="s">
        <v>31</v>
      </c>
      <c r="D612" s="16" t="s">
        <v>654</v>
      </c>
      <c r="E612" s="16" t="s">
        <v>2102</v>
      </c>
      <c r="F612" s="158" t="s">
        <v>26</v>
      </c>
      <c r="G612" s="11">
        <f>F612*5</f>
        <v>0</v>
      </c>
      <c r="L612"/>
    </row>
    <row r="613" spans="1:12" ht="15.75">
      <c r="A613" s="26" t="s">
        <v>651</v>
      </c>
      <c r="B613" s="3" t="s">
        <v>22</v>
      </c>
      <c r="C613" s="23" t="s">
        <v>24</v>
      </c>
      <c r="D613" s="16" t="s">
        <v>655</v>
      </c>
      <c r="E613" s="16" t="s">
        <v>2102</v>
      </c>
      <c r="F613" s="157">
        <v>571</v>
      </c>
      <c r="G613" s="11">
        <f>F613*45</f>
        <v>25695</v>
      </c>
      <c r="L613"/>
    </row>
    <row r="614" spans="1:12" ht="15.75">
      <c r="A614" s="26" t="s">
        <v>651</v>
      </c>
      <c r="B614" s="3" t="s">
        <v>22</v>
      </c>
      <c r="C614" s="23" t="s">
        <v>27</v>
      </c>
      <c r="D614" s="16" t="s">
        <v>656</v>
      </c>
      <c r="E614" s="16" t="s">
        <v>2102</v>
      </c>
      <c r="F614" s="157">
        <v>198</v>
      </c>
      <c r="G614" s="11">
        <f>F614*34</f>
        <v>6732</v>
      </c>
      <c r="L614"/>
    </row>
    <row r="615" spans="1:12" ht="15.75">
      <c r="A615" s="26" t="s">
        <v>651</v>
      </c>
      <c r="B615" s="3" t="s">
        <v>22</v>
      </c>
      <c r="C615" s="23" t="s">
        <v>29</v>
      </c>
      <c r="D615" s="16" t="s">
        <v>657</v>
      </c>
      <c r="E615" s="16" t="s">
        <v>2102</v>
      </c>
      <c r="F615" s="157">
        <v>722</v>
      </c>
      <c r="G615" s="11">
        <f>F615*21</f>
        <v>15162</v>
      </c>
      <c r="L615"/>
    </row>
    <row r="616" spans="1:12" ht="15.75">
      <c r="A616" s="26" t="s">
        <v>651</v>
      </c>
      <c r="B616" s="3" t="s">
        <v>22</v>
      </c>
      <c r="C616" s="23" t="s">
        <v>31</v>
      </c>
      <c r="D616" s="16" t="s">
        <v>658</v>
      </c>
      <c r="E616" s="16" t="s">
        <v>2102</v>
      </c>
      <c r="F616" s="157">
        <v>341</v>
      </c>
      <c r="G616" s="11">
        <f>F616*5</f>
        <v>1705</v>
      </c>
      <c r="L616"/>
    </row>
    <row r="617" spans="1:12" ht="15.75">
      <c r="A617" s="26" t="s">
        <v>651</v>
      </c>
      <c r="B617" s="3" t="s">
        <v>22</v>
      </c>
      <c r="C617" s="23" t="s">
        <v>24</v>
      </c>
      <c r="D617" s="16" t="s">
        <v>659</v>
      </c>
      <c r="E617" s="16" t="s">
        <v>2102</v>
      </c>
      <c r="F617" s="158" t="s">
        <v>26</v>
      </c>
      <c r="G617" s="11">
        <f>F617*45</f>
        <v>0</v>
      </c>
      <c r="L617"/>
    </row>
    <row r="618" spans="1:12" ht="15.75">
      <c r="A618" s="26" t="s">
        <v>651</v>
      </c>
      <c r="B618" s="3" t="s">
        <v>22</v>
      </c>
      <c r="C618" s="23" t="s">
        <v>27</v>
      </c>
      <c r="D618" s="16" t="s">
        <v>560</v>
      </c>
      <c r="E618" s="16" t="s">
        <v>2102</v>
      </c>
      <c r="F618" s="158" t="s">
        <v>26</v>
      </c>
      <c r="G618" s="11">
        <f>F618*34</f>
        <v>0</v>
      </c>
      <c r="L618"/>
    </row>
    <row r="619" spans="1:12" ht="15.75">
      <c r="A619" s="26" t="s">
        <v>651</v>
      </c>
      <c r="B619" s="3" t="s">
        <v>22</v>
      </c>
      <c r="C619" s="23" t="s">
        <v>29</v>
      </c>
      <c r="D619" s="16" t="s">
        <v>660</v>
      </c>
      <c r="E619" s="16" t="s">
        <v>2102</v>
      </c>
      <c r="F619" s="158" t="s">
        <v>26</v>
      </c>
      <c r="G619" s="11">
        <f>F619*21</f>
        <v>0</v>
      </c>
      <c r="L619"/>
    </row>
    <row r="620" spans="1:12" ht="15.75">
      <c r="A620" s="26" t="s">
        <v>651</v>
      </c>
      <c r="B620" s="3" t="s">
        <v>22</v>
      </c>
      <c r="C620" s="23" t="s">
        <v>31</v>
      </c>
      <c r="D620" s="16" t="s">
        <v>661</v>
      </c>
      <c r="E620" s="16" t="s">
        <v>2102</v>
      </c>
      <c r="F620" s="158" t="s">
        <v>26</v>
      </c>
      <c r="G620" s="11">
        <f>F620*5</f>
        <v>0</v>
      </c>
      <c r="L620"/>
    </row>
    <row r="621" spans="1:12" ht="15.75">
      <c r="A621" s="26" t="s">
        <v>651</v>
      </c>
      <c r="B621" s="3" t="s">
        <v>22</v>
      </c>
      <c r="C621" s="25" t="s">
        <v>131</v>
      </c>
      <c r="D621" s="16" t="s">
        <v>662</v>
      </c>
      <c r="E621" s="16" t="s">
        <v>2102</v>
      </c>
      <c r="F621" s="157">
        <v>46</v>
      </c>
      <c r="G621" s="11">
        <f>F621*10</f>
        <v>460</v>
      </c>
      <c r="L621"/>
    </row>
    <row r="622" spans="1:12" ht="15.75">
      <c r="A622" s="26" t="s">
        <v>651</v>
      </c>
      <c r="B622" s="3" t="s">
        <v>22</v>
      </c>
      <c r="C622" s="23" t="s">
        <v>24</v>
      </c>
      <c r="D622" s="16" t="s">
        <v>663</v>
      </c>
      <c r="E622" s="16" t="s">
        <v>2102</v>
      </c>
      <c r="F622" s="158" t="s">
        <v>26</v>
      </c>
      <c r="G622" s="11">
        <f>F622*45</f>
        <v>0</v>
      </c>
      <c r="L622"/>
    </row>
    <row r="623" spans="1:12" ht="15.75">
      <c r="A623" s="26" t="s">
        <v>651</v>
      </c>
      <c r="B623" s="3" t="s">
        <v>22</v>
      </c>
      <c r="C623" s="23" t="s">
        <v>27</v>
      </c>
      <c r="D623" s="16" t="s">
        <v>664</v>
      </c>
      <c r="E623" s="16" t="s">
        <v>2102</v>
      </c>
      <c r="F623" s="158" t="s">
        <v>26</v>
      </c>
      <c r="G623" s="11">
        <f>F623*34</f>
        <v>0</v>
      </c>
      <c r="L623"/>
    </row>
    <row r="624" spans="1:12" ht="15.75">
      <c r="A624" s="26" t="s">
        <v>651</v>
      </c>
      <c r="B624" s="3" t="s">
        <v>22</v>
      </c>
      <c r="C624" s="23" t="s">
        <v>29</v>
      </c>
      <c r="D624" s="16" t="s">
        <v>665</v>
      </c>
      <c r="E624" s="16" t="s">
        <v>2102</v>
      </c>
      <c r="F624" s="158" t="s">
        <v>26</v>
      </c>
      <c r="G624" s="11">
        <f>F624*21</f>
        <v>0</v>
      </c>
      <c r="L624"/>
    </row>
    <row r="625" spans="1:12" ht="15.75">
      <c r="A625" s="26" t="s">
        <v>651</v>
      </c>
      <c r="B625" s="3" t="s">
        <v>22</v>
      </c>
      <c r="C625" s="23" t="s">
        <v>31</v>
      </c>
      <c r="D625" s="16" t="s">
        <v>666</v>
      </c>
      <c r="E625" s="16" t="s">
        <v>2102</v>
      </c>
      <c r="F625" s="158" t="s">
        <v>26</v>
      </c>
      <c r="G625" s="11">
        <f>F625*5</f>
        <v>0</v>
      </c>
      <c r="L625"/>
    </row>
    <row r="626" spans="1:12" ht="15.75">
      <c r="A626" s="26" t="s">
        <v>651</v>
      </c>
      <c r="B626" s="3" t="s">
        <v>22</v>
      </c>
      <c r="C626" s="23" t="s">
        <v>24</v>
      </c>
      <c r="D626" s="16" t="s">
        <v>667</v>
      </c>
      <c r="E626" s="16" t="s">
        <v>2102</v>
      </c>
      <c r="F626" s="158" t="s">
        <v>26</v>
      </c>
      <c r="G626" s="11">
        <f>F626*45</f>
        <v>0</v>
      </c>
      <c r="L626"/>
    </row>
    <row r="627" spans="1:12" ht="15.75">
      <c r="A627" s="26" t="s">
        <v>651</v>
      </c>
      <c r="B627" s="3" t="s">
        <v>22</v>
      </c>
      <c r="C627" s="23" t="s">
        <v>27</v>
      </c>
      <c r="D627" s="16" t="s">
        <v>668</v>
      </c>
      <c r="E627" s="16" t="s">
        <v>2102</v>
      </c>
      <c r="F627" s="158" t="s">
        <v>26</v>
      </c>
      <c r="G627" s="11">
        <f>F627*34</f>
        <v>0</v>
      </c>
      <c r="L627"/>
    </row>
    <row r="628" spans="1:12" ht="15.75">
      <c r="A628" s="26" t="s">
        <v>651</v>
      </c>
      <c r="B628" s="3" t="s">
        <v>22</v>
      </c>
      <c r="C628" s="23" t="s">
        <v>29</v>
      </c>
      <c r="D628" s="16" t="s">
        <v>669</v>
      </c>
      <c r="E628" s="16" t="s">
        <v>2102</v>
      </c>
      <c r="F628" s="158" t="s">
        <v>26</v>
      </c>
      <c r="G628" s="11">
        <f>F628*21</f>
        <v>0</v>
      </c>
      <c r="L628"/>
    </row>
    <row r="629" spans="1:12" ht="15.75">
      <c r="A629" s="26" t="s">
        <v>651</v>
      </c>
      <c r="B629" s="3" t="s">
        <v>22</v>
      </c>
      <c r="C629" s="23" t="s">
        <v>31</v>
      </c>
      <c r="D629" s="16" t="s">
        <v>670</v>
      </c>
      <c r="E629" s="16" t="s">
        <v>2102</v>
      </c>
      <c r="F629" s="158" t="s">
        <v>26</v>
      </c>
      <c r="G629" s="11">
        <f>F629*5</f>
        <v>0</v>
      </c>
      <c r="L629"/>
    </row>
    <row r="630" spans="1:12" ht="15.75">
      <c r="A630" s="26" t="s">
        <v>651</v>
      </c>
      <c r="B630" s="3" t="s">
        <v>22</v>
      </c>
      <c r="C630" s="23" t="s">
        <v>24</v>
      </c>
      <c r="D630" s="16" t="s">
        <v>671</v>
      </c>
      <c r="E630" s="16" t="s">
        <v>2102</v>
      </c>
      <c r="F630" s="158" t="s">
        <v>26</v>
      </c>
      <c r="G630" s="11">
        <f>F630*45</f>
        <v>0</v>
      </c>
      <c r="L630"/>
    </row>
    <row r="631" spans="1:12" ht="15.75">
      <c r="A631" s="26" t="s">
        <v>651</v>
      </c>
      <c r="B631" s="3" t="s">
        <v>22</v>
      </c>
      <c r="C631" s="23" t="s">
        <v>27</v>
      </c>
      <c r="D631" s="16" t="s">
        <v>672</v>
      </c>
      <c r="E631" s="16" t="s">
        <v>2102</v>
      </c>
      <c r="F631" s="158" t="s">
        <v>26</v>
      </c>
      <c r="G631" s="11">
        <f>F631*34</f>
        <v>0</v>
      </c>
      <c r="L631"/>
    </row>
    <row r="632" spans="1:12" ht="15.75">
      <c r="A632" s="26" t="s">
        <v>651</v>
      </c>
      <c r="B632" s="3" t="s">
        <v>22</v>
      </c>
      <c r="C632" s="23" t="s">
        <v>29</v>
      </c>
      <c r="D632" s="16" t="s">
        <v>673</v>
      </c>
      <c r="E632" s="16" t="s">
        <v>2102</v>
      </c>
      <c r="F632" s="158" t="s">
        <v>26</v>
      </c>
      <c r="G632" s="11">
        <f>F632*21</f>
        <v>0</v>
      </c>
      <c r="L632"/>
    </row>
    <row r="633" spans="1:12" ht="15.75">
      <c r="A633" s="26" t="s">
        <v>651</v>
      </c>
      <c r="B633" s="3" t="s">
        <v>22</v>
      </c>
      <c r="C633" s="23" t="s">
        <v>31</v>
      </c>
      <c r="D633" s="16" t="s">
        <v>674</v>
      </c>
      <c r="E633" s="16" t="s">
        <v>2102</v>
      </c>
      <c r="F633" s="158" t="s">
        <v>26</v>
      </c>
      <c r="G633" s="11">
        <f>F633*5</f>
        <v>0</v>
      </c>
      <c r="L633"/>
    </row>
    <row r="634" spans="1:12" ht="15.75">
      <c r="A634" s="26" t="s">
        <v>651</v>
      </c>
      <c r="B634" s="3" t="s">
        <v>22</v>
      </c>
      <c r="C634" s="23" t="s">
        <v>24</v>
      </c>
      <c r="D634" s="19">
        <v>1869</v>
      </c>
      <c r="E634" s="16" t="s">
        <v>2102</v>
      </c>
      <c r="F634" s="158" t="s">
        <v>26</v>
      </c>
      <c r="G634" s="11">
        <f>F634*45</f>
        <v>0</v>
      </c>
      <c r="L634"/>
    </row>
    <row r="635" spans="1:12" ht="15.75">
      <c r="A635" s="26" t="s">
        <v>651</v>
      </c>
      <c r="B635" s="3" t="s">
        <v>22</v>
      </c>
      <c r="C635" s="23" t="s">
        <v>27</v>
      </c>
      <c r="D635" s="19">
        <v>642</v>
      </c>
      <c r="E635" s="16" t="s">
        <v>2102</v>
      </c>
      <c r="F635" s="158" t="s">
        <v>26</v>
      </c>
      <c r="G635" s="11">
        <f>F635*34</f>
        <v>0</v>
      </c>
      <c r="L635"/>
    </row>
    <row r="636" spans="1:12" ht="15.75">
      <c r="A636" s="26" t="s">
        <v>651</v>
      </c>
      <c r="B636" s="3" t="s">
        <v>22</v>
      </c>
      <c r="C636" s="23" t="s">
        <v>29</v>
      </c>
      <c r="D636" s="19">
        <v>2143</v>
      </c>
      <c r="E636" s="16" t="s">
        <v>2102</v>
      </c>
      <c r="F636" s="158" t="s">
        <v>26</v>
      </c>
      <c r="G636" s="11">
        <f>F636*21</f>
        <v>0</v>
      </c>
      <c r="L636"/>
    </row>
    <row r="637" spans="1:12" ht="15.75">
      <c r="A637" s="26" t="s">
        <v>651</v>
      </c>
      <c r="B637" s="3" t="s">
        <v>22</v>
      </c>
      <c r="C637" s="23" t="s">
        <v>31</v>
      </c>
      <c r="D637" s="19">
        <v>1015</v>
      </c>
      <c r="E637" s="16" t="s">
        <v>2102</v>
      </c>
      <c r="F637" s="158" t="s">
        <v>26</v>
      </c>
      <c r="G637" s="11">
        <f>F637*5</f>
        <v>0</v>
      </c>
      <c r="L637"/>
    </row>
    <row r="638" spans="1:12" ht="15.75">
      <c r="A638" s="26" t="s">
        <v>675</v>
      </c>
      <c r="B638" s="3" t="s">
        <v>22</v>
      </c>
      <c r="C638" s="23" t="s">
        <v>24</v>
      </c>
      <c r="D638" s="16" t="s">
        <v>677</v>
      </c>
      <c r="E638" s="16" t="s">
        <v>2102</v>
      </c>
      <c r="F638" s="157">
        <v>365</v>
      </c>
      <c r="G638" s="11">
        <f>F638*45</f>
        <v>16425</v>
      </c>
      <c r="L638"/>
    </row>
    <row r="639" spans="1:12" ht="15.75">
      <c r="A639" s="26" t="s">
        <v>675</v>
      </c>
      <c r="B639" s="3" t="s">
        <v>22</v>
      </c>
      <c r="C639" s="23" t="s">
        <v>27</v>
      </c>
      <c r="D639" s="16" t="s">
        <v>135</v>
      </c>
      <c r="E639" s="16" t="s">
        <v>2102</v>
      </c>
      <c r="F639" s="157">
        <v>165</v>
      </c>
      <c r="G639" s="11">
        <f>F639*34</f>
        <v>5610</v>
      </c>
      <c r="L639"/>
    </row>
    <row r="640" spans="1:12" ht="15.75">
      <c r="A640" s="26" t="s">
        <v>675</v>
      </c>
      <c r="B640" s="3" t="s">
        <v>22</v>
      </c>
      <c r="C640" s="23" t="s">
        <v>29</v>
      </c>
      <c r="D640" s="16" t="s">
        <v>678</v>
      </c>
      <c r="E640" s="16" t="s">
        <v>2102</v>
      </c>
      <c r="F640" s="157">
        <v>462</v>
      </c>
      <c r="G640" s="11">
        <f>F640*21</f>
        <v>9702</v>
      </c>
      <c r="L640"/>
    </row>
    <row r="641" spans="1:12" ht="15.75">
      <c r="A641" s="26" t="s">
        <v>675</v>
      </c>
      <c r="B641" s="3" t="s">
        <v>22</v>
      </c>
      <c r="C641" s="23" t="s">
        <v>31</v>
      </c>
      <c r="D641" s="16" t="s">
        <v>679</v>
      </c>
      <c r="E641" s="16" t="s">
        <v>2102</v>
      </c>
      <c r="F641" s="157">
        <v>225</v>
      </c>
      <c r="G641" s="11">
        <f>F641*5</f>
        <v>1125</v>
      </c>
      <c r="L641"/>
    </row>
    <row r="642" spans="1:12" ht="15.75">
      <c r="A642" s="26" t="s">
        <v>675</v>
      </c>
      <c r="B642" s="3" t="s">
        <v>22</v>
      </c>
      <c r="C642" s="23" t="s">
        <v>24</v>
      </c>
      <c r="D642" s="16" t="s">
        <v>680</v>
      </c>
      <c r="E642" s="16" t="s">
        <v>2102</v>
      </c>
      <c r="F642" s="158" t="s">
        <v>26</v>
      </c>
      <c r="G642" s="11">
        <f>F642*45</f>
        <v>0</v>
      </c>
      <c r="L642"/>
    </row>
    <row r="643" spans="1:12" ht="15.75">
      <c r="A643" s="26" t="s">
        <v>675</v>
      </c>
      <c r="B643" s="3" t="s">
        <v>22</v>
      </c>
      <c r="C643" s="23" t="s">
        <v>27</v>
      </c>
      <c r="D643" s="16" t="s">
        <v>616</v>
      </c>
      <c r="E643" s="16" t="s">
        <v>2102</v>
      </c>
      <c r="F643" s="158" t="s">
        <v>26</v>
      </c>
      <c r="G643" s="11">
        <f>F643*34</f>
        <v>0</v>
      </c>
      <c r="L643"/>
    </row>
    <row r="644" spans="1:12" ht="15.75">
      <c r="A644" s="26" t="s">
        <v>675</v>
      </c>
      <c r="B644" s="3" t="s">
        <v>22</v>
      </c>
      <c r="C644" s="23" t="s">
        <v>29</v>
      </c>
      <c r="D644" s="16" t="s">
        <v>681</v>
      </c>
      <c r="E644" s="16" t="s">
        <v>2102</v>
      </c>
      <c r="F644" s="158" t="s">
        <v>26</v>
      </c>
      <c r="G644" s="11">
        <f>F644*21</f>
        <v>0</v>
      </c>
      <c r="L644"/>
    </row>
    <row r="645" spans="1:12" ht="15.75">
      <c r="A645" s="26" t="s">
        <v>675</v>
      </c>
      <c r="B645" s="3" t="s">
        <v>22</v>
      </c>
      <c r="C645" s="23" t="s">
        <v>31</v>
      </c>
      <c r="D645" s="16" t="s">
        <v>682</v>
      </c>
      <c r="E645" s="16" t="s">
        <v>2102</v>
      </c>
      <c r="F645" s="158" t="s">
        <v>26</v>
      </c>
      <c r="G645" s="11">
        <f>F645*5</f>
        <v>0</v>
      </c>
      <c r="L645"/>
    </row>
    <row r="646" spans="1:12" ht="15.75">
      <c r="A646" s="26" t="s">
        <v>675</v>
      </c>
      <c r="B646" s="3" t="s">
        <v>22</v>
      </c>
      <c r="C646" s="25" t="s">
        <v>131</v>
      </c>
      <c r="D646" s="16" t="s">
        <v>683</v>
      </c>
      <c r="E646" s="16" t="s">
        <v>2102</v>
      </c>
      <c r="F646" s="158" t="s">
        <v>26</v>
      </c>
      <c r="G646" s="11">
        <f>F646*10</f>
        <v>0</v>
      </c>
      <c r="L646"/>
    </row>
    <row r="647" spans="1:12" ht="15.75">
      <c r="A647" s="26" t="s">
        <v>675</v>
      </c>
      <c r="B647" s="3" t="s">
        <v>22</v>
      </c>
      <c r="C647" s="23" t="s">
        <v>24</v>
      </c>
      <c r="D647" s="16" t="s">
        <v>685</v>
      </c>
      <c r="E647" s="16" t="s">
        <v>2102</v>
      </c>
      <c r="F647" s="158" t="s">
        <v>26</v>
      </c>
      <c r="G647" s="11">
        <f>F647*45</f>
        <v>0</v>
      </c>
      <c r="L647"/>
    </row>
    <row r="648" spans="1:12" ht="15.75">
      <c r="A648" s="26" t="s">
        <v>675</v>
      </c>
      <c r="B648" s="3" t="s">
        <v>22</v>
      </c>
      <c r="C648" s="23" t="s">
        <v>27</v>
      </c>
      <c r="D648" s="16" t="s">
        <v>686</v>
      </c>
      <c r="E648" s="16" t="s">
        <v>2102</v>
      </c>
      <c r="F648" s="158" t="s">
        <v>26</v>
      </c>
      <c r="G648" s="11">
        <f>F648*34</f>
        <v>0</v>
      </c>
      <c r="L648"/>
    </row>
    <row r="649" spans="1:12" ht="15.75">
      <c r="A649" s="26" t="s">
        <v>675</v>
      </c>
      <c r="B649" s="3" t="s">
        <v>22</v>
      </c>
      <c r="C649" s="23" t="s">
        <v>29</v>
      </c>
      <c r="D649" s="16" t="s">
        <v>687</v>
      </c>
      <c r="E649" s="16" t="s">
        <v>2102</v>
      </c>
      <c r="F649" s="158" t="s">
        <v>26</v>
      </c>
      <c r="G649" s="11">
        <f>F649*21</f>
        <v>0</v>
      </c>
      <c r="L649"/>
    </row>
    <row r="650" spans="1:12" ht="15.75">
      <c r="A650" s="26" t="s">
        <v>675</v>
      </c>
      <c r="B650" s="3" t="s">
        <v>22</v>
      </c>
      <c r="C650" s="23" t="s">
        <v>31</v>
      </c>
      <c r="D650" s="16" t="s">
        <v>688</v>
      </c>
      <c r="E650" s="16" t="s">
        <v>2102</v>
      </c>
      <c r="F650" s="158" t="s">
        <v>26</v>
      </c>
      <c r="G650" s="11">
        <f>F650*5</f>
        <v>0</v>
      </c>
      <c r="L650"/>
    </row>
    <row r="651" spans="1:12" ht="15.75">
      <c r="A651" s="26" t="s">
        <v>675</v>
      </c>
      <c r="B651" s="3" t="s">
        <v>22</v>
      </c>
      <c r="C651" s="23" t="s">
        <v>24</v>
      </c>
      <c r="D651" s="16" t="s">
        <v>689</v>
      </c>
      <c r="E651" s="16" t="s">
        <v>2102</v>
      </c>
      <c r="F651" s="158" t="s">
        <v>26</v>
      </c>
      <c r="G651" s="11">
        <f>F651*45</f>
        <v>0</v>
      </c>
      <c r="L651"/>
    </row>
    <row r="652" spans="1:12" ht="15.75">
      <c r="A652" s="26" t="s">
        <v>675</v>
      </c>
      <c r="B652" s="3" t="s">
        <v>22</v>
      </c>
      <c r="C652" s="23" t="s">
        <v>27</v>
      </c>
      <c r="D652" s="16" t="s">
        <v>690</v>
      </c>
      <c r="E652" s="16" t="s">
        <v>2102</v>
      </c>
      <c r="F652" s="158" t="s">
        <v>26</v>
      </c>
      <c r="G652" s="11">
        <f>F652*34</f>
        <v>0</v>
      </c>
      <c r="L652"/>
    </row>
    <row r="653" spans="1:12" ht="15.75">
      <c r="A653" s="26" t="s">
        <v>675</v>
      </c>
      <c r="B653" s="3" t="s">
        <v>22</v>
      </c>
      <c r="C653" s="23" t="s">
        <v>29</v>
      </c>
      <c r="D653" s="16" t="s">
        <v>470</v>
      </c>
      <c r="E653" s="16" t="s">
        <v>2102</v>
      </c>
      <c r="F653" s="158" t="s">
        <v>26</v>
      </c>
      <c r="G653" s="11">
        <f>F653*21</f>
        <v>0</v>
      </c>
      <c r="L653"/>
    </row>
    <row r="654" spans="1:12" ht="15.75">
      <c r="A654" s="26" t="s">
        <v>675</v>
      </c>
      <c r="B654" s="3" t="s">
        <v>22</v>
      </c>
      <c r="C654" s="23" t="s">
        <v>31</v>
      </c>
      <c r="D654" s="16" t="s">
        <v>30</v>
      </c>
      <c r="E654" s="16" t="s">
        <v>2102</v>
      </c>
      <c r="F654" s="158" t="s">
        <v>26</v>
      </c>
      <c r="G654" s="11">
        <f>F654*5</f>
        <v>0</v>
      </c>
      <c r="L654"/>
    </row>
    <row r="655" spans="1:12" ht="15.75">
      <c r="A655" s="26" t="s">
        <v>675</v>
      </c>
      <c r="B655" s="3" t="s">
        <v>22</v>
      </c>
      <c r="C655" s="25" t="s">
        <v>131</v>
      </c>
      <c r="D655" s="16" t="s">
        <v>691</v>
      </c>
      <c r="E655" s="16" t="s">
        <v>2102</v>
      </c>
      <c r="F655" s="158" t="s">
        <v>26</v>
      </c>
      <c r="G655" s="11">
        <f>F655*10</f>
        <v>0</v>
      </c>
      <c r="L655"/>
    </row>
    <row r="656" spans="1:12" ht="15.75">
      <c r="A656" s="26" t="s">
        <v>675</v>
      </c>
      <c r="B656" s="3" t="s">
        <v>22</v>
      </c>
      <c r="C656" s="23" t="s">
        <v>24</v>
      </c>
      <c r="D656" s="16" t="s">
        <v>692</v>
      </c>
      <c r="E656" s="16" t="s">
        <v>2102</v>
      </c>
      <c r="F656" s="158" t="s">
        <v>26</v>
      </c>
      <c r="G656" s="11">
        <f>F656*45</f>
        <v>0</v>
      </c>
      <c r="L656"/>
    </row>
    <row r="657" spans="1:12" ht="15.75">
      <c r="A657" s="26" t="s">
        <v>675</v>
      </c>
      <c r="B657" s="3" t="s">
        <v>22</v>
      </c>
      <c r="C657" s="23" t="s">
        <v>27</v>
      </c>
      <c r="D657" s="16" t="s">
        <v>693</v>
      </c>
      <c r="E657" s="16" t="s">
        <v>2102</v>
      </c>
      <c r="F657" s="158" t="s">
        <v>26</v>
      </c>
      <c r="G657" s="11">
        <f>F657*34</f>
        <v>0</v>
      </c>
      <c r="L657"/>
    </row>
    <row r="658" spans="1:12" ht="15.75">
      <c r="A658" s="26" t="s">
        <v>675</v>
      </c>
      <c r="B658" s="3" t="s">
        <v>22</v>
      </c>
      <c r="C658" s="23" t="s">
        <v>29</v>
      </c>
      <c r="D658" s="16" t="s">
        <v>694</v>
      </c>
      <c r="E658" s="16" t="s">
        <v>2102</v>
      </c>
      <c r="F658" s="158" t="s">
        <v>26</v>
      </c>
      <c r="G658" s="11">
        <f>F658*21</f>
        <v>0</v>
      </c>
      <c r="L658"/>
    </row>
    <row r="659" spans="1:12" ht="15.75">
      <c r="A659" s="26" t="s">
        <v>675</v>
      </c>
      <c r="B659" s="3" t="s">
        <v>22</v>
      </c>
      <c r="C659" s="23" t="s">
        <v>31</v>
      </c>
      <c r="D659" s="16" t="s">
        <v>695</v>
      </c>
      <c r="E659" s="16" t="s">
        <v>2102</v>
      </c>
      <c r="F659" s="158" t="s">
        <v>26</v>
      </c>
      <c r="G659" s="11">
        <f>F659*5</f>
        <v>0</v>
      </c>
      <c r="L659"/>
    </row>
    <row r="660" spans="1:12" ht="15.75">
      <c r="A660" s="26" t="s">
        <v>675</v>
      </c>
      <c r="B660" s="3" t="s">
        <v>22</v>
      </c>
      <c r="C660" s="23" t="s">
        <v>24</v>
      </c>
      <c r="D660" s="16" t="s">
        <v>696</v>
      </c>
      <c r="E660" s="16" t="s">
        <v>2102</v>
      </c>
      <c r="F660" s="158" t="s">
        <v>26</v>
      </c>
      <c r="G660" s="11">
        <f>F660*45</f>
        <v>0</v>
      </c>
      <c r="L660"/>
    </row>
    <row r="661" spans="1:12" ht="15.75">
      <c r="A661" s="26" t="s">
        <v>675</v>
      </c>
      <c r="B661" s="3" t="s">
        <v>22</v>
      </c>
      <c r="C661" s="23" t="s">
        <v>27</v>
      </c>
      <c r="D661" s="16" t="s">
        <v>697</v>
      </c>
      <c r="E661" s="16" t="s">
        <v>2102</v>
      </c>
      <c r="F661" s="158" t="s">
        <v>26</v>
      </c>
      <c r="G661" s="11">
        <f>F661*34</f>
        <v>0</v>
      </c>
      <c r="L661"/>
    </row>
    <row r="662" spans="1:12" ht="15.75">
      <c r="A662" s="26" t="s">
        <v>675</v>
      </c>
      <c r="B662" s="3" t="s">
        <v>22</v>
      </c>
      <c r="C662" s="23" t="s">
        <v>29</v>
      </c>
      <c r="D662" s="16" t="s">
        <v>698</v>
      </c>
      <c r="E662" s="16" t="s">
        <v>2102</v>
      </c>
      <c r="F662" s="158" t="s">
        <v>26</v>
      </c>
      <c r="G662" s="11">
        <f>F662*21</f>
        <v>0</v>
      </c>
      <c r="L662"/>
    </row>
    <row r="663" spans="1:12" ht="15.75">
      <c r="A663" s="26" t="s">
        <v>675</v>
      </c>
      <c r="B663" s="3" t="s">
        <v>22</v>
      </c>
      <c r="C663" s="23" t="s">
        <v>31</v>
      </c>
      <c r="D663" s="16" t="s">
        <v>699</v>
      </c>
      <c r="E663" s="16" t="s">
        <v>2102</v>
      </c>
      <c r="F663" s="158" t="s">
        <v>26</v>
      </c>
      <c r="G663" s="11">
        <f>F663*5</f>
        <v>0</v>
      </c>
      <c r="L663"/>
    </row>
    <row r="664" spans="1:12" ht="15.75">
      <c r="A664" s="26" t="s">
        <v>675</v>
      </c>
      <c r="B664" s="3" t="s">
        <v>22</v>
      </c>
      <c r="C664" s="23" t="s">
        <v>24</v>
      </c>
      <c r="D664" s="16" t="s">
        <v>700</v>
      </c>
      <c r="E664" s="16" t="s">
        <v>2102</v>
      </c>
      <c r="F664" s="158" t="s">
        <v>26</v>
      </c>
      <c r="G664" s="11">
        <f>F664*45</f>
        <v>0</v>
      </c>
      <c r="L664"/>
    </row>
    <row r="665" spans="1:12" ht="15.75">
      <c r="A665" s="26" t="s">
        <v>675</v>
      </c>
      <c r="B665" s="3" t="s">
        <v>22</v>
      </c>
      <c r="C665" s="23" t="s">
        <v>27</v>
      </c>
      <c r="D665" s="16" t="s">
        <v>701</v>
      </c>
      <c r="E665" s="16" t="s">
        <v>2102</v>
      </c>
      <c r="F665" s="158" t="s">
        <v>26</v>
      </c>
      <c r="G665" s="11">
        <f>F665*34</f>
        <v>0</v>
      </c>
      <c r="L665"/>
    </row>
    <row r="666" spans="1:12" ht="15.75">
      <c r="A666" s="26" t="s">
        <v>675</v>
      </c>
      <c r="B666" s="3" t="s">
        <v>22</v>
      </c>
      <c r="C666" s="23" t="s">
        <v>29</v>
      </c>
      <c r="D666" s="16" t="s">
        <v>702</v>
      </c>
      <c r="E666" s="16" t="s">
        <v>2102</v>
      </c>
      <c r="F666" s="158" t="s">
        <v>26</v>
      </c>
      <c r="G666" s="11">
        <f>F666*21</f>
        <v>0</v>
      </c>
      <c r="L666"/>
    </row>
    <row r="667" spans="1:12" ht="15.75">
      <c r="A667" s="26" t="s">
        <v>675</v>
      </c>
      <c r="B667" s="3" t="s">
        <v>22</v>
      </c>
      <c r="C667" s="23" t="s">
        <v>31</v>
      </c>
      <c r="D667" s="16" t="s">
        <v>703</v>
      </c>
      <c r="E667" s="16" t="s">
        <v>2102</v>
      </c>
      <c r="F667" s="158" t="s">
        <v>26</v>
      </c>
      <c r="G667" s="11">
        <f>F667*5</f>
        <v>0</v>
      </c>
      <c r="L667"/>
    </row>
    <row r="668" spans="1:12" ht="15.75">
      <c r="A668" s="26" t="s">
        <v>704</v>
      </c>
      <c r="B668" s="3" t="s">
        <v>22</v>
      </c>
      <c r="C668" s="23" t="s">
        <v>24</v>
      </c>
      <c r="D668" s="16" t="s">
        <v>705</v>
      </c>
      <c r="E668" s="16" t="s">
        <v>2102</v>
      </c>
      <c r="F668" s="157">
        <v>635</v>
      </c>
      <c r="G668" s="11">
        <f>F668*45</f>
        <v>28575</v>
      </c>
      <c r="L668"/>
    </row>
    <row r="669" spans="1:12" ht="15.75">
      <c r="A669" s="26" t="s">
        <v>704</v>
      </c>
      <c r="B669" s="3" t="s">
        <v>22</v>
      </c>
      <c r="C669" s="23" t="s">
        <v>27</v>
      </c>
      <c r="D669" s="16" t="s">
        <v>363</v>
      </c>
      <c r="E669" s="16" t="s">
        <v>2102</v>
      </c>
      <c r="F669" s="157">
        <v>242</v>
      </c>
      <c r="G669" s="11">
        <f>F669*34</f>
        <v>8228</v>
      </c>
      <c r="L669"/>
    </row>
    <row r="670" spans="1:12" ht="15.75">
      <c r="A670" s="26" t="s">
        <v>704</v>
      </c>
      <c r="B670" s="3" t="s">
        <v>22</v>
      </c>
      <c r="C670" s="23" t="s">
        <v>29</v>
      </c>
      <c r="D670" s="16" t="s">
        <v>706</v>
      </c>
      <c r="E670" s="16" t="s">
        <v>2102</v>
      </c>
      <c r="F670" s="157">
        <v>555</v>
      </c>
      <c r="G670" s="11">
        <f>F670*21</f>
        <v>11655</v>
      </c>
      <c r="L670"/>
    </row>
    <row r="671" spans="1:12" ht="15.75">
      <c r="A671" s="26" t="s">
        <v>704</v>
      </c>
      <c r="B671" s="3" t="s">
        <v>22</v>
      </c>
      <c r="C671" s="23" t="s">
        <v>31</v>
      </c>
      <c r="D671" s="16" t="s">
        <v>707</v>
      </c>
      <c r="E671" s="16" t="s">
        <v>2102</v>
      </c>
      <c r="F671" s="157">
        <v>241</v>
      </c>
      <c r="G671" s="11">
        <f>F671*5</f>
        <v>1205</v>
      </c>
      <c r="L671"/>
    </row>
    <row r="672" spans="1:12" ht="15.75">
      <c r="A672" s="26" t="s">
        <v>704</v>
      </c>
      <c r="B672" s="3" t="s">
        <v>22</v>
      </c>
      <c r="C672" s="23" t="s">
        <v>24</v>
      </c>
      <c r="D672" s="16" t="s">
        <v>709</v>
      </c>
      <c r="E672" s="16" t="s">
        <v>2102</v>
      </c>
      <c r="F672" s="158" t="s">
        <v>26</v>
      </c>
      <c r="G672" s="11">
        <f>F672*45</f>
        <v>0</v>
      </c>
      <c r="L672"/>
    </row>
    <row r="673" spans="1:12" ht="15.75">
      <c r="A673" s="26" t="s">
        <v>704</v>
      </c>
      <c r="B673" s="3" t="s">
        <v>22</v>
      </c>
      <c r="C673" s="23" t="s">
        <v>27</v>
      </c>
      <c r="D673" s="16" t="s">
        <v>630</v>
      </c>
      <c r="E673" s="16" t="s">
        <v>2102</v>
      </c>
      <c r="F673" s="158" t="s">
        <v>26</v>
      </c>
      <c r="G673" s="11">
        <f>F673*34</f>
        <v>0</v>
      </c>
      <c r="L673"/>
    </row>
    <row r="674" spans="1:12" ht="15.75">
      <c r="A674" s="26" t="s">
        <v>704</v>
      </c>
      <c r="B674" s="3" t="s">
        <v>22</v>
      </c>
      <c r="C674" s="23" t="s">
        <v>29</v>
      </c>
      <c r="D674" s="16" t="s">
        <v>710</v>
      </c>
      <c r="E674" s="16" t="s">
        <v>2102</v>
      </c>
      <c r="F674" s="158" t="s">
        <v>26</v>
      </c>
      <c r="G674" s="11">
        <f>F674*21</f>
        <v>0</v>
      </c>
      <c r="L674"/>
    </row>
    <row r="675" spans="1:12" ht="15.75">
      <c r="A675" s="26" t="s">
        <v>704</v>
      </c>
      <c r="B675" s="3" t="s">
        <v>22</v>
      </c>
      <c r="C675" s="23" t="s">
        <v>31</v>
      </c>
      <c r="D675" s="16" t="s">
        <v>711</v>
      </c>
      <c r="E675" s="16" t="s">
        <v>2102</v>
      </c>
      <c r="F675" s="158" t="s">
        <v>26</v>
      </c>
      <c r="G675" s="11">
        <f>F675*5</f>
        <v>0</v>
      </c>
      <c r="L675"/>
    </row>
    <row r="676" spans="1:12" ht="15.75">
      <c r="A676" s="26" t="s">
        <v>704</v>
      </c>
      <c r="B676" s="3" t="s">
        <v>22</v>
      </c>
      <c r="C676" s="23" t="s">
        <v>24</v>
      </c>
      <c r="D676" s="16" t="s">
        <v>712</v>
      </c>
      <c r="E676" s="16" t="s">
        <v>2102</v>
      </c>
      <c r="F676" s="158" t="s">
        <v>26</v>
      </c>
      <c r="G676" s="11">
        <f>F676*45</f>
        <v>0</v>
      </c>
      <c r="L676"/>
    </row>
    <row r="677" spans="1:12" ht="15.75">
      <c r="A677" s="26" t="s">
        <v>704</v>
      </c>
      <c r="B677" s="3" t="s">
        <v>22</v>
      </c>
      <c r="C677" s="23" t="s">
        <v>27</v>
      </c>
      <c r="D677" s="16" t="s">
        <v>713</v>
      </c>
      <c r="E677" s="16" t="s">
        <v>2102</v>
      </c>
      <c r="F677" s="158" t="s">
        <v>26</v>
      </c>
      <c r="G677" s="11">
        <f>F677*34</f>
        <v>0</v>
      </c>
      <c r="L677"/>
    </row>
    <row r="678" spans="1:12" ht="15.75">
      <c r="A678" s="26" t="s">
        <v>704</v>
      </c>
      <c r="B678" s="3" t="s">
        <v>22</v>
      </c>
      <c r="C678" s="23" t="s">
        <v>29</v>
      </c>
      <c r="D678" s="16" t="s">
        <v>714</v>
      </c>
      <c r="E678" s="16" t="s">
        <v>2102</v>
      </c>
      <c r="F678" s="158" t="s">
        <v>26</v>
      </c>
      <c r="G678" s="11">
        <f>F678*21</f>
        <v>0</v>
      </c>
      <c r="L678"/>
    </row>
    <row r="679" spans="1:12" ht="15.75">
      <c r="A679" s="26" t="s">
        <v>704</v>
      </c>
      <c r="B679" s="3" t="s">
        <v>22</v>
      </c>
      <c r="C679" s="23" t="s">
        <v>31</v>
      </c>
      <c r="D679" s="16" t="s">
        <v>715</v>
      </c>
      <c r="E679" s="16" t="s">
        <v>2102</v>
      </c>
      <c r="F679" s="158" t="s">
        <v>26</v>
      </c>
      <c r="G679" s="11">
        <f>F679*5</f>
        <v>0</v>
      </c>
      <c r="L679"/>
    </row>
    <row r="680" spans="1:12" ht="15.75">
      <c r="A680" s="26" t="s">
        <v>704</v>
      </c>
      <c r="B680" s="3" t="s">
        <v>22</v>
      </c>
      <c r="C680" s="23" t="s">
        <v>24</v>
      </c>
      <c r="D680" s="16" t="s">
        <v>716</v>
      </c>
      <c r="E680" s="16" t="s">
        <v>2102</v>
      </c>
      <c r="F680" s="158" t="s">
        <v>26</v>
      </c>
      <c r="G680" s="11">
        <f>F680*45</f>
        <v>0</v>
      </c>
      <c r="L680"/>
    </row>
    <row r="681" spans="1:12" ht="15.75">
      <c r="A681" s="26" t="s">
        <v>704</v>
      </c>
      <c r="B681" s="3" t="s">
        <v>22</v>
      </c>
      <c r="C681" s="23" t="s">
        <v>27</v>
      </c>
      <c r="D681" s="16" t="s">
        <v>717</v>
      </c>
      <c r="E681" s="16" t="s">
        <v>2102</v>
      </c>
      <c r="F681" s="158" t="s">
        <v>26</v>
      </c>
      <c r="G681" s="11">
        <f>F681*34</f>
        <v>0</v>
      </c>
      <c r="L681"/>
    </row>
    <row r="682" spans="1:12" ht="15.75">
      <c r="A682" s="26" t="s">
        <v>704</v>
      </c>
      <c r="B682" s="3" t="s">
        <v>22</v>
      </c>
      <c r="C682" s="23" t="s">
        <v>29</v>
      </c>
      <c r="D682" s="16" t="s">
        <v>718</v>
      </c>
      <c r="E682" s="16" t="s">
        <v>2102</v>
      </c>
      <c r="F682" s="158" t="s">
        <v>26</v>
      </c>
      <c r="G682" s="11">
        <f>F682*21</f>
        <v>0</v>
      </c>
      <c r="L682"/>
    </row>
    <row r="683" spans="1:12" ht="15.75">
      <c r="A683" s="26" t="s">
        <v>704</v>
      </c>
      <c r="B683" s="3" t="s">
        <v>22</v>
      </c>
      <c r="C683" s="23" t="s">
        <v>31</v>
      </c>
      <c r="D683" s="16" t="s">
        <v>719</v>
      </c>
      <c r="E683" s="16" t="s">
        <v>2102</v>
      </c>
      <c r="F683" s="158" t="s">
        <v>26</v>
      </c>
      <c r="G683" s="11">
        <f>F683*5</f>
        <v>0</v>
      </c>
      <c r="L683"/>
    </row>
    <row r="684" spans="1:12" ht="15.75">
      <c r="A684" s="26" t="s">
        <v>704</v>
      </c>
      <c r="B684" s="3" t="s">
        <v>22</v>
      </c>
      <c r="C684" s="23" t="s">
        <v>24</v>
      </c>
      <c r="D684" s="16" t="s">
        <v>720</v>
      </c>
      <c r="E684" s="16" t="s">
        <v>2102</v>
      </c>
      <c r="F684" s="158" t="s">
        <v>26</v>
      </c>
      <c r="G684" s="11">
        <f>F684*45</f>
        <v>0</v>
      </c>
      <c r="L684"/>
    </row>
    <row r="685" spans="1:12" ht="15.75">
      <c r="A685" s="26" t="s">
        <v>704</v>
      </c>
      <c r="B685" s="3" t="s">
        <v>22</v>
      </c>
      <c r="C685" s="23" t="s">
        <v>27</v>
      </c>
      <c r="D685" s="16" t="s">
        <v>721</v>
      </c>
      <c r="E685" s="16" t="s">
        <v>2102</v>
      </c>
      <c r="F685" s="158" t="s">
        <v>26</v>
      </c>
      <c r="G685" s="11">
        <f>F685*34</f>
        <v>0</v>
      </c>
      <c r="L685"/>
    </row>
    <row r="686" spans="1:12" ht="15.75">
      <c r="A686" s="26" t="s">
        <v>704</v>
      </c>
      <c r="B686" s="3" t="s">
        <v>22</v>
      </c>
      <c r="C686" s="23" t="s">
        <v>29</v>
      </c>
      <c r="D686" s="16" t="s">
        <v>722</v>
      </c>
      <c r="E686" s="16" t="s">
        <v>2102</v>
      </c>
      <c r="F686" s="158" t="s">
        <v>26</v>
      </c>
      <c r="G686" s="11">
        <f>F686*21</f>
        <v>0</v>
      </c>
      <c r="L686"/>
    </row>
    <row r="687" spans="1:12" ht="15.75">
      <c r="A687" s="26" t="s">
        <v>704</v>
      </c>
      <c r="B687" s="3" t="s">
        <v>22</v>
      </c>
      <c r="C687" s="23" t="s">
        <v>31</v>
      </c>
      <c r="D687" s="16" t="s">
        <v>723</v>
      </c>
      <c r="E687" s="16" t="s">
        <v>2102</v>
      </c>
      <c r="F687" s="158" t="s">
        <v>26</v>
      </c>
      <c r="G687" s="11">
        <f>F687*5</f>
        <v>0</v>
      </c>
      <c r="L687"/>
    </row>
    <row r="688" spans="1:12" ht="15.75">
      <c r="A688" s="26" t="s">
        <v>704</v>
      </c>
      <c r="B688" s="3" t="s">
        <v>22</v>
      </c>
      <c r="C688" s="25" t="s">
        <v>131</v>
      </c>
      <c r="D688" s="16" t="s">
        <v>1449</v>
      </c>
      <c r="E688" s="16" t="s">
        <v>2102</v>
      </c>
      <c r="F688" s="157">
        <v>70</v>
      </c>
      <c r="G688" s="11">
        <f>F688*10</f>
        <v>700</v>
      </c>
      <c r="L688"/>
    </row>
    <row r="689" spans="1:12" ht="15.75">
      <c r="A689" s="26" t="s">
        <v>704</v>
      </c>
      <c r="B689" s="3" t="s">
        <v>22</v>
      </c>
      <c r="C689" s="23" t="s">
        <v>24</v>
      </c>
      <c r="D689" s="19">
        <v>1413</v>
      </c>
      <c r="E689" s="16" t="s">
        <v>2102</v>
      </c>
      <c r="F689" s="158" t="s">
        <v>26</v>
      </c>
      <c r="G689" s="11">
        <f>F689*45</f>
        <v>0</v>
      </c>
      <c r="L689"/>
    </row>
    <row r="690" spans="1:12" ht="15.75">
      <c r="A690" s="26" t="s">
        <v>704</v>
      </c>
      <c r="B690" s="3" t="s">
        <v>22</v>
      </c>
      <c r="C690" s="23" t="s">
        <v>27</v>
      </c>
      <c r="D690" s="19">
        <v>910</v>
      </c>
      <c r="E690" s="16" t="s">
        <v>2102</v>
      </c>
      <c r="F690" s="158" t="s">
        <v>26</v>
      </c>
      <c r="G690" s="11">
        <f>F690*34</f>
        <v>0</v>
      </c>
      <c r="L690"/>
    </row>
    <row r="691" spans="1:12" ht="15.75">
      <c r="A691" s="26" t="s">
        <v>704</v>
      </c>
      <c r="B691" s="3" t="s">
        <v>22</v>
      </c>
      <c r="C691" s="23" t="s">
        <v>29</v>
      </c>
      <c r="D691" s="19">
        <v>2690</v>
      </c>
      <c r="E691" s="16" t="s">
        <v>2102</v>
      </c>
      <c r="F691" s="158" t="s">
        <v>26</v>
      </c>
      <c r="G691" s="11">
        <f>F691*21</f>
        <v>0</v>
      </c>
      <c r="L691"/>
    </row>
    <row r="692" spans="1:12" ht="15.75">
      <c r="A692" s="26" t="s">
        <v>704</v>
      </c>
      <c r="B692" s="3" t="s">
        <v>22</v>
      </c>
      <c r="C692" s="23" t="s">
        <v>31</v>
      </c>
      <c r="D692" s="19">
        <v>1543</v>
      </c>
      <c r="E692" s="16" t="s">
        <v>2102</v>
      </c>
      <c r="F692" s="158" t="s">
        <v>26</v>
      </c>
      <c r="G692" s="11">
        <f>F692*5</f>
        <v>0</v>
      </c>
      <c r="L692"/>
    </row>
    <row r="693" spans="1:12" ht="15.75">
      <c r="A693" s="26" t="s">
        <v>704</v>
      </c>
      <c r="B693" s="3" t="s">
        <v>22</v>
      </c>
      <c r="C693" s="23" t="s">
        <v>24</v>
      </c>
      <c r="D693" s="16" t="s">
        <v>725</v>
      </c>
      <c r="E693" s="16" t="s">
        <v>2102</v>
      </c>
      <c r="F693" s="158" t="s">
        <v>26</v>
      </c>
      <c r="G693" s="11">
        <f>F693*45</f>
        <v>0</v>
      </c>
      <c r="L693"/>
    </row>
    <row r="694" spans="1:12" ht="15.75">
      <c r="A694" s="26" t="s">
        <v>704</v>
      </c>
      <c r="B694" s="3" t="s">
        <v>22</v>
      </c>
      <c r="C694" s="23" t="s">
        <v>27</v>
      </c>
      <c r="D694" s="16" t="s">
        <v>726</v>
      </c>
      <c r="E694" s="16" t="s">
        <v>2102</v>
      </c>
      <c r="F694" s="158" t="s">
        <v>26</v>
      </c>
      <c r="G694" s="11">
        <f>F694*34</f>
        <v>0</v>
      </c>
      <c r="L694"/>
    </row>
    <row r="695" spans="1:12" ht="15.75">
      <c r="A695" s="26" t="s">
        <v>704</v>
      </c>
      <c r="B695" s="3" t="s">
        <v>22</v>
      </c>
      <c r="C695" s="23" t="s">
        <v>29</v>
      </c>
      <c r="D695" s="16" t="s">
        <v>727</v>
      </c>
      <c r="E695" s="16" t="s">
        <v>2102</v>
      </c>
      <c r="F695" s="158" t="s">
        <v>26</v>
      </c>
      <c r="G695" s="11">
        <f>F695*21</f>
        <v>0</v>
      </c>
      <c r="L695"/>
    </row>
    <row r="696" spans="1:12" ht="15.75">
      <c r="A696" s="26" t="s">
        <v>704</v>
      </c>
      <c r="B696" s="3" t="s">
        <v>22</v>
      </c>
      <c r="C696" s="23" t="s">
        <v>31</v>
      </c>
      <c r="D696" s="16" t="s">
        <v>728</v>
      </c>
      <c r="E696" s="16" t="s">
        <v>2102</v>
      </c>
      <c r="F696" s="158" t="s">
        <v>26</v>
      </c>
      <c r="G696" s="11">
        <f>F696*5</f>
        <v>0</v>
      </c>
      <c r="L696"/>
    </row>
    <row r="697" spans="1:12" ht="15.75">
      <c r="A697" s="26" t="s">
        <v>729</v>
      </c>
      <c r="B697" s="3" t="s">
        <v>22</v>
      </c>
      <c r="C697" s="23" t="s">
        <v>27</v>
      </c>
      <c r="D697" s="16" t="s">
        <v>731</v>
      </c>
      <c r="E697" s="16" t="s">
        <v>2102</v>
      </c>
      <c r="F697" s="158" t="s">
        <v>26</v>
      </c>
      <c r="G697" s="11">
        <f>F697*34</f>
        <v>0</v>
      </c>
      <c r="L697"/>
    </row>
    <row r="698" spans="1:12" ht="15.75">
      <c r="A698" s="26" t="s">
        <v>729</v>
      </c>
      <c r="B698" s="3" t="s">
        <v>22</v>
      </c>
      <c r="C698" s="23" t="s">
        <v>29</v>
      </c>
      <c r="D698" s="16" t="s">
        <v>732</v>
      </c>
      <c r="E698" s="16" t="s">
        <v>2102</v>
      </c>
      <c r="F698" s="158" t="s">
        <v>26</v>
      </c>
      <c r="G698" s="11">
        <f>F698*21</f>
        <v>0</v>
      </c>
      <c r="L698"/>
    </row>
    <row r="699" spans="1:12" ht="15.75">
      <c r="A699" s="26" t="s">
        <v>729</v>
      </c>
      <c r="B699" s="3" t="s">
        <v>22</v>
      </c>
      <c r="C699" s="23" t="s">
        <v>31</v>
      </c>
      <c r="D699" s="16" t="s">
        <v>50</v>
      </c>
      <c r="E699" s="16" t="s">
        <v>2102</v>
      </c>
      <c r="F699" s="158" t="s">
        <v>26</v>
      </c>
      <c r="G699" s="11">
        <f>F699*5</f>
        <v>0</v>
      </c>
      <c r="L699"/>
    </row>
    <row r="700" spans="1:12" ht="15.75">
      <c r="A700" s="26" t="s">
        <v>729</v>
      </c>
      <c r="B700" s="3" t="s">
        <v>22</v>
      </c>
      <c r="C700" s="23" t="s">
        <v>24</v>
      </c>
      <c r="D700" s="16" t="s">
        <v>733</v>
      </c>
      <c r="E700" s="16" t="s">
        <v>2102</v>
      </c>
      <c r="F700" s="157">
        <v>504</v>
      </c>
      <c r="G700" s="11">
        <f>F700*45</f>
        <v>22680</v>
      </c>
      <c r="L700"/>
    </row>
    <row r="701" spans="1:12" ht="15.75">
      <c r="A701" s="26" t="s">
        <v>729</v>
      </c>
      <c r="B701" s="3" t="s">
        <v>22</v>
      </c>
      <c r="C701" s="23" t="s">
        <v>27</v>
      </c>
      <c r="D701" s="16" t="s">
        <v>734</v>
      </c>
      <c r="E701" s="16" t="s">
        <v>2102</v>
      </c>
      <c r="F701" s="157">
        <v>198</v>
      </c>
      <c r="G701" s="11">
        <f>F701*34</f>
        <v>6732</v>
      </c>
      <c r="L701"/>
    </row>
    <row r="702" spans="1:12" ht="15.75">
      <c r="A702" s="26" t="s">
        <v>729</v>
      </c>
      <c r="B702" s="3" t="s">
        <v>22</v>
      </c>
      <c r="C702" s="23" t="s">
        <v>29</v>
      </c>
      <c r="D702" s="16" t="s">
        <v>735</v>
      </c>
      <c r="E702" s="16" t="s">
        <v>2102</v>
      </c>
      <c r="F702" s="157">
        <v>510</v>
      </c>
      <c r="G702" s="11">
        <f>F702*21</f>
        <v>10710</v>
      </c>
    </row>
    <row r="703" spans="1:12" ht="15.75">
      <c r="A703" s="26" t="s">
        <v>729</v>
      </c>
      <c r="B703" s="3" t="s">
        <v>22</v>
      </c>
      <c r="C703" s="23" t="s">
        <v>31</v>
      </c>
      <c r="D703" s="16" t="s">
        <v>736</v>
      </c>
      <c r="E703" s="16" t="s">
        <v>2102</v>
      </c>
      <c r="F703" s="157">
        <v>164</v>
      </c>
      <c r="G703" s="11">
        <f>F703*5</f>
        <v>820</v>
      </c>
    </row>
    <row r="704" spans="1:12" ht="15.75">
      <c r="A704" s="26" t="s">
        <v>729</v>
      </c>
      <c r="B704" s="3" t="s">
        <v>22</v>
      </c>
      <c r="C704" s="23" t="s">
        <v>24</v>
      </c>
      <c r="D704" s="16" t="s">
        <v>285</v>
      </c>
      <c r="E704" s="16" t="s">
        <v>2102</v>
      </c>
      <c r="F704" s="158" t="s">
        <v>26</v>
      </c>
      <c r="G704" s="11">
        <f>F704*45</f>
        <v>0</v>
      </c>
    </row>
    <row r="705" spans="1:7" ht="15.75">
      <c r="A705" s="26" t="s">
        <v>729</v>
      </c>
      <c r="B705" s="3" t="s">
        <v>22</v>
      </c>
      <c r="C705" s="23" t="s">
        <v>27</v>
      </c>
      <c r="D705" s="16" t="s">
        <v>737</v>
      </c>
      <c r="E705" s="16" t="s">
        <v>2102</v>
      </c>
      <c r="F705" s="158" t="s">
        <v>26</v>
      </c>
      <c r="G705" s="11">
        <f>F705*34</f>
        <v>0</v>
      </c>
    </row>
    <row r="706" spans="1:7" ht="15.75">
      <c r="A706" s="26" t="s">
        <v>729</v>
      </c>
      <c r="B706" s="3" t="s">
        <v>22</v>
      </c>
      <c r="C706" s="23" t="s">
        <v>29</v>
      </c>
      <c r="D706" s="16" t="s">
        <v>650</v>
      </c>
      <c r="E706" s="16" t="s">
        <v>2102</v>
      </c>
      <c r="F706" s="158" t="s">
        <v>26</v>
      </c>
      <c r="G706" s="11">
        <f>F706*21</f>
        <v>0</v>
      </c>
    </row>
    <row r="707" spans="1:7" ht="15.75">
      <c r="A707" s="26" t="s">
        <v>729</v>
      </c>
      <c r="B707" s="3" t="s">
        <v>22</v>
      </c>
      <c r="C707" s="23" t="s">
        <v>31</v>
      </c>
      <c r="D707" s="16" t="s">
        <v>738</v>
      </c>
      <c r="E707" s="16" t="s">
        <v>2102</v>
      </c>
      <c r="F707" s="158" t="s">
        <v>26</v>
      </c>
      <c r="G707" s="11">
        <f>F707*5</f>
        <v>0</v>
      </c>
    </row>
    <row r="708" spans="1:7" ht="15.75">
      <c r="A708" s="26" t="s">
        <v>729</v>
      </c>
      <c r="B708" s="3" t="s">
        <v>22</v>
      </c>
      <c r="C708" s="25" t="s">
        <v>131</v>
      </c>
      <c r="D708" s="16" t="s">
        <v>739</v>
      </c>
      <c r="E708" s="16" t="s">
        <v>2102</v>
      </c>
      <c r="F708" s="157">
        <v>40</v>
      </c>
      <c r="G708" s="11">
        <f>F708*10</f>
        <v>400</v>
      </c>
    </row>
    <row r="709" spans="1:7" ht="15.75">
      <c r="A709" s="26" t="s">
        <v>729</v>
      </c>
      <c r="B709" s="3" t="s">
        <v>22</v>
      </c>
      <c r="C709" s="23" t="s">
        <v>24</v>
      </c>
      <c r="D709" s="16" t="s">
        <v>740</v>
      </c>
      <c r="E709" s="16" t="s">
        <v>2102</v>
      </c>
      <c r="F709" s="158" t="s">
        <v>26</v>
      </c>
      <c r="G709" s="11">
        <f>F709*45</f>
        <v>0</v>
      </c>
    </row>
    <row r="710" spans="1:7" ht="15.75">
      <c r="A710" s="26" t="s">
        <v>729</v>
      </c>
      <c r="B710" s="3" t="s">
        <v>22</v>
      </c>
      <c r="C710" s="23" t="s">
        <v>27</v>
      </c>
      <c r="D710" s="16" t="s">
        <v>570</v>
      </c>
      <c r="E710" s="16" t="s">
        <v>2102</v>
      </c>
      <c r="F710" s="158" t="s">
        <v>26</v>
      </c>
      <c r="G710" s="11">
        <f>F710*34</f>
        <v>0</v>
      </c>
    </row>
    <row r="711" spans="1:7" ht="15.75">
      <c r="A711" s="26" t="s">
        <v>729</v>
      </c>
      <c r="B711" s="3" t="s">
        <v>22</v>
      </c>
      <c r="C711" s="23" t="s">
        <v>29</v>
      </c>
      <c r="D711" s="16" t="s">
        <v>741</v>
      </c>
      <c r="E711" s="16" t="s">
        <v>2102</v>
      </c>
      <c r="F711" s="158" t="s">
        <v>26</v>
      </c>
      <c r="G711" s="11">
        <f>F711*21</f>
        <v>0</v>
      </c>
    </row>
    <row r="712" spans="1:7" ht="15.75">
      <c r="A712" s="26" t="s">
        <v>729</v>
      </c>
      <c r="B712" s="3" t="s">
        <v>22</v>
      </c>
      <c r="C712" s="23" t="s">
        <v>31</v>
      </c>
      <c r="D712" s="16" t="s">
        <v>43</v>
      </c>
      <c r="E712" s="16" t="s">
        <v>2102</v>
      </c>
      <c r="F712" s="158" t="s">
        <v>26</v>
      </c>
      <c r="G712" s="11">
        <f>F712*5</f>
        <v>0</v>
      </c>
    </row>
    <row r="713" spans="1:7" ht="15.75">
      <c r="A713" s="26" t="s">
        <v>729</v>
      </c>
      <c r="B713" s="3" t="s">
        <v>22</v>
      </c>
      <c r="C713" s="23" t="s">
        <v>24</v>
      </c>
      <c r="D713" s="16" t="s">
        <v>742</v>
      </c>
      <c r="E713" s="16" t="s">
        <v>2102</v>
      </c>
      <c r="F713" s="158" t="s">
        <v>26</v>
      </c>
      <c r="G713" s="11">
        <f>F713*45</f>
        <v>0</v>
      </c>
    </row>
    <row r="714" spans="1:7" ht="15.75">
      <c r="A714" s="26" t="s">
        <v>729</v>
      </c>
      <c r="B714" s="3" t="s">
        <v>22</v>
      </c>
      <c r="C714" s="23" t="s">
        <v>27</v>
      </c>
      <c r="D714" s="16" t="s">
        <v>743</v>
      </c>
      <c r="E714" s="16" t="s">
        <v>2102</v>
      </c>
      <c r="F714" s="158" t="s">
        <v>26</v>
      </c>
      <c r="G714" s="11">
        <f>F714*34</f>
        <v>0</v>
      </c>
    </row>
    <row r="715" spans="1:7" ht="15.75">
      <c r="A715" s="26" t="s">
        <v>729</v>
      </c>
      <c r="B715" s="3" t="s">
        <v>22</v>
      </c>
      <c r="C715" s="23" t="s">
        <v>29</v>
      </c>
      <c r="D715" s="16" t="s">
        <v>744</v>
      </c>
      <c r="E715" s="16" t="s">
        <v>2102</v>
      </c>
      <c r="F715" s="158" t="s">
        <v>26</v>
      </c>
      <c r="G715" s="11">
        <f>F715*21</f>
        <v>0</v>
      </c>
    </row>
    <row r="716" spans="1:7" ht="15.75">
      <c r="A716" s="26" t="s">
        <v>729</v>
      </c>
      <c r="B716" s="3" t="s">
        <v>22</v>
      </c>
      <c r="C716" s="23" t="s">
        <v>31</v>
      </c>
      <c r="D716" s="16" t="s">
        <v>745</v>
      </c>
      <c r="E716" s="16" t="s">
        <v>2102</v>
      </c>
      <c r="F716" s="158" t="s">
        <v>26</v>
      </c>
      <c r="G716" s="11">
        <f>F716*5</f>
        <v>0</v>
      </c>
    </row>
    <row r="717" spans="1:7" ht="15.75">
      <c r="A717" s="26" t="s">
        <v>729</v>
      </c>
      <c r="B717" s="3" t="s">
        <v>22</v>
      </c>
      <c r="C717" s="23" t="s">
        <v>24</v>
      </c>
      <c r="D717" s="16" t="s">
        <v>746</v>
      </c>
      <c r="E717" s="16" t="s">
        <v>2102</v>
      </c>
      <c r="F717" s="158" t="s">
        <v>26</v>
      </c>
      <c r="G717" s="11">
        <f>F717*45</f>
        <v>0</v>
      </c>
    </row>
    <row r="718" spans="1:7" ht="15.75">
      <c r="A718" s="26" t="s">
        <v>729</v>
      </c>
      <c r="B718" s="3" t="s">
        <v>22</v>
      </c>
      <c r="C718" s="23" t="s">
        <v>27</v>
      </c>
      <c r="D718" s="16" t="s">
        <v>747</v>
      </c>
      <c r="E718" s="16" t="s">
        <v>2102</v>
      </c>
      <c r="F718" s="158" t="s">
        <v>26</v>
      </c>
      <c r="G718" s="11">
        <f>F718*34</f>
        <v>0</v>
      </c>
    </row>
    <row r="719" spans="1:7" ht="15.75">
      <c r="A719" s="26" t="s">
        <v>729</v>
      </c>
      <c r="B719" s="3" t="s">
        <v>22</v>
      </c>
      <c r="C719" s="23" t="s">
        <v>29</v>
      </c>
      <c r="D719" s="16" t="s">
        <v>646</v>
      </c>
      <c r="E719" s="16" t="s">
        <v>2102</v>
      </c>
      <c r="F719" s="158" t="s">
        <v>26</v>
      </c>
      <c r="G719" s="11">
        <f>F719*21</f>
        <v>0</v>
      </c>
    </row>
    <row r="720" spans="1:7" ht="15.75">
      <c r="A720" s="26" t="s">
        <v>729</v>
      </c>
      <c r="B720" s="3" t="s">
        <v>22</v>
      </c>
      <c r="C720" s="23" t="s">
        <v>31</v>
      </c>
      <c r="D720" s="16" t="s">
        <v>748</v>
      </c>
      <c r="E720" s="16" t="s">
        <v>2102</v>
      </c>
      <c r="F720" s="158" t="s">
        <v>26</v>
      </c>
      <c r="G720" s="11">
        <f>F720*5</f>
        <v>0</v>
      </c>
    </row>
    <row r="721" spans="1:7" ht="15.75">
      <c r="A721" s="26" t="s">
        <v>729</v>
      </c>
      <c r="B721" s="3" t="s">
        <v>22</v>
      </c>
      <c r="C721" s="23" t="s">
        <v>24</v>
      </c>
      <c r="D721" s="16" t="s">
        <v>750</v>
      </c>
      <c r="E721" s="16" t="s">
        <v>2102</v>
      </c>
      <c r="F721" s="158" t="s">
        <v>26</v>
      </c>
      <c r="G721" s="11">
        <f>F721*45</f>
        <v>0</v>
      </c>
    </row>
    <row r="722" spans="1:7" ht="15.75">
      <c r="A722" s="26" t="s">
        <v>729</v>
      </c>
      <c r="B722" s="3" t="s">
        <v>22</v>
      </c>
      <c r="C722" s="23" t="s">
        <v>27</v>
      </c>
      <c r="D722" s="16" t="s">
        <v>751</v>
      </c>
      <c r="E722" s="16" t="s">
        <v>2102</v>
      </c>
      <c r="F722" s="158" t="s">
        <v>26</v>
      </c>
      <c r="G722" s="11">
        <f>F722*34</f>
        <v>0</v>
      </c>
    </row>
    <row r="723" spans="1:7" ht="15.75">
      <c r="A723" s="26" t="s">
        <v>729</v>
      </c>
      <c r="B723" s="3" t="s">
        <v>22</v>
      </c>
      <c r="C723" s="23" t="s">
        <v>29</v>
      </c>
      <c r="D723" s="16" t="s">
        <v>752</v>
      </c>
      <c r="E723" s="16" t="s">
        <v>2102</v>
      </c>
      <c r="F723" s="158" t="s">
        <v>26</v>
      </c>
      <c r="G723" s="11">
        <f>F723*21</f>
        <v>0</v>
      </c>
    </row>
    <row r="724" spans="1:7" ht="15.75">
      <c r="A724" s="26" t="s">
        <v>729</v>
      </c>
      <c r="B724" s="3" t="s">
        <v>22</v>
      </c>
      <c r="C724" s="23" t="s">
        <v>31</v>
      </c>
      <c r="D724" s="16" t="s">
        <v>753</v>
      </c>
      <c r="E724" s="16" t="s">
        <v>2102</v>
      </c>
      <c r="F724" s="158" t="s">
        <v>26</v>
      </c>
      <c r="G724" s="11">
        <f>F724*5</f>
        <v>0</v>
      </c>
    </row>
    <row r="725" spans="1:7" ht="15.75">
      <c r="A725" s="26" t="s">
        <v>754</v>
      </c>
      <c r="B725" s="3" t="s">
        <v>22</v>
      </c>
      <c r="C725" s="23" t="s">
        <v>24</v>
      </c>
      <c r="D725" s="16" t="s">
        <v>755</v>
      </c>
      <c r="E725" s="16" t="s">
        <v>2102</v>
      </c>
      <c r="F725" s="157">
        <v>512</v>
      </c>
      <c r="G725" s="11">
        <f>F725*45</f>
        <v>23040</v>
      </c>
    </row>
    <row r="726" spans="1:7" ht="15.75">
      <c r="A726" s="26" t="s">
        <v>754</v>
      </c>
      <c r="B726" s="3" t="s">
        <v>22</v>
      </c>
      <c r="C726" s="23" t="s">
        <v>27</v>
      </c>
      <c r="D726" s="16" t="s">
        <v>756</v>
      </c>
      <c r="E726" s="16" t="s">
        <v>2102</v>
      </c>
      <c r="F726" s="157">
        <v>217</v>
      </c>
      <c r="G726" s="11">
        <f>F726*34</f>
        <v>7378</v>
      </c>
    </row>
    <row r="727" spans="1:7" ht="15.75">
      <c r="A727" s="26" t="s">
        <v>754</v>
      </c>
      <c r="B727" s="3" t="s">
        <v>22</v>
      </c>
      <c r="C727" s="23" t="s">
        <v>29</v>
      </c>
      <c r="D727" s="16" t="s">
        <v>757</v>
      </c>
      <c r="E727" s="16" t="s">
        <v>2102</v>
      </c>
      <c r="F727" s="157">
        <v>594</v>
      </c>
      <c r="G727" s="11">
        <f>F727*21</f>
        <v>12474</v>
      </c>
    </row>
    <row r="728" spans="1:7" ht="15.75">
      <c r="A728" s="26" t="s">
        <v>754</v>
      </c>
      <c r="B728" s="3" t="s">
        <v>22</v>
      </c>
      <c r="C728" s="23" t="s">
        <v>31</v>
      </c>
      <c r="D728" s="16" t="s">
        <v>758</v>
      </c>
      <c r="E728" s="16" t="s">
        <v>2102</v>
      </c>
      <c r="F728" s="157">
        <v>190</v>
      </c>
      <c r="G728" s="11">
        <f>F728*5</f>
        <v>950</v>
      </c>
    </row>
    <row r="729" spans="1:7" ht="15.75">
      <c r="A729" s="26" t="s">
        <v>754</v>
      </c>
      <c r="B729" s="3" t="s">
        <v>22</v>
      </c>
      <c r="C729" s="23" t="s">
        <v>24</v>
      </c>
      <c r="D729" s="16" t="s">
        <v>759</v>
      </c>
      <c r="E729" s="16" t="s">
        <v>2102</v>
      </c>
      <c r="F729" s="158" t="s">
        <v>26</v>
      </c>
      <c r="G729" s="11">
        <f>F729*45</f>
        <v>0</v>
      </c>
    </row>
    <row r="730" spans="1:7" ht="15.75">
      <c r="A730" s="26" t="s">
        <v>754</v>
      </c>
      <c r="B730" s="3" t="s">
        <v>22</v>
      </c>
      <c r="C730" s="23" t="s">
        <v>27</v>
      </c>
      <c r="D730" s="16" t="s">
        <v>547</v>
      </c>
      <c r="E730" s="16" t="s">
        <v>2102</v>
      </c>
      <c r="F730" s="158" t="s">
        <v>26</v>
      </c>
      <c r="G730" s="11">
        <f>F730*34</f>
        <v>0</v>
      </c>
    </row>
    <row r="731" spans="1:7" ht="15.75">
      <c r="A731" s="26" t="s">
        <v>754</v>
      </c>
      <c r="B731" s="3" t="s">
        <v>22</v>
      </c>
      <c r="C731" s="23" t="s">
        <v>29</v>
      </c>
      <c r="D731" s="16" t="s">
        <v>760</v>
      </c>
      <c r="E731" s="16" t="s">
        <v>2102</v>
      </c>
      <c r="F731" s="158" t="s">
        <v>26</v>
      </c>
      <c r="G731" s="11">
        <f>F731*21</f>
        <v>0</v>
      </c>
    </row>
    <row r="732" spans="1:7" ht="15.75">
      <c r="A732" s="26" t="s">
        <v>754</v>
      </c>
      <c r="B732" s="3" t="s">
        <v>22</v>
      </c>
      <c r="C732" s="23" t="s">
        <v>31</v>
      </c>
      <c r="D732" s="16" t="s">
        <v>91</v>
      </c>
      <c r="E732" s="16" t="s">
        <v>2102</v>
      </c>
      <c r="F732" s="158" t="s">
        <v>26</v>
      </c>
      <c r="G732" s="11">
        <f>F732*5</f>
        <v>0</v>
      </c>
    </row>
    <row r="733" spans="1:7" ht="15.75">
      <c r="A733" s="26" t="s">
        <v>754</v>
      </c>
      <c r="B733" s="3" t="s">
        <v>22</v>
      </c>
      <c r="C733" s="23" t="s">
        <v>24</v>
      </c>
      <c r="D733" s="16" t="s">
        <v>138</v>
      </c>
      <c r="E733" s="16" t="s">
        <v>2102</v>
      </c>
      <c r="F733" s="158" t="s">
        <v>26</v>
      </c>
      <c r="G733" s="11">
        <f>F733*45</f>
        <v>0</v>
      </c>
    </row>
    <row r="734" spans="1:7" ht="15.75">
      <c r="A734" s="26" t="s">
        <v>754</v>
      </c>
      <c r="B734" s="3" t="s">
        <v>22</v>
      </c>
      <c r="C734" s="23" t="s">
        <v>27</v>
      </c>
      <c r="D734" s="16" t="s">
        <v>761</v>
      </c>
      <c r="E734" s="16" t="s">
        <v>2102</v>
      </c>
      <c r="F734" s="158" t="s">
        <v>26</v>
      </c>
      <c r="G734" s="11">
        <f>F734*34</f>
        <v>0</v>
      </c>
    </row>
    <row r="735" spans="1:7" ht="15.75">
      <c r="A735" s="26" t="s">
        <v>754</v>
      </c>
      <c r="B735" s="3" t="s">
        <v>22</v>
      </c>
      <c r="C735" s="23" t="s">
        <v>29</v>
      </c>
      <c r="D735" s="16" t="s">
        <v>646</v>
      </c>
      <c r="E735" s="16" t="s">
        <v>2102</v>
      </c>
      <c r="F735" s="158" t="s">
        <v>26</v>
      </c>
      <c r="G735" s="11">
        <f>F735*21</f>
        <v>0</v>
      </c>
    </row>
    <row r="736" spans="1:7" ht="15.75">
      <c r="A736" s="26" t="s">
        <v>754</v>
      </c>
      <c r="B736" s="3" t="s">
        <v>22</v>
      </c>
      <c r="C736" s="23" t="s">
        <v>31</v>
      </c>
      <c r="D736" s="16" t="s">
        <v>762</v>
      </c>
      <c r="E736" s="16" t="s">
        <v>2102</v>
      </c>
      <c r="F736" s="158" t="s">
        <v>26</v>
      </c>
      <c r="G736" s="11">
        <f>F736*5</f>
        <v>0</v>
      </c>
    </row>
    <row r="737" spans="1:7" ht="15.75">
      <c r="A737" s="26" t="s">
        <v>754</v>
      </c>
      <c r="B737" s="3" t="s">
        <v>22</v>
      </c>
      <c r="C737" s="23" t="s">
        <v>24</v>
      </c>
      <c r="D737" s="16" t="s">
        <v>763</v>
      </c>
      <c r="E737" s="16" t="s">
        <v>2102</v>
      </c>
      <c r="F737" s="158" t="s">
        <v>26</v>
      </c>
      <c r="G737" s="11">
        <f>F737*45</f>
        <v>0</v>
      </c>
    </row>
    <row r="738" spans="1:7" ht="15.75">
      <c r="A738" s="26" t="s">
        <v>754</v>
      </c>
      <c r="B738" s="3" t="s">
        <v>22</v>
      </c>
      <c r="C738" s="23" t="s">
        <v>27</v>
      </c>
      <c r="D738" s="16" t="s">
        <v>206</v>
      </c>
      <c r="E738" s="16" t="s">
        <v>2102</v>
      </c>
      <c r="F738" s="158" t="s">
        <v>26</v>
      </c>
      <c r="G738" s="11">
        <f>F738*34</f>
        <v>0</v>
      </c>
    </row>
    <row r="739" spans="1:7" ht="15.75">
      <c r="A739" s="26" t="s">
        <v>754</v>
      </c>
      <c r="B739" s="3" t="s">
        <v>22</v>
      </c>
      <c r="C739" s="23" t="s">
        <v>29</v>
      </c>
      <c r="D739" s="16" t="s">
        <v>764</v>
      </c>
      <c r="E739" s="16" t="s">
        <v>2102</v>
      </c>
      <c r="F739" s="158" t="s">
        <v>26</v>
      </c>
      <c r="G739" s="11">
        <f>F739*21</f>
        <v>0</v>
      </c>
    </row>
    <row r="740" spans="1:7" ht="15.75">
      <c r="A740" s="26" t="s">
        <v>754</v>
      </c>
      <c r="B740" s="3" t="s">
        <v>22</v>
      </c>
      <c r="C740" s="23" t="s">
        <v>31</v>
      </c>
      <c r="D740" s="16" t="s">
        <v>765</v>
      </c>
      <c r="E740" s="16" t="s">
        <v>2102</v>
      </c>
      <c r="F740" s="158" t="s">
        <v>26</v>
      </c>
      <c r="G740" s="11">
        <f>F740*5</f>
        <v>0</v>
      </c>
    </row>
    <row r="741" spans="1:7" ht="15.75">
      <c r="A741" s="26" t="s">
        <v>754</v>
      </c>
      <c r="B741" s="3" t="s">
        <v>22</v>
      </c>
      <c r="C741" s="25" t="s">
        <v>131</v>
      </c>
      <c r="D741" s="16" t="s">
        <v>766</v>
      </c>
      <c r="E741" s="16" t="s">
        <v>2102</v>
      </c>
      <c r="F741" s="157">
        <v>20</v>
      </c>
      <c r="G741" s="11">
        <f>F741*10</f>
        <v>200</v>
      </c>
    </row>
    <row r="742" spans="1:7" ht="15.75">
      <c r="A742" s="26" t="s">
        <v>754</v>
      </c>
      <c r="B742" s="3" t="s">
        <v>22</v>
      </c>
      <c r="C742" s="23" t="s">
        <v>24</v>
      </c>
      <c r="D742" s="16" t="s">
        <v>767</v>
      </c>
      <c r="E742" s="16" t="s">
        <v>2102</v>
      </c>
      <c r="F742" s="158" t="s">
        <v>26</v>
      </c>
      <c r="G742" s="11">
        <f>F742*45</f>
        <v>0</v>
      </c>
    </row>
    <row r="743" spans="1:7" ht="15.75">
      <c r="A743" s="26" t="s">
        <v>754</v>
      </c>
      <c r="B743" s="3" t="s">
        <v>22</v>
      </c>
      <c r="C743" s="23" t="s">
        <v>27</v>
      </c>
      <c r="D743" s="16" t="s">
        <v>608</v>
      </c>
      <c r="E743" s="16" t="s">
        <v>2102</v>
      </c>
      <c r="F743" s="158" t="s">
        <v>26</v>
      </c>
      <c r="G743" s="11">
        <f>F743*34</f>
        <v>0</v>
      </c>
    </row>
    <row r="744" spans="1:7" ht="15.75">
      <c r="A744" s="26" t="s">
        <v>754</v>
      </c>
      <c r="B744" s="3" t="s">
        <v>22</v>
      </c>
      <c r="C744" s="23" t="s">
        <v>29</v>
      </c>
      <c r="D744" s="16" t="s">
        <v>435</v>
      </c>
      <c r="E744" s="16" t="s">
        <v>2102</v>
      </c>
      <c r="F744" s="158" t="s">
        <v>26</v>
      </c>
      <c r="G744" s="11">
        <f>F744*21</f>
        <v>0</v>
      </c>
    </row>
    <row r="745" spans="1:7" ht="15.75">
      <c r="A745" s="26" t="s">
        <v>754</v>
      </c>
      <c r="B745" s="3" t="s">
        <v>22</v>
      </c>
      <c r="C745" s="23" t="s">
        <v>31</v>
      </c>
      <c r="D745" s="16" t="s">
        <v>120</v>
      </c>
      <c r="E745" s="16" t="s">
        <v>2102</v>
      </c>
      <c r="F745" s="158" t="s">
        <v>26</v>
      </c>
      <c r="G745" s="11">
        <f>F745*5</f>
        <v>0</v>
      </c>
    </row>
    <row r="746" spans="1:7" ht="15.75">
      <c r="A746" s="26" t="s">
        <v>754</v>
      </c>
      <c r="B746" s="3" t="s">
        <v>22</v>
      </c>
      <c r="C746" s="23" t="s">
        <v>24</v>
      </c>
      <c r="D746" s="16" t="s">
        <v>768</v>
      </c>
      <c r="E746" s="16" t="s">
        <v>2102</v>
      </c>
      <c r="F746" s="158" t="s">
        <v>26</v>
      </c>
      <c r="G746" s="11">
        <f>F746*45</f>
        <v>0</v>
      </c>
    </row>
    <row r="747" spans="1:7" ht="15.75">
      <c r="A747" s="26" t="s">
        <v>754</v>
      </c>
      <c r="B747" s="3" t="s">
        <v>22</v>
      </c>
      <c r="C747" s="23" t="s">
        <v>27</v>
      </c>
      <c r="D747" s="16" t="s">
        <v>769</v>
      </c>
      <c r="E747" s="16" t="s">
        <v>2102</v>
      </c>
      <c r="F747" s="158" t="s">
        <v>26</v>
      </c>
      <c r="G747" s="11">
        <f>F747*34</f>
        <v>0</v>
      </c>
    </row>
    <row r="748" spans="1:7" ht="15.75">
      <c r="A748" s="26" t="s">
        <v>754</v>
      </c>
      <c r="B748" s="3" t="s">
        <v>22</v>
      </c>
      <c r="C748" s="23" t="s">
        <v>29</v>
      </c>
      <c r="D748" s="16" t="s">
        <v>138</v>
      </c>
      <c r="E748" s="16" t="s">
        <v>2102</v>
      </c>
      <c r="F748" s="158" t="s">
        <v>26</v>
      </c>
      <c r="G748" s="11">
        <f>F748*21</f>
        <v>0</v>
      </c>
    </row>
    <row r="749" spans="1:7" ht="15.75">
      <c r="A749" s="26" t="s">
        <v>754</v>
      </c>
      <c r="B749" s="3" t="s">
        <v>22</v>
      </c>
      <c r="C749" s="23" t="s">
        <v>31</v>
      </c>
      <c r="D749" s="16" t="s">
        <v>770</v>
      </c>
      <c r="E749" s="16" t="s">
        <v>2102</v>
      </c>
      <c r="F749" s="158" t="s">
        <v>26</v>
      </c>
      <c r="G749" s="11">
        <f>F749*5</f>
        <v>0</v>
      </c>
    </row>
    <row r="750" spans="1:7" ht="15.75">
      <c r="A750" s="18" t="s">
        <v>771</v>
      </c>
      <c r="B750" s="3" t="s">
        <v>22</v>
      </c>
      <c r="C750" s="23" t="s">
        <v>27</v>
      </c>
      <c r="D750" s="16" t="s">
        <v>773</v>
      </c>
      <c r="E750" s="16" t="s">
        <v>2102</v>
      </c>
      <c r="F750" s="158" t="s">
        <v>26</v>
      </c>
      <c r="G750" s="11">
        <f>F750*34</f>
        <v>0</v>
      </c>
    </row>
    <row r="751" spans="1:7" ht="15.75">
      <c r="A751" s="18" t="s">
        <v>771</v>
      </c>
      <c r="B751" s="3" t="s">
        <v>22</v>
      </c>
      <c r="C751" s="23" t="s">
        <v>29</v>
      </c>
      <c r="D751" s="16" t="s">
        <v>273</v>
      </c>
      <c r="E751" s="16" t="s">
        <v>2102</v>
      </c>
      <c r="F751" s="158" t="s">
        <v>26</v>
      </c>
      <c r="G751" s="11">
        <f>F751*21</f>
        <v>0</v>
      </c>
    </row>
    <row r="752" spans="1:7" ht="15.75">
      <c r="A752" s="18" t="s">
        <v>771</v>
      </c>
      <c r="B752" s="3" t="s">
        <v>22</v>
      </c>
      <c r="C752" s="23" t="s">
        <v>31</v>
      </c>
      <c r="D752" s="16" t="s">
        <v>774</v>
      </c>
      <c r="E752" s="16" t="s">
        <v>2102</v>
      </c>
      <c r="F752" s="158" t="s">
        <v>26</v>
      </c>
      <c r="G752" s="11">
        <f>F752*5</f>
        <v>0</v>
      </c>
    </row>
    <row r="753" spans="1:7" ht="15.75">
      <c r="A753" s="18" t="s">
        <v>771</v>
      </c>
      <c r="B753" s="3" t="s">
        <v>22</v>
      </c>
      <c r="C753" s="23" t="s">
        <v>24</v>
      </c>
      <c r="D753" s="16" t="s">
        <v>775</v>
      </c>
      <c r="E753" s="16" t="s">
        <v>2102</v>
      </c>
      <c r="F753" s="157">
        <v>365</v>
      </c>
      <c r="G753" s="11">
        <f>F753*45</f>
        <v>16425</v>
      </c>
    </row>
    <row r="754" spans="1:7" ht="15.75">
      <c r="A754" s="18" t="s">
        <v>771</v>
      </c>
      <c r="B754" s="3" t="s">
        <v>22</v>
      </c>
      <c r="C754" s="23" t="s">
        <v>27</v>
      </c>
      <c r="D754" s="16" t="s">
        <v>442</v>
      </c>
      <c r="E754" s="16" t="s">
        <v>2102</v>
      </c>
      <c r="F754" s="157">
        <v>196</v>
      </c>
      <c r="G754" s="11">
        <f>F754*34</f>
        <v>6664</v>
      </c>
    </row>
    <row r="755" spans="1:7" ht="15.75">
      <c r="A755" s="18" t="s">
        <v>771</v>
      </c>
      <c r="B755" s="3" t="s">
        <v>22</v>
      </c>
      <c r="C755" s="23" t="s">
        <v>29</v>
      </c>
      <c r="D755" s="16" t="s">
        <v>776</v>
      </c>
      <c r="E755" s="16" t="s">
        <v>2102</v>
      </c>
      <c r="F755" s="157">
        <v>267</v>
      </c>
      <c r="G755" s="11">
        <f>F755*21</f>
        <v>5607</v>
      </c>
    </row>
    <row r="756" spans="1:7" ht="15.75">
      <c r="A756" s="18" t="s">
        <v>771</v>
      </c>
      <c r="B756" s="3" t="s">
        <v>22</v>
      </c>
      <c r="C756" s="23" t="s">
        <v>31</v>
      </c>
      <c r="D756" s="16" t="s">
        <v>777</v>
      </c>
      <c r="E756" s="16" t="s">
        <v>2102</v>
      </c>
      <c r="F756" s="157">
        <v>135</v>
      </c>
      <c r="G756" s="11">
        <f>F756*5</f>
        <v>675</v>
      </c>
    </row>
    <row r="757" spans="1:7" ht="15.75">
      <c r="A757" s="18" t="s">
        <v>771</v>
      </c>
      <c r="B757" s="3" t="s">
        <v>22</v>
      </c>
      <c r="C757" s="23" t="s">
        <v>24</v>
      </c>
      <c r="D757" s="16" t="s">
        <v>778</v>
      </c>
      <c r="E757" s="16" t="s">
        <v>2102</v>
      </c>
      <c r="F757" s="158" t="s">
        <v>26</v>
      </c>
      <c r="G757" s="11">
        <f>F757*45</f>
        <v>0</v>
      </c>
    </row>
    <row r="758" spans="1:7" ht="15.75">
      <c r="A758" s="18" t="s">
        <v>771</v>
      </c>
      <c r="B758" s="3" t="s">
        <v>22</v>
      </c>
      <c r="C758" s="23" t="s">
        <v>27</v>
      </c>
      <c r="D758" s="16" t="s">
        <v>575</v>
      </c>
      <c r="E758" s="16" t="s">
        <v>2102</v>
      </c>
      <c r="F758" s="158" t="s">
        <v>26</v>
      </c>
      <c r="G758" s="11">
        <f>F758*34</f>
        <v>0</v>
      </c>
    </row>
    <row r="759" spans="1:7" ht="15.75">
      <c r="A759" s="18" t="s">
        <v>771</v>
      </c>
      <c r="B759" s="3" t="s">
        <v>22</v>
      </c>
      <c r="C759" s="23" t="s">
        <v>29</v>
      </c>
      <c r="D759" s="16" t="s">
        <v>779</v>
      </c>
      <c r="E759" s="16" t="s">
        <v>2102</v>
      </c>
      <c r="F759" s="158" t="s">
        <v>26</v>
      </c>
      <c r="G759" s="11">
        <f>F759*21</f>
        <v>0</v>
      </c>
    </row>
    <row r="760" spans="1:7" ht="15.75">
      <c r="A760" s="18" t="s">
        <v>771</v>
      </c>
      <c r="B760" s="3" t="s">
        <v>22</v>
      </c>
      <c r="C760" s="23" t="s">
        <v>31</v>
      </c>
      <c r="D760" s="16" t="s">
        <v>780</v>
      </c>
      <c r="E760" s="16" t="s">
        <v>2102</v>
      </c>
      <c r="F760" s="158" t="s">
        <v>26</v>
      </c>
      <c r="G760" s="11">
        <f>F760*5</f>
        <v>0</v>
      </c>
    </row>
    <row r="761" spans="1:7" ht="15.75">
      <c r="A761" s="18" t="s">
        <v>771</v>
      </c>
      <c r="B761" s="3" t="s">
        <v>22</v>
      </c>
      <c r="C761" s="25" t="s">
        <v>131</v>
      </c>
      <c r="D761" s="16" t="s">
        <v>781</v>
      </c>
      <c r="E761" s="16" t="s">
        <v>2102</v>
      </c>
      <c r="F761" s="157">
        <v>70</v>
      </c>
      <c r="G761" s="11">
        <f>F761*10</f>
        <v>700</v>
      </c>
    </row>
    <row r="762" spans="1:7" ht="15.75">
      <c r="A762" s="18" t="s">
        <v>771</v>
      </c>
      <c r="B762" s="3" t="s">
        <v>22</v>
      </c>
      <c r="C762" s="23" t="s">
        <v>24</v>
      </c>
      <c r="D762" s="16" t="s">
        <v>782</v>
      </c>
      <c r="E762" s="16" t="s">
        <v>2102</v>
      </c>
      <c r="F762" s="158" t="s">
        <v>26</v>
      </c>
      <c r="G762" s="11">
        <f>F762*45</f>
        <v>0</v>
      </c>
    </row>
    <row r="763" spans="1:7" ht="15.75">
      <c r="A763" s="18" t="s">
        <v>771</v>
      </c>
      <c r="B763" s="3" t="s">
        <v>22</v>
      </c>
      <c r="C763" s="23" t="s">
        <v>27</v>
      </c>
      <c r="D763" s="16" t="s">
        <v>783</v>
      </c>
      <c r="E763" s="16" t="s">
        <v>2102</v>
      </c>
      <c r="F763" s="158" t="s">
        <v>26</v>
      </c>
      <c r="G763" s="11">
        <f>F763*34</f>
        <v>0</v>
      </c>
    </row>
    <row r="764" spans="1:7" ht="15.75">
      <c r="A764" s="18" t="s">
        <v>771</v>
      </c>
      <c r="B764" s="3" t="s">
        <v>22</v>
      </c>
      <c r="C764" s="23" t="s">
        <v>29</v>
      </c>
      <c r="D764" s="16" t="s">
        <v>203</v>
      </c>
      <c r="E764" s="16" t="s">
        <v>2102</v>
      </c>
      <c r="F764" s="158" t="s">
        <v>26</v>
      </c>
      <c r="G764" s="11">
        <f>F764*21</f>
        <v>0</v>
      </c>
    </row>
    <row r="765" spans="1:7" ht="15.75">
      <c r="A765" s="18" t="s">
        <v>771</v>
      </c>
      <c r="B765" s="3" t="s">
        <v>22</v>
      </c>
      <c r="C765" s="23" t="s">
        <v>31</v>
      </c>
      <c r="D765" s="16" t="s">
        <v>784</v>
      </c>
      <c r="E765" s="16" t="s">
        <v>2102</v>
      </c>
      <c r="F765" s="158" t="s">
        <v>26</v>
      </c>
      <c r="G765" s="11">
        <f>F765*5</f>
        <v>0</v>
      </c>
    </row>
    <row r="766" spans="1:7" ht="15.75">
      <c r="A766" s="18" t="s">
        <v>771</v>
      </c>
      <c r="B766" s="3" t="s">
        <v>22</v>
      </c>
      <c r="C766" s="23" t="s">
        <v>24</v>
      </c>
      <c r="D766" s="16" t="s">
        <v>785</v>
      </c>
      <c r="E766" s="16" t="s">
        <v>2102</v>
      </c>
      <c r="F766" s="158" t="s">
        <v>26</v>
      </c>
      <c r="G766" s="11">
        <f>F766*45</f>
        <v>0</v>
      </c>
    </row>
    <row r="767" spans="1:7" ht="15.75">
      <c r="A767" s="18" t="s">
        <v>771</v>
      </c>
      <c r="B767" s="3" t="s">
        <v>22</v>
      </c>
      <c r="C767" s="23" t="s">
        <v>27</v>
      </c>
      <c r="D767" s="16" t="s">
        <v>786</v>
      </c>
      <c r="E767" s="16" t="s">
        <v>2102</v>
      </c>
      <c r="F767" s="158" t="s">
        <v>26</v>
      </c>
      <c r="G767" s="11">
        <f>F767*34</f>
        <v>0</v>
      </c>
    </row>
    <row r="768" spans="1:7" ht="15.75">
      <c r="A768" s="18" t="s">
        <v>771</v>
      </c>
      <c r="B768" s="3" t="s">
        <v>22</v>
      </c>
      <c r="C768" s="23" t="s">
        <v>29</v>
      </c>
      <c r="D768" s="16" t="s">
        <v>787</v>
      </c>
      <c r="E768" s="16" t="s">
        <v>2102</v>
      </c>
      <c r="F768" s="158" t="s">
        <v>26</v>
      </c>
      <c r="G768" s="11">
        <f>F768*21</f>
        <v>0</v>
      </c>
    </row>
    <row r="769" spans="1:7" ht="15.75">
      <c r="A769" s="18" t="s">
        <v>771</v>
      </c>
      <c r="B769" s="3" t="s">
        <v>22</v>
      </c>
      <c r="C769" s="23" t="s">
        <v>31</v>
      </c>
      <c r="D769" s="16" t="s">
        <v>778</v>
      </c>
      <c r="E769" s="16" t="s">
        <v>2102</v>
      </c>
      <c r="F769" s="158" t="s">
        <v>26</v>
      </c>
      <c r="G769" s="11">
        <f>F769*5</f>
        <v>0</v>
      </c>
    </row>
    <row r="770" spans="1:7" ht="15.75">
      <c r="A770" s="18" t="s">
        <v>771</v>
      </c>
      <c r="B770" s="3" t="s">
        <v>22</v>
      </c>
      <c r="C770" s="23" t="s">
        <v>24</v>
      </c>
      <c r="D770" s="16" t="s">
        <v>788</v>
      </c>
      <c r="E770" s="16" t="s">
        <v>2102</v>
      </c>
      <c r="F770" s="158" t="s">
        <v>26</v>
      </c>
      <c r="G770" s="11">
        <f>F770*45</f>
        <v>0</v>
      </c>
    </row>
    <row r="771" spans="1:7" ht="15.75">
      <c r="A771" s="18" t="s">
        <v>771</v>
      </c>
      <c r="B771" s="3" t="s">
        <v>22</v>
      </c>
      <c r="C771" s="23" t="s">
        <v>27</v>
      </c>
      <c r="D771" s="16" t="s">
        <v>570</v>
      </c>
      <c r="E771" s="16" t="s">
        <v>2102</v>
      </c>
      <c r="F771" s="158" t="s">
        <v>26</v>
      </c>
      <c r="G771" s="11">
        <f>F771*34</f>
        <v>0</v>
      </c>
    </row>
    <row r="772" spans="1:7" ht="15.75">
      <c r="A772" s="18" t="s">
        <v>771</v>
      </c>
      <c r="B772" s="3" t="s">
        <v>22</v>
      </c>
      <c r="C772" s="23" t="s">
        <v>29</v>
      </c>
      <c r="D772" s="16" t="s">
        <v>789</v>
      </c>
      <c r="E772" s="16" t="s">
        <v>2102</v>
      </c>
      <c r="F772" s="158" t="s">
        <v>26</v>
      </c>
      <c r="G772" s="11">
        <f>F772*21</f>
        <v>0</v>
      </c>
    </row>
    <row r="773" spans="1:7" ht="15.75">
      <c r="A773" s="18" t="s">
        <v>771</v>
      </c>
      <c r="B773" s="3" t="s">
        <v>22</v>
      </c>
      <c r="C773" s="23" t="s">
        <v>31</v>
      </c>
      <c r="D773" s="16" t="s">
        <v>790</v>
      </c>
      <c r="E773" s="16" t="s">
        <v>2102</v>
      </c>
      <c r="F773" s="158" t="s">
        <v>26</v>
      </c>
      <c r="G773" s="11">
        <f>F773*5</f>
        <v>0</v>
      </c>
    </row>
    <row r="774" spans="1:7" ht="15.75">
      <c r="A774" s="26" t="s">
        <v>791</v>
      </c>
      <c r="B774" s="3" t="s">
        <v>22</v>
      </c>
      <c r="C774" s="23" t="s">
        <v>24</v>
      </c>
      <c r="D774" s="16" t="s">
        <v>792</v>
      </c>
      <c r="E774" s="16" t="s">
        <v>2102</v>
      </c>
      <c r="F774" s="158" t="s">
        <v>26</v>
      </c>
      <c r="G774" s="11">
        <f>F774*45</f>
        <v>0</v>
      </c>
    </row>
    <row r="775" spans="1:7" ht="15.75">
      <c r="A775" s="26" t="s">
        <v>791</v>
      </c>
      <c r="B775" s="3" t="s">
        <v>22</v>
      </c>
      <c r="C775" s="23" t="s">
        <v>27</v>
      </c>
      <c r="D775" s="16" t="s">
        <v>793</v>
      </c>
      <c r="E775" s="16" t="s">
        <v>2102</v>
      </c>
      <c r="F775" s="158" t="s">
        <v>26</v>
      </c>
      <c r="G775" s="11">
        <f>F775*34</f>
        <v>0</v>
      </c>
    </row>
    <row r="776" spans="1:7" ht="15.75">
      <c r="A776" s="26" t="s">
        <v>791</v>
      </c>
      <c r="B776" s="3" t="s">
        <v>22</v>
      </c>
      <c r="C776" s="25" t="s">
        <v>131</v>
      </c>
      <c r="D776" s="16" t="s">
        <v>794</v>
      </c>
      <c r="E776" s="16" t="s">
        <v>2102</v>
      </c>
      <c r="F776" s="158" t="s">
        <v>26</v>
      </c>
      <c r="G776" s="11">
        <f>F776*10</f>
        <v>0</v>
      </c>
    </row>
    <row r="777" spans="1:7" ht="15.75">
      <c r="A777" s="26" t="s">
        <v>791</v>
      </c>
      <c r="B777" s="3" t="s">
        <v>22</v>
      </c>
      <c r="C777" s="23" t="s">
        <v>29</v>
      </c>
      <c r="D777" s="16" t="s">
        <v>795</v>
      </c>
      <c r="E777" s="16" t="s">
        <v>2102</v>
      </c>
      <c r="F777" s="158" t="s">
        <v>26</v>
      </c>
      <c r="G777" s="11">
        <f>F777*21</f>
        <v>0</v>
      </c>
    </row>
    <row r="778" spans="1:7" ht="15.75">
      <c r="A778" s="26" t="s">
        <v>791</v>
      </c>
      <c r="B778" s="3" t="s">
        <v>22</v>
      </c>
      <c r="C778" s="23" t="s">
        <v>31</v>
      </c>
      <c r="D778" s="16" t="s">
        <v>289</v>
      </c>
      <c r="E778" s="16" t="s">
        <v>2102</v>
      </c>
      <c r="F778" s="158" t="s">
        <v>26</v>
      </c>
      <c r="G778" s="11">
        <f>F778*5</f>
        <v>0</v>
      </c>
    </row>
    <row r="779" spans="1:7" ht="15.75">
      <c r="A779" s="26" t="s">
        <v>791</v>
      </c>
      <c r="B779" s="3" t="s">
        <v>22</v>
      </c>
      <c r="C779" s="23" t="s">
        <v>24</v>
      </c>
      <c r="D779" s="16" t="s">
        <v>796</v>
      </c>
      <c r="E779" s="16" t="s">
        <v>2102</v>
      </c>
      <c r="F779" s="157">
        <v>296</v>
      </c>
      <c r="G779" s="11">
        <f>F779*45</f>
        <v>13320</v>
      </c>
    </row>
    <row r="780" spans="1:7" ht="15.75">
      <c r="A780" s="26" t="s">
        <v>791</v>
      </c>
      <c r="B780" s="3" t="s">
        <v>22</v>
      </c>
      <c r="C780" s="23" t="s">
        <v>27</v>
      </c>
      <c r="D780" s="16" t="s">
        <v>797</v>
      </c>
      <c r="E780" s="16" t="s">
        <v>2102</v>
      </c>
      <c r="F780" s="157">
        <v>174</v>
      </c>
      <c r="G780" s="11">
        <f>F780*34</f>
        <v>5916</v>
      </c>
    </row>
    <row r="781" spans="1:7" ht="15.75">
      <c r="A781" s="26" t="s">
        <v>791</v>
      </c>
      <c r="B781" s="3" t="s">
        <v>22</v>
      </c>
      <c r="C781" s="23" t="s">
        <v>29</v>
      </c>
      <c r="D781" s="16" t="s">
        <v>798</v>
      </c>
      <c r="E781" s="16" t="s">
        <v>2102</v>
      </c>
      <c r="F781" s="157">
        <v>683</v>
      </c>
      <c r="G781" s="11">
        <f>F781*21</f>
        <v>14343</v>
      </c>
    </row>
    <row r="782" spans="1:7" ht="15.75">
      <c r="A782" s="26" t="s">
        <v>791</v>
      </c>
      <c r="B782" s="3" t="s">
        <v>22</v>
      </c>
      <c r="C782" s="23" t="s">
        <v>31</v>
      </c>
      <c r="D782" s="16" t="s">
        <v>553</v>
      </c>
      <c r="E782" s="16" t="s">
        <v>2102</v>
      </c>
      <c r="F782" s="157">
        <v>144</v>
      </c>
      <c r="G782" s="11">
        <f>F782*5</f>
        <v>720</v>
      </c>
    </row>
    <row r="783" spans="1:7" ht="15.75">
      <c r="A783" s="26" t="s">
        <v>791</v>
      </c>
      <c r="B783" s="3" t="s">
        <v>22</v>
      </c>
      <c r="C783" s="25" t="s">
        <v>131</v>
      </c>
      <c r="D783" s="16" t="s">
        <v>262</v>
      </c>
      <c r="E783" s="16" t="s">
        <v>2102</v>
      </c>
      <c r="F783" s="157">
        <v>79</v>
      </c>
      <c r="G783" s="11">
        <f>F783*10</f>
        <v>790</v>
      </c>
    </row>
    <row r="784" spans="1:7" ht="15.75">
      <c r="A784" s="26" t="s">
        <v>791</v>
      </c>
      <c r="B784" s="3" t="s">
        <v>22</v>
      </c>
      <c r="C784" s="23" t="s">
        <v>24</v>
      </c>
      <c r="D784" s="16" t="s">
        <v>799</v>
      </c>
      <c r="E784" s="16" t="s">
        <v>2102</v>
      </c>
      <c r="F784" s="158" t="s">
        <v>26</v>
      </c>
      <c r="G784" s="11">
        <f>F784*45</f>
        <v>0</v>
      </c>
    </row>
    <row r="785" spans="1:7" ht="15.75">
      <c r="A785" s="26" t="s">
        <v>791</v>
      </c>
      <c r="B785" s="3" t="s">
        <v>22</v>
      </c>
      <c r="C785" s="23" t="s">
        <v>27</v>
      </c>
      <c r="D785" s="16" t="s">
        <v>800</v>
      </c>
      <c r="E785" s="16" t="s">
        <v>2102</v>
      </c>
      <c r="F785" s="158" t="s">
        <v>26</v>
      </c>
      <c r="G785" s="11">
        <f>F785*34</f>
        <v>0</v>
      </c>
    </row>
    <row r="786" spans="1:7" ht="15.75">
      <c r="A786" s="26" t="s">
        <v>791</v>
      </c>
      <c r="B786" s="3" t="s">
        <v>22</v>
      </c>
      <c r="C786" s="23" t="s">
        <v>29</v>
      </c>
      <c r="D786" s="16" t="s">
        <v>801</v>
      </c>
      <c r="E786" s="16" t="s">
        <v>2102</v>
      </c>
      <c r="F786" s="158" t="s">
        <v>26</v>
      </c>
      <c r="G786" s="11">
        <f>F786*21</f>
        <v>0</v>
      </c>
    </row>
    <row r="787" spans="1:7" ht="15.75">
      <c r="A787" s="26" t="s">
        <v>791</v>
      </c>
      <c r="B787" s="3" t="s">
        <v>22</v>
      </c>
      <c r="C787" s="23" t="s">
        <v>31</v>
      </c>
      <c r="D787" s="16" t="s">
        <v>802</v>
      </c>
      <c r="E787" s="16" t="s">
        <v>2102</v>
      </c>
      <c r="F787" s="158" t="s">
        <v>26</v>
      </c>
      <c r="G787" s="11">
        <f>F787*5</f>
        <v>0</v>
      </c>
    </row>
    <row r="788" spans="1:7" ht="15.75">
      <c r="A788" s="26" t="s">
        <v>803</v>
      </c>
      <c r="B788" s="3" t="s">
        <v>22</v>
      </c>
      <c r="C788" s="23" t="s">
        <v>27</v>
      </c>
      <c r="D788" s="16" t="s">
        <v>804</v>
      </c>
      <c r="E788" s="16" t="s">
        <v>2102</v>
      </c>
      <c r="F788" s="158" t="s">
        <v>26</v>
      </c>
      <c r="G788" s="11">
        <f>F788*34</f>
        <v>0</v>
      </c>
    </row>
    <row r="789" spans="1:7" ht="15.75">
      <c r="A789" s="26" t="s">
        <v>803</v>
      </c>
      <c r="B789" s="3" t="s">
        <v>22</v>
      </c>
      <c r="C789" s="23" t="s">
        <v>29</v>
      </c>
      <c r="D789" s="16" t="s">
        <v>60</v>
      </c>
      <c r="E789" s="16" t="s">
        <v>2102</v>
      </c>
      <c r="F789" s="158" t="s">
        <v>26</v>
      </c>
      <c r="G789" s="11">
        <f>F789*21</f>
        <v>0</v>
      </c>
    </row>
    <row r="790" spans="1:7" ht="15.75">
      <c r="A790" s="26" t="s">
        <v>803</v>
      </c>
      <c r="B790" s="3" t="s">
        <v>22</v>
      </c>
      <c r="C790" s="23" t="s">
        <v>31</v>
      </c>
      <c r="D790" s="16" t="s">
        <v>805</v>
      </c>
      <c r="E790" s="16" t="s">
        <v>2102</v>
      </c>
      <c r="F790" s="158" t="s">
        <v>26</v>
      </c>
      <c r="G790" s="11">
        <f>F790*5</f>
        <v>0</v>
      </c>
    </row>
    <row r="791" spans="1:7" ht="15.75">
      <c r="A791" s="26" t="s">
        <v>803</v>
      </c>
      <c r="B791" s="3" t="s">
        <v>22</v>
      </c>
      <c r="C791" s="23" t="s">
        <v>24</v>
      </c>
      <c r="D791" s="16" t="s">
        <v>806</v>
      </c>
      <c r="E791" s="16" t="s">
        <v>2102</v>
      </c>
      <c r="F791" s="157">
        <v>424</v>
      </c>
      <c r="G791" s="11">
        <f>F791*45</f>
        <v>19080</v>
      </c>
    </row>
    <row r="792" spans="1:7" ht="15.75">
      <c r="A792" s="26" t="s">
        <v>803</v>
      </c>
      <c r="B792" s="3" t="s">
        <v>22</v>
      </c>
      <c r="C792" s="23" t="s">
        <v>27</v>
      </c>
      <c r="D792" s="16" t="s">
        <v>807</v>
      </c>
      <c r="E792" s="16" t="s">
        <v>2102</v>
      </c>
      <c r="F792" s="157">
        <v>210</v>
      </c>
      <c r="G792" s="11">
        <f>F792*34</f>
        <v>7140</v>
      </c>
    </row>
    <row r="793" spans="1:7" ht="15.75">
      <c r="A793" s="26" t="s">
        <v>803</v>
      </c>
      <c r="B793" s="3" t="s">
        <v>22</v>
      </c>
      <c r="C793" s="23" t="s">
        <v>29</v>
      </c>
      <c r="D793" s="16" t="s">
        <v>808</v>
      </c>
      <c r="E793" s="16" t="s">
        <v>2102</v>
      </c>
      <c r="F793" s="157">
        <v>493</v>
      </c>
      <c r="G793" s="11">
        <f>F793*21</f>
        <v>10353</v>
      </c>
    </row>
    <row r="794" spans="1:7" ht="15.75">
      <c r="A794" s="26" t="s">
        <v>803</v>
      </c>
      <c r="B794" s="3" t="s">
        <v>22</v>
      </c>
      <c r="C794" s="23" t="s">
        <v>31</v>
      </c>
      <c r="D794" s="16" t="s">
        <v>809</v>
      </c>
      <c r="E794" s="16" t="s">
        <v>2102</v>
      </c>
      <c r="F794" s="157">
        <v>98</v>
      </c>
      <c r="G794" s="11">
        <f>F794*5</f>
        <v>490</v>
      </c>
    </row>
    <row r="795" spans="1:7" ht="15.75">
      <c r="A795" s="26" t="s">
        <v>803</v>
      </c>
      <c r="B795" s="3" t="s">
        <v>22</v>
      </c>
      <c r="C795" s="23" t="s">
        <v>24</v>
      </c>
      <c r="D795" s="16" t="s">
        <v>810</v>
      </c>
      <c r="E795" s="16" t="s">
        <v>2102</v>
      </c>
      <c r="F795" s="158" t="s">
        <v>26</v>
      </c>
      <c r="G795" s="11">
        <f>F795*45</f>
        <v>0</v>
      </c>
    </row>
    <row r="796" spans="1:7" ht="15.75">
      <c r="A796" s="26" t="s">
        <v>803</v>
      </c>
      <c r="B796" s="3" t="s">
        <v>22</v>
      </c>
      <c r="C796" s="23" t="s">
        <v>27</v>
      </c>
      <c r="D796" s="16" t="s">
        <v>811</v>
      </c>
      <c r="E796" s="16" t="s">
        <v>2102</v>
      </c>
      <c r="F796" s="158" t="s">
        <v>26</v>
      </c>
      <c r="G796" s="11">
        <f>F796*34</f>
        <v>0</v>
      </c>
    </row>
    <row r="797" spans="1:7" ht="15.75">
      <c r="A797" s="26" t="s">
        <v>803</v>
      </c>
      <c r="B797" s="3" t="s">
        <v>22</v>
      </c>
      <c r="C797" s="23" t="s">
        <v>29</v>
      </c>
      <c r="D797" s="16" t="s">
        <v>812</v>
      </c>
      <c r="E797" s="16" t="s">
        <v>2102</v>
      </c>
      <c r="F797" s="158" t="s">
        <v>26</v>
      </c>
      <c r="G797" s="11">
        <f>F797*21</f>
        <v>0</v>
      </c>
    </row>
    <row r="798" spans="1:7" ht="15.75">
      <c r="A798" s="26" t="s">
        <v>803</v>
      </c>
      <c r="B798" s="3" t="s">
        <v>22</v>
      </c>
      <c r="C798" s="23" t="s">
        <v>31</v>
      </c>
      <c r="D798" s="16" t="s">
        <v>813</v>
      </c>
      <c r="E798" s="16" t="s">
        <v>2102</v>
      </c>
      <c r="F798" s="158" t="s">
        <v>26</v>
      </c>
      <c r="G798" s="11">
        <f>F798*5</f>
        <v>0</v>
      </c>
    </row>
    <row r="799" spans="1:7" ht="15.75">
      <c r="A799" s="26" t="s">
        <v>803</v>
      </c>
      <c r="B799" s="3" t="s">
        <v>22</v>
      </c>
      <c r="C799" s="23" t="s">
        <v>24</v>
      </c>
      <c r="D799" s="16" t="s">
        <v>814</v>
      </c>
      <c r="E799" s="16" t="s">
        <v>2102</v>
      </c>
      <c r="F799" s="158" t="s">
        <v>26</v>
      </c>
      <c r="G799" s="11">
        <f>F799*45</f>
        <v>0</v>
      </c>
    </row>
    <row r="800" spans="1:7" ht="15.75">
      <c r="A800" s="26" t="s">
        <v>803</v>
      </c>
      <c r="B800" s="3" t="s">
        <v>22</v>
      </c>
      <c r="C800" s="23" t="s">
        <v>27</v>
      </c>
      <c r="D800" s="16" t="s">
        <v>815</v>
      </c>
      <c r="E800" s="16" t="s">
        <v>2102</v>
      </c>
      <c r="F800" s="158" t="s">
        <v>26</v>
      </c>
      <c r="G800" s="11">
        <f>F800*34</f>
        <v>0</v>
      </c>
    </row>
    <row r="801" spans="1:7" ht="15.75">
      <c r="A801" s="26" t="s">
        <v>803</v>
      </c>
      <c r="B801" s="3" t="s">
        <v>22</v>
      </c>
      <c r="C801" s="23" t="s">
        <v>29</v>
      </c>
      <c r="D801" s="16" t="s">
        <v>533</v>
      </c>
      <c r="E801" s="16" t="s">
        <v>2102</v>
      </c>
      <c r="F801" s="158" t="s">
        <v>26</v>
      </c>
      <c r="G801" s="11">
        <f>F801*21</f>
        <v>0</v>
      </c>
    </row>
    <row r="802" spans="1:7" ht="15.75">
      <c r="A802" s="26" t="s">
        <v>803</v>
      </c>
      <c r="B802" s="3" t="s">
        <v>22</v>
      </c>
      <c r="C802" s="23" t="s">
        <v>31</v>
      </c>
      <c r="D802" s="16" t="s">
        <v>816</v>
      </c>
      <c r="E802" s="16" t="s">
        <v>2102</v>
      </c>
      <c r="F802" s="158" t="s">
        <v>26</v>
      </c>
      <c r="G802" s="11">
        <f>F802*5</f>
        <v>0</v>
      </c>
    </row>
    <row r="803" spans="1:7" ht="15.75">
      <c r="A803" s="26" t="s">
        <v>803</v>
      </c>
      <c r="B803" s="3" t="s">
        <v>22</v>
      </c>
      <c r="C803" s="25" t="s">
        <v>131</v>
      </c>
      <c r="D803" s="16" t="s">
        <v>817</v>
      </c>
      <c r="E803" s="16" t="s">
        <v>2102</v>
      </c>
      <c r="F803" s="157">
        <v>15</v>
      </c>
      <c r="G803" s="11">
        <f>F803*10</f>
        <v>150</v>
      </c>
    </row>
    <row r="804" spans="1:7" ht="15.75">
      <c r="A804" s="26" t="s">
        <v>803</v>
      </c>
      <c r="B804" s="3" t="s">
        <v>22</v>
      </c>
      <c r="C804" s="23" t="s">
        <v>24</v>
      </c>
      <c r="D804" s="16" t="s">
        <v>818</v>
      </c>
      <c r="E804" s="16" t="s">
        <v>2102</v>
      </c>
      <c r="F804" s="158" t="s">
        <v>26</v>
      </c>
      <c r="G804" s="11">
        <f>F804*45</f>
        <v>0</v>
      </c>
    </row>
    <row r="805" spans="1:7" ht="15.75">
      <c r="A805" s="26" t="s">
        <v>803</v>
      </c>
      <c r="B805" s="3" t="s">
        <v>22</v>
      </c>
      <c r="C805" s="23" t="s">
        <v>27</v>
      </c>
      <c r="D805" s="16" t="s">
        <v>819</v>
      </c>
      <c r="E805" s="16" t="s">
        <v>2102</v>
      </c>
      <c r="F805" s="158" t="s">
        <v>26</v>
      </c>
      <c r="G805" s="11">
        <f>F805*34</f>
        <v>0</v>
      </c>
    </row>
    <row r="806" spans="1:7" ht="15.75">
      <c r="A806" s="26" t="s">
        <v>803</v>
      </c>
      <c r="B806" s="3" t="s">
        <v>22</v>
      </c>
      <c r="C806" s="23" t="s">
        <v>29</v>
      </c>
      <c r="D806" s="16" t="s">
        <v>820</v>
      </c>
      <c r="E806" s="16" t="s">
        <v>2102</v>
      </c>
      <c r="F806" s="158" t="s">
        <v>26</v>
      </c>
      <c r="G806" s="11">
        <f>F806*21</f>
        <v>0</v>
      </c>
    </row>
    <row r="807" spans="1:7" ht="15.75">
      <c r="A807" s="26" t="s">
        <v>803</v>
      </c>
      <c r="B807" s="3" t="s">
        <v>22</v>
      </c>
      <c r="C807" s="23" t="s">
        <v>31</v>
      </c>
      <c r="D807" s="16" t="s">
        <v>821</v>
      </c>
      <c r="E807" s="16" t="s">
        <v>2102</v>
      </c>
      <c r="F807" s="158" t="s">
        <v>26</v>
      </c>
      <c r="G807" s="11">
        <f>F807*5</f>
        <v>0</v>
      </c>
    </row>
    <row r="808" spans="1:7" ht="15.75">
      <c r="A808" s="26" t="s">
        <v>803</v>
      </c>
      <c r="B808" s="3" t="s">
        <v>22</v>
      </c>
      <c r="C808" s="23" t="s">
        <v>24</v>
      </c>
      <c r="D808" s="16" t="s">
        <v>643</v>
      </c>
      <c r="E808" s="16" t="s">
        <v>2102</v>
      </c>
      <c r="F808" s="158" t="s">
        <v>26</v>
      </c>
      <c r="G808" s="11">
        <f>F808*45</f>
        <v>0</v>
      </c>
    </row>
    <row r="809" spans="1:7" ht="15.75">
      <c r="A809" s="26" t="s">
        <v>803</v>
      </c>
      <c r="B809" s="3" t="s">
        <v>22</v>
      </c>
      <c r="C809" s="23" t="s">
        <v>27</v>
      </c>
      <c r="D809" s="16" t="s">
        <v>469</v>
      </c>
      <c r="E809" s="16" t="s">
        <v>2102</v>
      </c>
      <c r="F809" s="158" t="s">
        <v>26</v>
      </c>
      <c r="G809" s="11">
        <f>F809*34</f>
        <v>0</v>
      </c>
    </row>
    <row r="810" spans="1:7" ht="15.75">
      <c r="A810" s="26" t="s">
        <v>803</v>
      </c>
      <c r="B810" s="3" t="s">
        <v>22</v>
      </c>
      <c r="C810" s="23" t="s">
        <v>29</v>
      </c>
      <c r="D810" s="16" t="s">
        <v>822</v>
      </c>
      <c r="E810" s="16" t="s">
        <v>2102</v>
      </c>
      <c r="F810" s="158" t="s">
        <v>26</v>
      </c>
      <c r="G810" s="11">
        <f>F810*21</f>
        <v>0</v>
      </c>
    </row>
    <row r="811" spans="1:7" ht="15.75">
      <c r="A811" s="26" t="s">
        <v>803</v>
      </c>
      <c r="B811" s="3" t="s">
        <v>22</v>
      </c>
      <c r="C811" s="23" t="s">
        <v>31</v>
      </c>
      <c r="D811" s="16" t="s">
        <v>823</v>
      </c>
      <c r="E811" s="16" t="s">
        <v>2102</v>
      </c>
      <c r="F811" s="158" t="s">
        <v>26</v>
      </c>
      <c r="G811" s="11">
        <f>F811*5</f>
        <v>0</v>
      </c>
    </row>
    <row r="812" spans="1:7" ht="15.75">
      <c r="A812" s="18" t="s">
        <v>824</v>
      </c>
      <c r="B812" s="3" t="s">
        <v>22</v>
      </c>
      <c r="C812" s="23" t="s">
        <v>24</v>
      </c>
      <c r="D812" s="16" t="s">
        <v>825</v>
      </c>
      <c r="E812" s="16" t="s">
        <v>2102</v>
      </c>
      <c r="F812" s="157">
        <v>375</v>
      </c>
      <c r="G812" s="11">
        <f>F812*45</f>
        <v>16875</v>
      </c>
    </row>
    <row r="813" spans="1:7" ht="15.75">
      <c r="A813" s="18" t="s">
        <v>824</v>
      </c>
      <c r="B813" s="3" t="s">
        <v>22</v>
      </c>
      <c r="C813" s="23" t="s">
        <v>27</v>
      </c>
      <c r="D813" s="16" t="s">
        <v>826</v>
      </c>
      <c r="E813" s="16" t="s">
        <v>2102</v>
      </c>
      <c r="F813" s="157">
        <v>141</v>
      </c>
      <c r="G813" s="11">
        <f>F813*34</f>
        <v>4794</v>
      </c>
    </row>
    <row r="814" spans="1:7" ht="15.75">
      <c r="A814" s="18" t="s">
        <v>824</v>
      </c>
      <c r="B814" s="3" t="s">
        <v>22</v>
      </c>
      <c r="C814" s="23" t="s">
        <v>29</v>
      </c>
      <c r="D814" s="16" t="s">
        <v>827</v>
      </c>
      <c r="E814" s="16" t="s">
        <v>2102</v>
      </c>
      <c r="F814" s="157">
        <v>411</v>
      </c>
      <c r="G814" s="11">
        <f>F814*21</f>
        <v>8631</v>
      </c>
    </row>
    <row r="815" spans="1:7" ht="15.75">
      <c r="A815" s="18" t="s">
        <v>824</v>
      </c>
      <c r="B815" s="3" t="s">
        <v>22</v>
      </c>
      <c r="C815" s="23" t="s">
        <v>31</v>
      </c>
      <c r="D815" s="16" t="s">
        <v>828</v>
      </c>
      <c r="E815" s="16" t="s">
        <v>2102</v>
      </c>
      <c r="F815" s="157">
        <v>87</v>
      </c>
      <c r="G815" s="11">
        <f>F815*5</f>
        <v>435</v>
      </c>
    </row>
    <row r="816" spans="1:7" ht="15.75">
      <c r="A816" s="18" t="s">
        <v>824</v>
      </c>
      <c r="B816" s="3" t="s">
        <v>22</v>
      </c>
      <c r="C816" s="25" t="s">
        <v>131</v>
      </c>
      <c r="D816" s="16" t="s">
        <v>286</v>
      </c>
      <c r="E816" s="16" t="s">
        <v>2102</v>
      </c>
      <c r="F816" s="157">
        <v>19</v>
      </c>
      <c r="G816" s="11">
        <f>F816*10</f>
        <v>190</v>
      </c>
    </row>
    <row r="817" spans="1:7" ht="15.75">
      <c r="A817" s="18" t="s">
        <v>824</v>
      </c>
      <c r="B817" s="3" t="s">
        <v>22</v>
      </c>
      <c r="C817" s="23" t="s">
        <v>24</v>
      </c>
      <c r="D817" s="16" t="s">
        <v>829</v>
      </c>
      <c r="E817" s="16" t="s">
        <v>2102</v>
      </c>
      <c r="F817" s="158" t="s">
        <v>26</v>
      </c>
      <c r="G817" s="11">
        <f>F817*45</f>
        <v>0</v>
      </c>
    </row>
    <row r="818" spans="1:7" ht="15.75">
      <c r="A818" s="18" t="s">
        <v>824</v>
      </c>
      <c r="B818" s="3" t="s">
        <v>22</v>
      </c>
      <c r="C818" s="23" t="s">
        <v>27</v>
      </c>
      <c r="D818" s="16" t="s">
        <v>830</v>
      </c>
      <c r="E818" s="16" t="s">
        <v>2102</v>
      </c>
      <c r="F818" s="158" t="s">
        <v>26</v>
      </c>
      <c r="G818" s="11">
        <f>F818*34</f>
        <v>0</v>
      </c>
    </row>
    <row r="819" spans="1:7" ht="15.75">
      <c r="A819" s="18" t="s">
        <v>824</v>
      </c>
      <c r="B819" s="3" t="s">
        <v>22</v>
      </c>
      <c r="C819" s="23" t="s">
        <v>29</v>
      </c>
      <c r="D819" s="16" t="s">
        <v>203</v>
      </c>
      <c r="E819" s="16" t="s">
        <v>2102</v>
      </c>
      <c r="F819" s="158" t="s">
        <v>26</v>
      </c>
      <c r="G819" s="11">
        <f>F819*21</f>
        <v>0</v>
      </c>
    </row>
    <row r="820" spans="1:7" ht="15.75">
      <c r="A820" s="18" t="s">
        <v>824</v>
      </c>
      <c r="B820" s="3" t="s">
        <v>22</v>
      </c>
      <c r="C820" s="23" t="s">
        <v>31</v>
      </c>
      <c r="D820" s="16" t="s">
        <v>159</v>
      </c>
      <c r="E820" s="16" t="s">
        <v>2102</v>
      </c>
      <c r="F820" s="158" t="s">
        <v>26</v>
      </c>
      <c r="G820" s="11">
        <f>F820*5</f>
        <v>0</v>
      </c>
    </row>
    <row r="821" spans="1:7" ht="15.75">
      <c r="A821" s="18" t="s">
        <v>824</v>
      </c>
      <c r="B821" s="3" t="s">
        <v>22</v>
      </c>
      <c r="C821" s="23" t="s">
        <v>24</v>
      </c>
      <c r="D821" s="16" t="s">
        <v>831</v>
      </c>
      <c r="E821" s="16" t="s">
        <v>2102</v>
      </c>
      <c r="F821" s="158" t="s">
        <v>26</v>
      </c>
      <c r="G821" s="11">
        <f>F821*45</f>
        <v>0</v>
      </c>
    </row>
    <row r="822" spans="1:7" ht="15.75">
      <c r="A822" s="18" t="s">
        <v>824</v>
      </c>
      <c r="B822" s="3" t="s">
        <v>22</v>
      </c>
      <c r="C822" s="23" t="s">
        <v>27</v>
      </c>
      <c r="D822" s="16" t="s">
        <v>32</v>
      </c>
      <c r="E822" s="16" t="s">
        <v>2102</v>
      </c>
      <c r="F822" s="158" t="s">
        <v>26</v>
      </c>
      <c r="G822" s="11">
        <f>F822*34</f>
        <v>0</v>
      </c>
    </row>
    <row r="823" spans="1:7" ht="15.75">
      <c r="A823" s="18" t="s">
        <v>824</v>
      </c>
      <c r="B823" s="3" t="s">
        <v>22</v>
      </c>
      <c r="C823" s="23" t="s">
        <v>29</v>
      </c>
      <c r="D823" s="16" t="s">
        <v>832</v>
      </c>
      <c r="E823" s="16" t="s">
        <v>2102</v>
      </c>
      <c r="F823" s="158" t="s">
        <v>26</v>
      </c>
      <c r="G823" s="11">
        <f>F823*21</f>
        <v>0</v>
      </c>
    </row>
    <row r="824" spans="1:7" ht="15.75">
      <c r="A824" s="18" t="s">
        <v>824</v>
      </c>
      <c r="B824" s="3" t="s">
        <v>22</v>
      </c>
      <c r="C824" s="23" t="s">
        <v>31</v>
      </c>
      <c r="D824" s="16" t="s">
        <v>833</v>
      </c>
      <c r="E824" s="16" t="s">
        <v>2102</v>
      </c>
      <c r="F824" s="158" t="s">
        <v>26</v>
      </c>
      <c r="G824" s="11">
        <f>F824*5</f>
        <v>0</v>
      </c>
    </row>
    <row r="825" spans="1:7" ht="15.75">
      <c r="A825" s="18" t="s">
        <v>834</v>
      </c>
      <c r="B825" s="3" t="s">
        <v>22</v>
      </c>
      <c r="C825" s="23" t="s">
        <v>27</v>
      </c>
      <c r="D825" s="16" t="s">
        <v>835</v>
      </c>
      <c r="E825" s="16" t="s">
        <v>2102</v>
      </c>
      <c r="F825" s="158" t="s">
        <v>26</v>
      </c>
      <c r="G825" s="11">
        <f>F825*34</f>
        <v>0</v>
      </c>
    </row>
    <row r="826" spans="1:7" ht="15.75">
      <c r="A826" s="18" t="s">
        <v>834</v>
      </c>
      <c r="B826" s="3" t="s">
        <v>22</v>
      </c>
      <c r="C826" s="23" t="s">
        <v>29</v>
      </c>
      <c r="D826" s="16" t="s">
        <v>836</v>
      </c>
      <c r="E826" s="16" t="s">
        <v>2102</v>
      </c>
      <c r="F826" s="158" t="s">
        <v>26</v>
      </c>
      <c r="G826" s="11">
        <f>F826*21</f>
        <v>0</v>
      </c>
    </row>
    <row r="827" spans="1:7" ht="15.75">
      <c r="A827" s="18" t="s">
        <v>834</v>
      </c>
      <c r="B827" s="3" t="s">
        <v>22</v>
      </c>
      <c r="C827" s="23" t="s">
        <v>31</v>
      </c>
      <c r="D827" s="16" t="s">
        <v>837</v>
      </c>
      <c r="E827" s="16" t="s">
        <v>2102</v>
      </c>
      <c r="F827" s="158" t="s">
        <v>26</v>
      </c>
      <c r="G827" s="11">
        <f>F827*5</f>
        <v>0</v>
      </c>
    </row>
    <row r="828" spans="1:7" ht="15.75">
      <c r="A828" s="18" t="s">
        <v>834</v>
      </c>
      <c r="B828" s="3" t="s">
        <v>22</v>
      </c>
      <c r="C828" s="23" t="s">
        <v>24</v>
      </c>
      <c r="D828" s="16" t="s">
        <v>838</v>
      </c>
      <c r="E828" s="16" t="s">
        <v>2102</v>
      </c>
      <c r="F828" s="157">
        <v>431</v>
      </c>
      <c r="G828" s="11">
        <f>F828*45</f>
        <v>19395</v>
      </c>
    </row>
    <row r="829" spans="1:7" ht="15.75">
      <c r="A829" s="18" t="s">
        <v>834</v>
      </c>
      <c r="B829" s="3" t="s">
        <v>22</v>
      </c>
      <c r="C829" s="23" t="s">
        <v>27</v>
      </c>
      <c r="D829" s="16" t="s">
        <v>839</v>
      </c>
      <c r="E829" s="16" t="s">
        <v>2102</v>
      </c>
      <c r="F829" s="157">
        <v>224</v>
      </c>
      <c r="G829" s="11">
        <f>F829*34</f>
        <v>7616</v>
      </c>
    </row>
    <row r="830" spans="1:7" ht="15.75">
      <c r="A830" s="18" t="s">
        <v>834</v>
      </c>
      <c r="B830" s="3" t="s">
        <v>22</v>
      </c>
      <c r="C830" s="23" t="s">
        <v>29</v>
      </c>
      <c r="D830" s="16" t="s">
        <v>840</v>
      </c>
      <c r="E830" s="16" t="s">
        <v>2102</v>
      </c>
      <c r="F830" s="157">
        <v>342</v>
      </c>
      <c r="G830" s="11">
        <f>F830*21</f>
        <v>7182</v>
      </c>
    </row>
    <row r="831" spans="1:7" ht="15.75">
      <c r="A831" s="18" t="s">
        <v>834</v>
      </c>
      <c r="B831" s="3" t="s">
        <v>22</v>
      </c>
      <c r="C831" s="23" t="s">
        <v>31</v>
      </c>
      <c r="D831" s="16" t="s">
        <v>841</v>
      </c>
      <c r="E831" s="16" t="s">
        <v>2102</v>
      </c>
      <c r="F831" s="157">
        <v>96</v>
      </c>
      <c r="G831" s="11">
        <f>F831*5</f>
        <v>480</v>
      </c>
    </row>
    <row r="832" spans="1:7" ht="15.75">
      <c r="A832" s="18" t="s">
        <v>834</v>
      </c>
      <c r="B832" s="3" t="s">
        <v>22</v>
      </c>
      <c r="C832" s="23" t="s">
        <v>24</v>
      </c>
      <c r="D832" s="16" t="s">
        <v>404</v>
      </c>
      <c r="E832" s="16" t="s">
        <v>2102</v>
      </c>
      <c r="F832" s="158" t="s">
        <v>26</v>
      </c>
      <c r="G832" s="11">
        <f>F832*45</f>
        <v>0</v>
      </c>
    </row>
    <row r="833" spans="1:7" ht="15.75">
      <c r="A833" s="18" t="s">
        <v>834</v>
      </c>
      <c r="B833" s="3" t="s">
        <v>22</v>
      </c>
      <c r="C833" s="23" t="s">
        <v>27</v>
      </c>
      <c r="D833" s="16" t="s">
        <v>842</v>
      </c>
      <c r="E833" s="16" t="s">
        <v>2102</v>
      </c>
      <c r="F833" s="158" t="s">
        <v>26</v>
      </c>
      <c r="G833" s="11">
        <f>F833*34</f>
        <v>0</v>
      </c>
    </row>
    <row r="834" spans="1:7" ht="15.75">
      <c r="A834" s="18" t="s">
        <v>834</v>
      </c>
      <c r="B834" s="3" t="s">
        <v>22</v>
      </c>
      <c r="C834" s="23" t="s">
        <v>29</v>
      </c>
      <c r="D834" s="16" t="s">
        <v>843</v>
      </c>
      <c r="E834" s="16" t="s">
        <v>2102</v>
      </c>
      <c r="F834" s="158" t="s">
        <v>26</v>
      </c>
      <c r="G834" s="11">
        <f>F834*21</f>
        <v>0</v>
      </c>
    </row>
    <row r="835" spans="1:7" ht="15.75">
      <c r="A835" s="18" t="s">
        <v>834</v>
      </c>
      <c r="B835" s="3" t="s">
        <v>22</v>
      </c>
      <c r="C835" s="23" t="s">
        <v>31</v>
      </c>
      <c r="D835" s="16" t="s">
        <v>844</v>
      </c>
      <c r="E835" s="16" t="s">
        <v>2102</v>
      </c>
      <c r="F835" s="158" t="s">
        <v>26</v>
      </c>
      <c r="G835" s="11">
        <f>F835*5</f>
        <v>0</v>
      </c>
    </row>
    <row r="836" spans="1:7" ht="15.75">
      <c r="A836" s="18" t="s">
        <v>834</v>
      </c>
      <c r="B836" s="3" t="s">
        <v>22</v>
      </c>
      <c r="C836" s="23" t="s">
        <v>24</v>
      </c>
      <c r="D836" s="16" t="s">
        <v>845</v>
      </c>
      <c r="E836" s="16" t="s">
        <v>2102</v>
      </c>
      <c r="F836" s="158" t="s">
        <v>26</v>
      </c>
      <c r="G836" s="11">
        <f>F836*45</f>
        <v>0</v>
      </c>
    </row>
    <row r="837" spans="1:7" ht="15.75">
      <c r="A837" s="18" t="s">
        <v>834</v>
      </c>
      <c r="B837" s="3" t="s">
        <v>22</v>
      </c>
      <c r="C837" s="23" t="s">
        <v>27</v>
      </c>
      <c r="D837" s="16" t="s">
        <v>846</v>
      </c>
      <c r="E837" s="16" t="s">
        <v>2102</v>
      </c>
      <c r="F837" s="158" t="s">
        <v>26</v>
      </c>
      <c r="G837" s="11">
        <f>F837*34</f>
        <v>0</v>
      </c>
    </row>
    <row r="838" spans="1:7" ht="15.75">
      <c r="A838" s="18" t="s">
        <v>834</v>
      </c>
      <c r="B838" s="3" t="s">
        <v>22</v>
      </c>
      <c r="C838" s="23" t="s">
        <v>29</v>
      </c>
      <c r="D838" s="16" t="s">
        <v>847</v>
      </c>
      <c r="E838" s="16" t="s">
        <v>2102</v>
      </c>
      <c r="F838" s="158" t="s">
        <v>26</v>
      </c>
      <c r="G838" s="11">
        <f>F838*21</f>
        <v>0</v>
      </c>
    </row>
    <row r="839" spans="1:7" ht="15.75">
      <c r="A839" s="18" t="s">
        <v>834</v>
      </c>
      <c r="B839" s="3" t="s">
        <v>22</v>
      </c>
      <c r="C839" s="23" t="s">
        <v>31</v>
      </c>
      <c r="D839" s="16" t="s">
        <v>848</v>
      </c>
      <c r="E839" s="16" t="s">
        <v>2102</v>
      </c>
      <c r="F839" s="158" t="s">
        <v>26</v>
      </c>
      <c r="G839" s="11">
        <f>F839*5</f>
        <v>0</v>
      </c>
    </row>
    <row r="840" spans="1:7" ht="15.75">
      <c r="A840" s="18" t="s">
        <v>834</v>
      </c>
      <c r="B840" s="3" t="s">
        <v>22</v>
      </c>
      <c r="C840" s="25" t="s">
        <v>131</v>
      </c>
      <c r="D840" s="16" t="s">
        <v>696</v>
      </c>
      <c r="E840" s="16" t="s">
        <v>2102</v>
      </c>
      <c r="F840" s="157">
        <v>324</v>
      </c>
      <c r="G840" s="11">
        <f>F840*10</f>
        <v>3240</v>
      </c>
    </row>
    <row r="841" spans="1:7" ht="15.75">
      <c r="A841" s="18" t="s">
        <v>834</v>
      </c>
      <c r="B841" s="3" t="s">
        <v>22</v>
      </c>
      <c r="C841" s="23" t="s">
        <v>24</v>
      </c>
      <c r="D841" s="16" t="s">
        <v>849</v>
      </c>
      <c r="E841" s="16" t="s">
        <v>2102</v>
      </c>
      <c r="F841" s="158" t="s">
        <v>26</v>
      </c>
      <c r="G841" s="11">
        <f>F841*45</f>
        <v>0</v>
      </c>
    </row>
    <row r="842" spans="1:7" ht="15.75">
      <c r="A842" s="18" t="s">
        <v>834</v>
      </c>
      <c r="B842" s="3" t="s">
        <v>22</v>
      </c>
      <c r="C842" s="23" t="s">
        <v>27</v>
      </c>
      <c r="D842" s="16" t="s">
        <v>361</v>
      </c>
      <c r="E842" s="16" t="s">
        <v>2102</v>
      </c>
      <c r="F842" s="158" t="s">
        <v>26</v>
      </c>
      <c r="G842" s="11">
        <f>F842*34</f>
        <v>0</v>
      </c>
    </row>
    <row r="843" spans="1:7" ht="15.75">
      <c r="A843" s="18" t="s">
        <v>834</v>
      </c>
      <c r="B843" s="3" t="s">
        <v>22</v>
      </c>
      <c r="C843" s="23" t="s">
        <v>29</v>
      </c>
      <c r="D843" s="16" t="s">
        <v>850</v>
      </c>
      <c r="E843" s="16" t="s">
        <v>2102</v>
      </c>
      <c r="F843" s="158" t="s">
        <v>26</v>
      </c>
      <c r="G843" s="11">
        <f>F843*21</f>
        <v>0</v>
      </c>
    </row>
    <row r="844" spans="1:7" ht="15.75">
      <c r="A844" s="18" t="s">
        <v>834</v>
      </c>
      <c r="B844" s="3" t="s">
        <v>22</v>
      </c>
      <c r="C844" s="23" t="s">
        <v>31</v>
      </c>
      <c r="D844" s="16" t="s">
        <v>851</v>
      </c>
      <c r="E844" s="16" t="s">
        <v>2102</v>
      </c>
      <c r="F844" s="158" t="s">
        <v>26</v>
      </c>
      <c r="G844" s="11">
        <f>F844*5</f>
        <v>0</v>
      </c>
    </row>
    <row r="845" spans="1:7" ht="15.75">
      <c r="A845" s="26" t="s">
        <v>852</v>
      </c>
      <c r="B845" s="3" t="s">
        <v>22</v>
      </c>
      <c r="C845" s="23" t="s">
        <v>24</v>
      </c>
      <c r="D845" s="16" t="s">
        <v>853</v>
      </c>
      <c r="E845" s="16" t="s">
        <v>2102</v>
      </c>
      <c r="F845" s="158" t="s">
        <v>26</v>
      </c>
      <c r="G845" s="11">
        <f>F845*45</f>
        <v>0</v>
      </c>
    </row>
    <row r="846" spans="1:7" ht="15.75">
      <c r="A846" s="26" t="s">
        <v>852</v>
      </c>
      <c r="B846" s="3" t="s">
        <v>22</v>
      </c>
      <c r="C846" s="23" t="s">
        <v>27</v>
      </c>
      <c r="D846" s="16" t="s">
        <v>854</v>
      </c>
      <c r="E846" s="16" t="s">
        <v>2102</v>
      </c>
      <c r="F846" s="158" t="s">
        <v>26</v>
      </c>
      <c r="G846" s="11">
        <f>F846*34</f>
        <v>0</v>
      </c>
    </row>
    <row r="847" spans="1:7" ht="15.75">
      <c r="A847" s="26" t="s">
        <v>852</v>
      </c>
      <c r="B847" s="3" t="s">
        <v>22</v>
      </c>
      <c r="C847" s="23" t="s">
        <v>29</v>
      </c>
      <c r="D847" s="16" t="s">
        <v>855</v>
      </c>
      <c r="E847" s="16" t="s">
        <v>2102</v>
      </c>
      <c r="F847" s="158" t="s">
        <v>26</v>
      </c>
      <c r="G847" s="11">
        <f>F847*21</f>
        <v>0</v>
      </c>
    </row>
    <row r="848" spans="1:7" ht="15.75">
      <c r="A848" s="26" t="s">
        <v>852</v>
      </c>
      <c r="B848" s="3" t="s">
        <v>22</v>
      </c>
      <c r="C848" s="23" t="s">
        <v>31</v>
      </c>
      <c r="D848" s="16" t="s">
        <v>856</v>
      </c>
      <c r="E848" s="16" t="s">
        <v>2102</v>
      </c>
      <c r="F848" s="158" t="s">
        <v>26</v>
      </c>
      <c r="G848" s="11">
        <f>F848*5</f>
        <v>0</v>
      </c>
    </row>
    <row r="849" spans="1:7" ht="15.75">
      <c r="A849" s="26" t="s">
        <v>852</v>
      </c>
      <c r="B849" s="3" t="s">
        <v>22</v>
      </c>
      <c r="C849" s="23" t="s">
        <v>24</v>
      </c>
      <c r="D849" s="16" t="s">
        <v>343</v>
      </c>
      <c r="E849" s="16" t="s">
        <v>2102</v>
      </c>
      <c r="F849" s="158" t="s">
        <v>26</v>
      </c>
      <c r="G849" s="11">
        <f>F849*45</f>
        <v>0</v>
      </c>
    </row>
    <row r="850" spans="1:7" ht="15.75">
      <c r="A850" s="26" t="s">
        <v>852</v>
      </c>
      <c r="B850" s="3" t="s">
        <v>22</v>
      </c>
      <c r="C850" s="23" t="s">
        <v>27</v>
      </c>
      <c r="D850" s="16" t="s">
        <v>857</v>
      </c>
      <c r="E850" s="16" t="s">
        <v>2102</v>
      </c>
      <c r="F850" s="158" t="s">
        <v>26</v>
      </c>
      <c r="G850" s="11">
        <f>F850*34</f>
        <v>0</v>
      </c>
    </row>
    <row r="851" spans="1:7" ht="15.75">
      <c r="A851" s="26" t="s">
        <v>852</v>
      </c>
      <c r="B851" s="3" t="s">
        <v>22</v>
      </c>
      <c r="C851" s="23" t="s">
        <v>29</v>
      </c>
      <c r="D851" s="16" t="s">
        <v>858</v>
      </c>
      <c r="E851" s="16" t="s">
        <v>2102</v>
      </c>
      <c r="F851" s="158" t="s">
        <v>26</v>
      </c>
      <c r="G851" s="11">
        <f>F851*21</f>
        <v>0</v>
      </c>
    </row>
    <row r="852" spans="1:7" ht="15.75">
      <c r="A852" s="26" t="s">
        <v>852</v>
      </c>
      <c r="B852" s="3" t="s">
        <v>22</v>
      </c>
      <c r="C852" s="23" t="s">
        <v>31</v>
      </c>
      <c r="D852" s="16" t="s">
        <v>859</v>
      </c>
      <c r="E852" s="16" t="s">
        <v>2102</v>
      </c>
      <c r="F852" s="158" t="s">
        <v>26</v>
      </c>
      <c r="G852" s="11">
        <f>F852*5</f>
        <v>0</v>
      </c>
    </row>
    <row r="853" spans="1:7" ht="15.75">
      <c r="A853" s="26" t="s">
        <v>852</v>
      </c>
      <c r="B853" s="3" t="s">
        <v>22</v>
      </c>
      <c r="C853" s="25" t="s">
        <v>131</v>
      </c>
      <c r="D853" s="16" t="s">
        <v>860</v>
      </c>
      <c r="E853" s="16" t="s">
        <v>2102</v>
      </c>
      <c r="F853" s="158" t="s">
        <v>26</v>
      </c>
      <c r="G853" s="11">
        <f>F853*10</f>
        <v>0</v>
      </c>
    </row>
    <row r="854" spans="1:7" ht="15.75">
      <c r="A854" s="26" t="s">
        <v>852</v>
      </c>
      <c r="B854" s="3" t="s">
        <v>22</v>
      </c>
      <c r="C854" s="23" t="s">
        <v>24</v>
      </c>
      <c r="D854" s="16" t="s">
        <v>861</v>
      </c>
      <c r="E854" s="16" t="s">
        <v>2102</v>
      </c>
      <c r="F854" s="157">
        <v>525</v>
      </c>
      <c r="G854" s="11">
        <f>F854*45</f>
        <v>23625</v>
      </c>
    </row>
    <row r="855" spans="1:7" ht="15.75">
      <c r="A855" s="26" t="s">
        <v>852</v>
      </c>
      <c r="B855" s="3" t="s">
        <v>22</v>
      </c>
      <c r="C855" s="23" t="s">
        <v>27</v>
      </c>
      <c r="D855" s="16" t="s">
        <v>862</v>
      </c>
      <c r="E855" s="16" t="s">
        <v>2102</v>
      </c>
      <c r="F855" s="157">
        <v>352</v>
      </c>
      <c r="G855" s="11">
        <f>F855*34</f>
        <v>11968</v>
      </c>
    </row>
    <row r="856" spans="1:7" ht="15.75">
      <c r="A856" s="26" t="s">
        <v>852</v>
      </c>
      <c r="B856" s="3" t="s">
        <v>22</v>
      </c>
      <c r="C856" s="23" t="s">
        <v>29</v>
      </c>
      <c r="D856" s="16" t="s">
        <v>863</v>
      </c>
      <c r="E856" s="16" t="s">
        <v>2102</v>
      </c>
      <c r="F856" s="157">
        <v>698</v>
      </c>
      <c r="G856" s="11">
        <f>F856*21</f>
        <v>14658</v>
      </c>
    </row>
    <row r="857" spans="1:7" ht="15.75">
      <c r="A857" s="26" t="s">
        <v>852</v>
      </c>
      <c r="B857" s="3" t="s">
        <v>22</v>
      </c>
      <c r="C857" s="23" t="s">
        <v>31</v>
      </c>
      <c r="D857" s="16" t="s">
        <v>864</v>
      </c>
      <c r="E857" s="16" t="s">
        <v>2102</v>
      </c>
      <c r="F857" s="157">
        <v>233</v>
      </c>
      <c r="G857" s="11">
        <f>F857*5</f>
        <v>1165</v>
      </c>
    </row>
    <row r="858" spans="1:7" ht="15.75">
      <c r="A858" s="26" t="s">
        <v>852</v>
      </c>
      <c r="B858" s="3" t="s">
        <v>22</v>
      </c>
      <c r="C858" s="25" t="s">
        <v>131</v>
      </c>
      <c r="D858" s="16" t="s">
        <v>865</v>
      </c>
      <c r="E858" s="16" t="s">
        <v>2102</v>
      </c>
      <c r="F858" s="158" t="s">
        <v>26</v>
      </c>
      <c r="G858" s="11">
        <f>F858*10</f>
        <v>0</v>
      </c>
    </row>
    <row r="859" spans="1:7" ht="15.75">
      <c r="A859" s="26" t="s">
        <v>866</v>
      </c>
      <c r="B859" s="3" t="s">
        <v>22</v>
      </c>
      <c r="C859" s="23" t="s">
        <v>27</v>
      </c>
      <c r="D859" s="16" t="s">
        <v>867</v>
      </c>
      <c r="E859" s="16" t="s">
        <v>2102</v>
      </c>
      <c r="F859" s="158" t="s">
        <v>26</v>
      </c>
      <c r="G859" s="11">
        <f>F859*34</f>
        <v>0</v>
      </c>
    </row>
    <row r="860" spans="1:7" ht="15.75">
      <c r="A860" s="26" t="s">
        <v>866</v>
      </c>
      <c r="B860" s="3" t="s">
        <v>22</v>
      </c>
      <c r="C860" s="23" t="s">
        <v>29</v>
      </c>
      <c r="D860" s="16" t="s">
        <v>868</v>
      </c>
      <c r="E860" s="16" t="s">
        <v>2102</v>
      </c>
      <c r="F860" s="158" t="s">
        <v>26</v>
      </c>
      <c r="G860" s="11">
        <f>F860*21</f>
        <v>0</v>
      </c>
    </row>
    <row r="861" spans="1:7" ht="15.75">
      <c r="A861" s="26" t="s">
        <v>866</v>
      </c>
      <c r="B861" s="3" t="s">
        <v>22</v>
      </c>
      <c r="C861" s="23" t="s">
        <v>31</v>
      </c>
      <c r="D861" s="16" t="s">
        <v>99</v>
      </c>
      <c r="E861" s="16" t="s">
        <v>2102</v>
      </c>
      <c r="F861" s="158" t="s">
        <v>26</v>
      </c>
      <c r="G861" s="11">
        <f>F861*5</f>
        <v>0</v>
      </c>
    </row>
    <row r="862" spans="1:7" ht="15.75">
      <c r="A862" s="26" t="s">
        <v>866</v>
      </c>
      <c r="B862" s="3" t="s">
        <v>22</v>
      </c>
      <c r="C862" s="23" t="s">
        <v>24</v>
      </c>
      <c r="D862" s="16" t="s">
        <v>869</v>
      </c>
      <c r="E862" s="16" t="s">
        <v>2102</v>
      </c>
      <c r="F862" s="157">
        <v>215</v>
      </c>
      <c r="G862" s="11">
        <f>F862*45</f>
        <v>9675</v>
      </c>
    </row>
    <row r="863" spans="1:7" ht="15.75">
      <c r="A863" s="26" t="s">
        <v>866</v>
      </c>
      <c r="B863" s="3" t="s">
        <v>22</v>
      </c>
      <c r="C863" s="23" t="s">
        <v>27</v>
      </c>
      <c r="D863" s="16" t="s">
        <v>327</v>
      </c>
      <c r="E863" s="16" t="s">
        <v>2102</v>
      </c>
      <c r="F863" s="157">
        <v>170</v>
      </c>
      <c r="G863" s="11">
        <f>F863*34</f>
        <v>5780</v>
      </c>
    </row>
    <row r="864" spans="1:7" ht="15.75">
      <c r="A864" s="26" t="s">
        <v>866</v>
      </c>
      <c r="B864" s="3" t="s">
        <v>22</v>
      </c>
      <c r="C864" s="23" t="s">
        <v>29</v>
      </c>
      <c r="D864" s="16" t="s">
        <v>870</v>
      </c>
      <c r="E864" s="16" t="s">
        <v>2102</v>
      </c>
      <c r="F864" s="157">
        <v>310</v>
      </c>
      <c r="G864" s="11">
        <f>F864*21</f>
        <v>6510</v>
      </c>
    </row>
    <row r="865" spans="1:7" ht="15.75">
      <c r="A865" s="26" t="s">
        <v>866</v>
      </c>
      <c r="B865" s="3" t="s">
        <v>22</v>
      </c>
      <c r="C865" s="23" t="s">
        <v>31</v>
      </c>
      <c r="D865" s="16" t="s">
        <v>871</v>
      </c>
      <c r="E865" s="16" t="s">
        <v>2102</v>
      </c>
      <c r="F865" s="157">
        <v>165</v>
      </c>
      <c r="G865" s="11">
        <f>F865*5</f>
        <v>825</v>
      </c>
    </row>
    <row r="866" spans="1:7" ht="15.75">
      <c r="A866" s="26" t="s">
        <v>866</v>
      </c>
      <c r="B866" s="3" t="s">
        <v>22</v>
      </c>
      <c r="C866" s="23" t="s">
        <v>24</v>
      </c>
      <c r="D866" s="16" t="s">
        <v>873</v>
      </c>
      <c r="E866" s="16" t="s">
        <v>2102</v>
      </c>
      <c r="F866" s="158" t="s">
        <v>26</v>
      </c>
      <c r="G866" s="11">
        <f>F866*45</f>
        <v>0</v>
      </c>
    </row>
    <row r="867" spans="1:7" ht="15.75">
      <c r="A867" s="26" t="s">
        <v>866</v>
      </c>
      <c r="B867" s="3" t="s">
        <v>22</v>
      </c>
      <c r="C867" s="23" t="s">
        <v>27</v>
      </c>
      <c r="D867" s="16" t="s">
        <v>34</v>
      </c>
      <c r="E867" s="16" t="s">
        <v>2102</v>
      </c>
      <c r="F867" s="158" t="s">
        <v>26</v>
      </c>
      <c r="G867" s="11">
        <f>F867*34</f>
        <v>0</v>
      </c>
    </row>
    <row r="868" spans="1:7" ht="15.75">
      <c r="A868" s="26" t="s">
        <v>866</v>
      </c>
      <c r="B868" s="3" t="s">
        <v>22</v>
      </c>
      <c r="C868" s="23" t="s">
        <v>29</v>
      </c>
      <c r="D868" s="16" t="s">
        <v>874</v>
      </c>
      <c r="E868" s="16" t="s">
        <v>2102</v>
      </c>
      <c r="F868" s="158" t="s">
        <v>26</v>
      </c>
      <c r="G868" s="11">
        <f>F868*21</f>
        <v>0</v>
      </c>
    </row>
    <row r="869" spans="1:7" ht="15.75">
      <c r="A869" s="26" t="s">
        <v>866</v>
      </c>
      <c r="B869" s="3" t="s">
        <v>22</v>
      </c>
      <c r="C869" s="23" t="s">
        <v>31</v>
      </c>
      <c r="D869" s="16" t="s">
        <v>875</v>
      </c>
      <c r="E869" s="16" t="s">
        <v>2102</v>
      </c>
      <c r="F869" s="158" t="s">
        <v>26</v>
      </c>
      <c r="G869" s="11">
        <f>F869*5</f>
        <v>0</v>
      </c>
    </row>
    <row r="870" spans="1:7" ht="15.75">
      <c r="A870" s="26" t="s">
        <v>866</v>
      </c>
      <c r="B870" s="3" t="s">
        <v>22</v>
      </c>
      <c r="C870" s="23" t="s">
        <v>24</v>
      </c>
      <c r="D870" s="16" t="s">
        <v>276</v>
      </c>
      <c r="E870" s="16" t="s">
        <v>2102</v>
      </c>
      <c r="F870" s="158" t="s">
        <v>26</v>
      </c>
      <c r="G870" s="11">
        <f>F870*45</f>
        <v>0</v>
      </c>
    </row>
    <row r="871" spans="1:7" ht="15.75">
      <c r="A871" s="26" t="s">
        <v>866</v>
      </c>
      <c r="B871" s="3" t="s">
        <v>22</v>
      </c>
      <c r="C871" s="23" t="s">
        <v>27</v>
      </c>
      <c r="D871" s="16" t="s">
        <v>876</v>
      </c>
      <c r="E871" s="16" t="s">
        <v>2102</v>
      </c>
      <c r="F871" s="158" t="s">
        <v>26</v>
      </c>
      <c r="G871" s="11">
        <f>F871*34</f>
        <v>0</v>
      </c>
    </row>
    <row r="872" spans="1:7" ht="15.75">
      <c r="A872" s="26" t="s">
        <v>866</v>
      </c>
      <c r="B872" s="3" t="s">
        <v>22</v>
      </c>
      <c r="C872" s="23" t="s">
        <v>29</v>
      </c>
      <c r="D872" s="16" t="s">
        <v>877</v>
      </c>
      <c r="E872" s="16" t="s">
        <v>2102</v>
      </c>
      <c r="F872" s="158" t="s">
        <v>26</v>
      </c>
      <c r="G872" s="11">
        <f>F872*21</f>
        <v>0</v>
      </c>
    </row>
    <row r="873" spans="1:7" ht="15.75">
      <c r="A873" s="26" t="s">
        <v>866</v>
      </c>
      <c r="B873" s="3" t="s">
        <v>22</v>
      </c>
      <c r="C873" s="23" t="s">
        <v>31</v>
      </c>
      <c r="D873" s="16" t="s">
        <v>878</v>
      </c>
      <c r="E873" s="16" t="s">
        <v>2102</v>
      </c>
      <c r="F873" s="158" t="s">
        <v>26</v>
      </c>
      <c r="G873" s="11">
        <f>F873*5</f>
        <v>0</v>
      </c>
    </row>
    <row r="874" spans="1:7" ht="15.75">
      <c r="A874" s="26" t="s">
        <v>866</v>
      </c>
      <c r="B874" s="3" t="s">
        <v>22</v>
      </c>
      <c r="C874" s="25" t="s">
        <v>131</v>
      </c>
      <c r="D874" s="16" t="s">
        <v>879</v>
      </c>
      <c r="E874" s="16" t="s">
        <v>2102</v>
      </c>
      <c r="F874" s="157">
        <v>67</v>
      </c>
      <c r="G874" s="11">
        <f>F874*10</f>
        <v>670</v>
      </c>
    </row>
    <row r="875" spans="1:7" ht="15.75">
      <c r="A875" s="26" t="s">
        <v>880</v>
      </c>
      <c r="B875" s="3" t="s">
        <v>22</v>
      </c>
      <c r="C875" s="23" t="s">
        <v>24</v>
      </c>
      <c r="D875" s="16" t="s">
        <v>190</v>
      </c>
      <c r="E875" s="16" t="s">
        <v>2102</v>
      </c>
      <c r="F875" s="158" t="s">
        <v>26</v>
      </c>
      <c r="G875" s="11">
        <f>F875*45</f>
        <v>0</v>
      </c>
    </row>
    <row r="876" spans="1:7" ht="15.75">
      <c r="A876" s="26" t="s">
        <v>880</v>
      </c>
      <c r="B876" s="3" t="s">
        <v>22</v>
      </c>
      <c r="C876" s="23" t="s">
        <v>27</v>
      </c>
      <c r="D876" s="16" t="s">
        <v>881</v>
      </c>
      <c r="E876" s="16" t="s">
        <v>2102</v>
      </c>
      <c r="F876" s="158" t="s">
        <v>26</v>
      </c>
      <c r="G876" s="11">
        <f>F876*34</f>
        <v>0</v>
      </c>
    </row>
    <row r="877" spans="1:7" ht="15.75">
      <c r="A877" s="26" t="s">
        <v>880</v>
      </c>
      <c r="B877" s="3" t="s">
        <v>22</v>
      </c>
      <c r="C877" s="23" t="s">
        <v>29</v>
      </c>
      <c r="D877" s="16" t="s">
        <v>882</v>
      </c>
      <c r="E877" s="16" t="s">
        <v>2102</v>
      </c>
      <c r="F877" s="158" t="s">
        <v>26</v>
      </c>
      <c r="G877" s="11">
        <f>F877*21</f>
        <v>0</v>
      </c>
    </row>
    <row r="878" spans="1:7" ht="15.75">
      <c r="A878" s="26" t="s">
        <v>880</v>
      </c>
      <c r="B878" s="3" t="s">
        <v>22</v>
      </c>
      <c r="C878" s="23" t="s">
        <v>31</v>
      </c>
      <c r="D878" s="16" t="s">
        <v>883</v>
      </c>
      <c r="E878" s="16" t="s">
        <v>2102</v>
      </c>
      <c r="F878" s="158" t="s">
        <v>26</v>
      </c>
      <c r="G878" s="11">
        <f>F878*5</f>
        <v>0</v>
      </c>
    </row>
    <row r="879" spans="1:7" ht="15.75">
      <c r="A879" s="26" t="s">
        <v>880</v>
      </c>
      <c r="B879" s="3" t="s">
        <v>22</v>
      </c>
      <c r="C879" s="25" t="s">
        <v>131</v>
      </c>
      <c r="D879" s="16" t="s">
        <v>884</v>
      </c>
      <c r="E879" s="16" t="s">
        <v>2102</v>
      </c>
      <c r="F879" s="158" t="s">
        <v>26</v>
      </c>
      <c r="G879" s="11">
        <f>F879*10</f>
        <v>0</v>
      </c>
    </row>
    <row r="880" spans="1:7" ht="15.75">
      <c r="A880" s="26" t="s">
        <v>880</v>
      </c>
      <c r="B880" s="3" t="s">
        <v>22</v>
      </c>
      <c r="C880" s="23" t="s">
        <v>24</v>
      </c>
      <c r="D880" s="16" t="s">
        <v>885</v>
      </c>
      <c r="E880" s="16" t="s">
        <v>2102</v>
      </c>
      <c r="F880" s="157">
        <v>271</v>
      </c>
      <c r="G880" s="11">
        <f>F880*45</f>
        <v>12195</v>
      </c>
    </row>
    <row r="881" spans="1:7" ht="15.75">
      <c r="A881" s="26" t="s">
        <v>880</v>
      </c>
      <c r="B881" s="3" t="s">
        <v>22</v>
      </c>
      <c r="C881" s="23" t="s">
        <v>27</v>
      </c>
      <c r="D881" s="16" t="s">
        <v>886</v>
      </c>
      <c r="E881" s="16" t="s">
        <v>2102</v>
      </c>
      <c r="F881" s="157">
        <v>75</v>
      </c>
      <c r="G881" s="11">
        <f>F881*34</f>
        <v>2550</v>
      </c>
    </row>
    <row r="882" spans="1:7" ht="15.75">
      <c r="A882" s="26" t="s">
        <v>880</v>
      </c>
      <c r="B882" s="3" t="s">
        <v>22</v>
      </c>
      <c r="C882" s="23" t="s">
        <v>29</v>
      </c>
      <c r="D882" s="16" t="s">
        <v>887</v>
      </c>
      <c r="E882" s="16" t="s">
        <v>2102</v>
      </c>
      <c r="F882" s="157">
        <v>406</v>
      </c>
      <c r="G882" s="11">
        <f>F882*21</f>
        <v>8526</v>
      </c>
    </row>
    <row r="883" spans="1:7" ht="15.75">
      <c r="A883" s="26" t="s">
        <v>880</v>
      </c>
      <c r="B883" s="3" t="s">
        <v>22</v>
      </c>
      <c r="C883" s="23" t="s">
        <v>31</v>
      </c>
      <c r="D883" s="16" t="s">
        <v>888</v>
      </c>
      <c r="E883" s="16" t="s">
        <v>2102</v>
      </c>
      <c r="F883" s="159" t="s">
        <v>26</v>
      </c>
      <c r="G883" s="11">
        <f>F883*5</f>
        <v>0</v>
      </c>
    </row>
    <row r="884" spans="1:7" ht="15.75">
      <c r="A884" s="26" t="s">
        <v>880</v>
      </c>
      <c r="B884" s="3" t="s">
        <v>22</v>
      </c>
      <c r="C884" s="25" t="s">
        <v>131</v>
      </c>
      <c r="D884" s="16" t="s">
        <v>889</v>
      </c>
      <c r="E884" s="16" t="s">
        <v>2102</v>
      </c>
      <c r="F884" s="159" t="s">
        <v>26</v>
      </c>
      <c r="G884" s="11">
        <f>F884*10</f>
        <v>0</v>
      </c>
    </row>
    <row r="885" spans="1:7" ht="15.75">
      <c r="A885" s="26" t="s">
        <v>880</v>
      </c>
      <c r="B885" s="3" t="s">
        <v>22</v>
      </c>
      <c r="C885" s="23" t="s">
        <v>24</v>
      </c>
      <c r="D885" s="16" t="s">
        <v>890</v>
      </c>
      <c r="E885" s="16" t="s">
        <v>2102</v>
      </c>
      <c r="F885" s="160" t="s">
        <v>26</v>
      </c>
      <c r="G885" s="11">
        <f>F885*45</f>
        <v>0</v>
      </c>
    </row>
    <row r="886" spans="1:7" ht="15.75">
      <c r="A886" s="26" t="s">
        <v>880</v>
      </c>
      <c r="B886" s="3" t="s">
        <v>22</v>
      </c>
      <c r="C886" s="23" t="s">
        <v>27</v>
      </c>
      <c r="D886" s="16" t="s">
        <v>485</v>
      </c>
      <c r="E886" s="16" t="s">
        <v>2102</v>
      </c>
      <c r="F886" s="158" t="s">
        <v>26</v>
      </c>
      <c r="G886" s="11">
        <f>F886*34</f>
        <v>0</v>
      </c>
    </row>
    <row r="887" spans="1:7" ht="15.75">
      <c r="A887" s="26" t="s">
        <v>880</v>
      </c>
      <c r="B887" s="3" t="s">
        <v>22</v>
      </c>
      <c r="C887" s="23" t="s">
        <v>29</v>
      </c>
      <c r="D887" s="16" t="s">
        <v>891</v>
      </c>
      <c r="E887" s="16" t="s">
        <v>2102</v>
      </c>
      <c r="F887" s="158" t="s">
        <v>26</v>
      </c>
      <c r="G887" s="11">
        <f>F887*21</f>
        <v>0</v>
      </c>
    </row>
    <row r="888" spans="1:7" ht="15.75">
      <c r="A888" s="26" t="s">
        <v>880</v>
      </c>
      <c r="B888" s="3" t="s">
        <v>22</v>
      </c>
      <c r="C888" s="23" t="s">
        <v>31</v>
      </c>
      <c r="D888" s="16" t="s">
        <v>892</v>
      </c>
      <c r="E888" s="16" t="s">
        <v>2102</v>
      </c>
      <c r="F888" s="158" t="s">
        <v>26</v>
      </c>
      <c r="G888" s="11">
        <f>F888*5</f>
        <v>0</v>
      </c>
    </row>
    <row r="889" spans="1:7" ht="15.75">
      <c r="A889" s="18" t="s">
        <v>893</v>
      </c>
      <c r="B889" s="3" t="s">
        <v>22</v>
      </c>
      <c r="C889" s="23" t="s">
        <v>24</v>
      </c>
      <c r="D889" s="16" t="s">
        <v>894</v>
      </c>
      <c r="E889" s="16" t="s">
        <v>2102</v>
      </c>
      <c r="F889" s="157">
        <v>275</v>
      </c>
      <c r="G889" s="11">
        <f>F889*45</f>
        <v>12375</v>
      </c>
    </row>
    <row r="890" spans="1:7" ht="15.75">
      <c r="A890" s="18" t="s">
        <v>893</v>
      </c>
      <c r="B890" s="3" t="s">
        <v>22</v>
      </c>
      <c r="C890" s="23" t="s">
        <v>27</v>
      </c>
      <c r="D890" s="16" t="s">
        <v>895</v>
      </c>
      <c r="E890" s="16" t="s">
        <v>2102</v>
      </c>
      <c r="F890" s="157">
        <v>115</v>
      </c>
      <c r="G890" s="11">
        <f>F890*34</f>
        <v>3910</v>
      </c>
    </row>
    <row r="891" spans="1:7" ht="15.75">
      <c r="A891" s="18" t="s">
        <v>893</v>
      </c>
      <c r="B891" s="3" t="s">
        <v>22</v>
      </c>
      <c r="C891" s="23" t="s">
        <v>29</v>
      </c>
      <c r="D891" s="16" t="s">
        <v>896</v>
      </c>
      <c r="E891" s="16" t="s">
        <v>2102</v>
      </c>
      <c r="F891" s="157">
        <v>325</v>
      </c>
      <c r="G891" s="11">
        <f>F891*21</f>
        <v>6825</v>
      </c>
    </row>
    <row r="892" spans="1:7" ht="15.75">
      <c r="A892" s="18" t="s">
        <v>893</v>
      </c>
      <c r="B892" s="3" t="s">
        <v>22</v>
      </c>
      <c r="C892" s="23" t="s">
        <v>31</v>
      </c>
      <c r="D892" s="16" t="s">
        <v>897</v>
      </c>
      <c r="E892" s="16" t="s">
        <v>2102</v>
      </c>
      <c r="F892" s="157">
        <v>92</v>
      </c>
      <c r="G892" s="11">
        <f>F892*5</f>
        <v>460</v>
      </c>
    </row>
    <row r="893" spans="1:7" ht="15.75">
      <c r="A893" s="18" t="s">
        <v>893</v>
      </c>
      <c r="B893" s="3" t="s">
        <v>22</v>
      </c>
      <c r="C893" s="23" t="s">
        <v>24</v>
      </c>
      <c r="D893" s="16" t="s">
        <v>663</v>
      </c>
      <c r="E893" s="16" t="s">
        <v>2102</v>
      </c>
      <c r="F893" s="158" t="s">
        <v>26</v>
      </c>
      <c r="G893" s="11">
        <f>F893*45</f>
        <v>0</v>
      </c>
    </row>
    <row r="894" spans="1:7" ht="15.75">
      <c r="A894" s="18" t="s">
        <v>893</v>
      </c>
      <c r="B894" s="3" t="s">
        <v>22</v>
      </c>
      <c r="C894" s="23" t="s">
        <v>27</v>
      </c>
      <c r="D894" s="16" t="s">
        <v>898</v>
      </c>
      <c r="E894" s="16" t="s">
        <v>2102</v>
      </c>
      <c r="F894" s="158" t="s">
        <v>26</v>
      </c>
      <c r="G894" s="11">
        <f>F894*34</f>
        <v>0</v>
      </c>
    </row>
    <row r="895" spans="1:7" ht="15.75">
      <c r="A895" s="18" t="s">
        <v>893</v>
      </c>
      <c r="B895" s="3" t="s">
        <v>22</v>
      </c>
      <c r="C895" s="23" t="s">
        <v>29</v>
      </c>
      <c r="D895" s="16" t="s">
        <v>899</v>
      </c>
      <c r="E895" s="16" t="s">
        <v>2102</v>
      </c>
      <c r="F895" s="158" t="s">
        <v>26</v>
      </c>
      <c r="G895" s="11">
        <f>F895*21</f>
        <v>0</v>
      </c>
    </row>
    <row r="896" spans="1:7" ht="15.75">
      <c r="A896" s="18" t="s">
        <v>893</v>
      </c>
      <c r="B896" s="3" t="s">
        <v>22</v>
      </c>
      <c r="C896" s="23" t="s">
        <v>31</v>
      </c>
      <c r="D896" s="16" t="s">
        <v>900</v>
      </c>
      <c r="E896" s="16" t="s">
        <v>2102</v>
      </c>
      <c r="F896" s="158" t="s">
        <v>26</v>
      </c>
      <c r="G896" s="11">
        <f>F896*5</f>
        <v>0</v>
      </c>
    </row>
    <row r="897" spans="1:7" ht="15.75">
      <c r="A897" s="18" t="s">
        <v>901</v>
      </c>
      <c r="B897" s="3" t="s">
        <v>22</v>
      </c>
      <c r="C897" s="23" t="s">
        <v>24</v>
      </c>
      <c r="D897" s="16" t="s">
        <v>902</v>
      </c>
      <c r="E897" s="16" t="s">
        <v>2102</v>
      </c>
      <c r="F897" s="157">
        <v>194</v>
      </c>
      <c r="G897" s="11">
        <f>F897*45</f>
        <v>8730</v>
      </c>
    </row>
    <row r="898" spans="1:7" ht="15.75">
      <c r="A898" s="18" t="s">
        <v>901</v>
      </c>
      <c r="B898" s="3" t="s">
        <v>22</v>
      </c>
      <c r="C898" s="23" t="s">
        <v>27</v>
      </c>
      <c r="D898" s="16" t="s">
        <v>903</v>
      </c>
      <c r="E898" s="16" t="s">
        <v>2102</v>
      </c>
      <c r="F898" s="157">
        <v>154</v>
      </c>
      <c r="G898" s="11">
        <f>F898*34</f>
        <v>5236</v>
      </c>
    </row>
    <row r="899" spans="1:7" ht="15.75">
      <c r="A899" s="18" t="s">
        <v>901</v>
      </c>
      <c r="B899" s="3" t="s">
        <v>22</v>
      </c>
      <c r="C899" s="23" t="s">
        <v>29</v>
      </c>
      <c r="D899" s="16" t="s">
        <v>904</v>
      </c>
      <c r="E899" s="16" t="s">
        <v>2102</v>
      </c>
      <c r="F899" s="157">
        <v>425</v>
      </c>
      <c r="G899" s="11">
        <f>F899*21</f>
        <v>8925</v>
      </c>
    </row>
    <row r="900" spans="1:7" ht="15.75">
      <c r="A900" s="18" t="s">
        <v>901</v>
      </c>
      <c r="B900" s="3" t="s">
        <v>22</v>
      </c>
      <c r="C900" s="23" t="s">
        <v>31</v>
      </c>
      <c r="D900" s="16" t="s">
        <v>80</v>
      </c>
      <c r="E900" s="16" t="s">
        <v>2102</v>
      </c>
      <c r="F900" s="157">
        <v>137</v>
      </c>
      <c r="G900" s="11">
        <f>F900*5</f>
        <v>685</v>
      </c>
    </row>
    <row r="901" spans="1:7" ht="15.75">
      <c r="A901" s="26" t="s">
        <v>905</v>
      </c>
      <c r="B901" s="3" t="s">
        <v>22</v>
      </c>
      <c r="C901" s="23" t="s">
        <v>27</v>
      </c>
      <c r="D901" s="16" t="s">
        <v>906</v>
      </c>
      <c r="E901" s="16" t="s">
        <v>2102</v>
      </c>
      <c r="F901" s="157">
        <v>101</v>
      </c>
      <c r="G901" s="11">
        <f>F901*34</f>
        <v>3434</v>
      </c>
    </row>
    <row r="902" spans="1:7" ht="15.75">
      <c r="A902" s="26" t="s">
        <v>905</v>
      </c>
      <c r="B902" s="3" t="s">
        <v>22</v>
      </c>
      <c r="C902" s="23" t="s">
        <v>29</v>
      </c>
      <c r="D902" s="16" t="s">
        <v>907</v>
      </c>
      <c r="E902" s="16" t="s">
        <v>2102</v>
      </c>
      <c r="F902" s="157">
        <v>106</v>
      </c>
      <c r="G902" s="11">
        <f>F902*21</f>
        <v>2226</v>
      </c>
    </row>
    <row r="903" spans="1:7" ht="15.75">
      <c r="A903" s="26" t="s">
        <v>905</v>
      </c>
      <c r="B903" s="3" t="s">
        <v>22</v>
      </c>
      <c r="C903" s="23" t="s">
        <v>31</v>
      </c>
      <c r="D903" s="16" t="s">
        <v>908</v>
      </c>
      <c r="E903" s="16" t="s">
        <v>2102</v>
      </c>
      <c r="F903" s="157">
        <v>220</v>
      </c>
      <c r="G903" s="11">
        <f>F903*5</f>
        <v>1100</v>
      </c>
    </row>
    <row r="904" spans="1:7" ht="15.75">
      <c r="A904" s="26" t="s">
        <v>905</v>
      </c>
      <c r="B904" s="3" t="s">
        <v>22</v>
      </c>
      <c r="C904" s="23" t="s">
        <v>27</v>
      </c>
      <c r="D904" s="16" t="s">
        <v>909</v>
      </c>
      <c r="E904" s="16" t="s">
        <v>2102</v>
      </c>
      <c r="F904" s="158" t="s">
        <v>26</v>
      </c>
      <c r="G904" s="11">
        <f>F904*34</f>
        <v>0</v>
      </c>
    </row>
    <row r="905" spans="1:7" ht="15.75">
      <c r="A905" s="26" t="s">
        <v>905</v>
      </c>
      <c r="B905" s="3" t="s">
        <v>22</v>
      </c>
      <c r="C905" s="23" t="s">
        <v>29</v>
      </c>
      <c r="D905" s="16" t="s">
        <v>910</v>
      </c>
      <c r="E905" s="16" t="s">
        <v>2102</v>
      </c>
      <c r="F905" s="158" t="s">
        <v>26</v>
      </c>
      <c r="G905" s="11">
        <f>F905*21</f>
        <v>0</v>
      </c>
    </row>
    <row r="906" spans="1:7" ht="15.75">
      <c r="A906" s="26" t="s">
        <v>905</v>
      </c>
      <c r="B906" s="3" t="s">
        <v>22</v>
      </c>
      <c r="C906" s="23" t="s">
        <v>31</v>
      </c>
      <c r="D906" s="16" t="s">
        <v>911</v>
      </c>
      <c r="E906" s="16" t="s">
        <v>2102</v>
      </c>
      <c r="F906" s="158" t="s">
        <v>26</v>
      </c>
      <c r="G906" s="11">
        <f>F906*5</f>
        <v>0</v>
      </c>
    </row>
    <row r="907" spans="1:7" ht="15.75">
      <c r="A907" s="26" t="s">
        <v>905</v>
      </c>
      <c r="B907" s="3" t="s">
        <v>22</v>
      </c>
      <c r="C907" s="25" t="s">
        <v>131</v>
      </c>
      <c r="D907" s="16" t="s">
        <v>912</v>
      </c>
      <c r="E907" s="16" t="s">
        <v>2102</v>
      </c>
      <c r="F907" s="157">
        <v>12</v>
      </c>
      <c r="G907" s="11">
        <f>F907*10</f>
        <v>120</v>
      </c>
    </row>
    <row r="908" spans="1:7" ht="15.75">
      <c r="A908" s="18" t="s">
        <v>913</v>
      </c>
      <c r="B908" s="3" t="s">
        <v>22</v>
      </c>
      <c r="C908" s="23" t="s">
        <v>24</v>
      </c>
      <c r="D908" s="16" t="s">
        <v>914</v>
      </c>
      <c r="E908" s="16" t="s">
        <v>2102</v>
      </c>
      <c r="F908" s="157">
        <v>450</v>
      </c>
      <c r="G908" s="11">
        <f>F908*45</f>
        <v>20250</v>
      </c>
    </row>
    <row r="909" spans="1:7" ht="15.75">
      <c r="A909" s="18" t="s">
        <v>913</v>
      </c>
      <c r="B909" s="3" t="s">
        <v>22</v>
      </c>
      <c r="C909" s="23" t="s">
        <v>27</v>
      </c>
      <c r="D909" s="16" t="s">
        <v>887</v>
      </c>
      <c r="E909" s="16" t="s">
        <v>2102</v>
      </c>
      <c r="F909" s="157">
        <v>219</v>
      </c>
      <c r="G909" s="11">
        <f>F909*34</f>
        <v>7446</v>
      </c>
    </row>
    <row r="910" spans="1:7" ht="15.75">
      <c r="A910" s="18" t="s">
        <v>913</v>
      </c>
      <c r="B910" s="3" t="s">
        <v>22</v>
      </c>
      <c r="C910" s="23" t="s">
        <v>29</v>
      </c>
      <c r="D910" s="16" t="s">
        <v>674</v>
      </c>
      <c r="E910" s="16" t="s">
        <v>2102</v>
      </c>
      <c r="F910" s="157">
        <v>373</v>
      </c>
      <c r="G910" s="11">
        <f>F910*21</f>
        <v>7833</v>
      </c>
    </row>
    <row r="911" spans="1:7" ht="15.75">
      <c r="A911" s="18" t="s">
        <v>913</v>
      </c>
      <c r="B911" s="3" t="s">
        <v>22</v>
      </c>
      <c r="C911" s="23" t="s">
        <v>31</v>
      </c>
      <c r="D911" s="16" t="s">
        <v>915</v>
      </c>
      <c r="E911" s="16" t="s">
        <v>2102</v>
      </c>
      <c r="F911" s="157">
        <v>60</v>
      </c>
      <c r="G911" s="11">
        <f>F911*5</f>
        <v>300</v>
      </c>
    </row>
    <row r="912" spans="1:7" ht="15.75">
      <c r="A912" s="18" t="s">
        <v>913</v>
      </c>
      <c r="B912" s="3" t="s">
        <v>22</v>
      </c>
      <c r="C912" s="25" t="s">
        <v>131</v>
      </c>
      <c r="D912" s="16" t="s">
        <v>916</v>
      </c>
      <c r="E912" s="16" t="s">
        <v>2102</v>
      </c>
      <c r="F912" s="157">
        <v>20</v>
      </c>
      <c r="G912" s="11">
        <f>F912*10</f>
        <v>200</v>
      </c>
    </row>
    <row r="913" spans="1:7" ht="15.75">
      <c r="A913" s="18" t="s">
        <v>917</v>
      </c>
      <c r="B913" s="3" t="s">
        <v>22</v>
      </c>
      <c r="C913" s="23" t="s">
        <v>27</v>
      </c>
      <c r="D913" s="16" t="s">
        <v>918</v>
      </c>
      <c r="E913" s="16" t="s">
        <v>2102</v>
      </c>
      <c r="F913" s="157">
        <v>242</v>
      </c>
      <c r="G913" s="11">
        <f>F913*34</f>
        <v>8228</v>
      </c>
    </row>
    <row r="914" spans="1:7" ht="15.75">
      <c r="A914" s="18" t="s">
        <v>917</v>
      </c>
      <c r="B914" s="3" t="s">
        <v>22</v>
      </c>
      <c r="C914" s="23" t="s">
        <v>29</v>
      </c>
      <c r="D914" s="16" t="s">
        <v>919</v>
      </c>
      <c r="E914" s="16" t="s">
        <v>2102</v>
      </c>
      <c r="F914" s="157">
        <v>416</v>
      </c>
      <c r="G914" s="11">
        <f>F914*21</f>
        <v>8736</v>
      </c>
    </row>
    <row r="915" spans="1:7" ht="15.75">
      <c r="A915" s="18" t="s">
        <v>917</v>
      </c>
      <c r="B915" s="3" t="s">
        <v>22</v>
      </c>
      <c r="C915" s="23" t="s">
        <v>31</v>
      </c>
      <c r="D915" s="16" t="s">
        <v>920</v>
      </c>
      <c r="E915" s="16" t="s">
        <v>2102</v>
      </c>
      <c r="F915" s="157">
        <v>35</v>
      </c>
      <c r="G915" s="11">
        <f>F915*5</f>
        <v>175</v>
      </c>
    </row>
    <row r="916" spans="1:7" ht="15.75">
      <c r="A916" s="18" t="s">
        <v>917</v>
      </c>
      <c r="B916" s="3" t="s">
        <v>22</v>
      </c>
      <c r="C916" s="23" t="s">
        <v>24</v>
      </c>
      <c r="D916" s="16" t="s">
        <v>355</v>
      </c>
      <c r="E916" s="16" t="s">
        <v>2102</v>
      </c>
      <c r="F916" s="157">
        <v>67</v>
      </c>
      <c r="G916" s="11">
        <f>F916*45</f>
        <v>3015</v>
      </c>
    </row>
    <row r="917" spans="1:7" ht="15.75">
      <c r="A917" s="18" t="s">
        <v>917</v>
      </c>
      <c r="B917" s="3" t="s">
        <v>22</v>
      </c>
      <c r="C917" s="23" t="s">
        <v>27</v>
      </c>
      <c r="D917" s="16" t="s">
        <v>921</v>
      </c>
      <c r="E917" s="16" t="s">
        <v>2102</v>
      </c>
      <c r="F917" s="158" t="s">
        <v>26</v>
      </c>
      <c r="G917" s="11">
        <f>F917*34</f>
        <v>0</v>
      </c>
    </row>
    <row r="918" spans="1:7" ht="15.75">
      <c r="A918" s="18" t="s">
        <v>917</v>
      </c>
      <c r="B918" s="3" t="s">
        <v>22</v>
      </c>
      <c r="C918" s="23" t="s">
        <v>29</v>
      </c>
      <c r="D918" s="16" t="s">
        <v>922</v>
      </c>
      <c r="E918" s="16" t="s">
        <v>2102</v>
      </c>
      <c r="F918" s="158" t="s">
        <v>26</v>
      </c>
      <c r="G918" s="11">
        <f>F918*21</f>
        <v>0</v>
      </c>
    </row>
    <row r="919" spans="1:7" ht="15.75">
      <c r="A919" s="18" t="s">
        <v>917</v>
      </c>
      <c r="B919" s="3" t="s">
        <v>22</v>
      </c>
      <c r="C919" s="23" t="s">
        <v>31</v>
      </c>
      <c r="D919" s="16" t="s">
        <v>923</v>
      </c>
      <c r="E919" s="16" t="s">
        <v>2102</v>
      </c>
      <c r="F919" s="158" t="s">
        <v>26</v>
      </c>
      <c r="G919" s="11">
        <f>F919*5</f>
        <v>0</v>
      </c>
    </row>
    <row r="920" spans="1:7" ht="15.75">
      <c r="A920" s="18" t="s">
        <v>917</v>
      </c>
      <c r="B920" s="3" t="s">
        <v>22</v>
      </c>
      <c r="C920" s="25" t="s">
        <v>131</v>
      </c>
      <c r="D920" s="16" t="s">
        <v>776</v>
      </c>
      <c r="E920" s="16" t="s">
        <v>2102</v>
      </c>
      <c r="F920" s="157">
        <v>42</v>
      </c>
      <c r="G920" s="11">
        <f>F920*10</f>
        <v>420</v>
      </c>
    </row>
    <row r="921" spans="1:7" ht="15.75">
      <c r="A921" s="26" t="s">
        <v>924</v>
      </c>
      <c r="B921" s="3" t="s">
        <v>22</v>
      </c>
      <c r="C921" s="23" t="s">
        <v>24</v>
      </c>
      <c r="D921" s="16" t="s">
        <v>761</v>
      </c>
      <c r="E921" s="16" t="s">
        <v>2102</v>
      </c>
      <c r="F921" s="157">
        <v>62</v>
      </c>
      <c r="G921" s="11">
        <f>F921*45</f>
        <v>2790</v>
      </c>
    </row>
    <row r="922" spans="1:7" ht="15.75">
      <c r="A922" s="26" t="s">
        <v>924</v>
      </c>
      <c r="B922" s="3" t="s">
        <v>22</v>
      </c>
      <c r="C922" s="23" t="s">
        <v>27</v>
      </c>
      <c r="D922" s="16" t="s">
        <v>438</v>
      </c>
      <c r="E922" s="16" t="s">
        <v>2102</v>
      </c>
      <c r="F922" s="157">
        <v>49</v>
      </c>
      <c r="G922" s="11">
        <f>F922*34</f>
        <v>1666</v>
      </c>
    </row>
    <row r="923" spans="1:7" ht="15.75">
      <c r="A923" s="26" t="s">
        <v>924</v>
      </c>
      <c r="B923" s="3" t="s">
        <v>22</v>
      </c>
      <c r="C923" s="23" t="s">
        <v>29</v>
      </c>
      <c r="D923" s="16" t="s">
        <v>925</v>
      </c>
      <c r="E923" s="16" t="s">
        <v>2102</v>
      </c>
      <c r="F923" s="157">
        <v>90</v>
      </c>
      <c r="G923" s="11">
        <f>F923*21</f>
        <v>1890</v>
      </c>
    </row>
    <row r="924" spans="1:7" ht="15.75">
      <c r="A924" s="26" t="s">
        <v>924</v>
      </c>
      <c r="B924" s="3" t="s">
        <v>22</v>
      </c>
      <c r="C924" s="23" t="s">
        <v>31</v>
      </c>
      <c r="D924" s="16" t="s">
        <v>926</v>
      </c>
      <c r="E924" s="16" t="s">
        <v>2102</v>
      </c>
      <c r="F924" s="157">
        <v>20</v>
      </c>
      <c r="G924" s="11">
        <f>F924*5</f>
        <v>100</v>
      </c>
    </row>
    <row r="925" spans="1:7" ht="15.75">
      <c r="A925" s="26" t="s">
        <v>924</v>
      </c>
      <c r="B925" s="3" t="s">
        <v>22</v>
      </c>
      <c r="C925" s="25" t="s">
        <v>131</v>
      </c>
      <c r="D925" s="16" t="s">
        <v>927</v>
      </c>
      <c r="E925" s="16" t="s">
        <v>2102</v>
      </c>
      <c r="F925" s="157">
        <v>20</v>
      </c>
      <c r="G925" s="11">
        <f>F925*10</f>
        <v>200</v>
      </c>
    </row>
    <row r="926" spans="1:7" ht="15.75">
      <c r="A926" s="26" t="s">
        <v>928</v>
      </c>
      <c r="B926" s="3" t="s">
        <v>22</v>
      </c>
      <c r="C926" s="23" t="s">
        <v>27</v>
      </c>
      <c r="D926" s="16" t="s">
        <v>929</v>
      </c>
      <c r="E926" s="16" t="s">
        <v>2102</v>
      </c>
      <c r="F926" s="158" t="s">
        <v>26</v>
      </c>
      <c r="G926" s="11">
        <f>F926*34</f>
        <v>0</v>
      </c>
    </row>
    <row r="927" spans="1:7" ht="15.75">
      <c r="A927" s="26" t="s">
        <v>928</v>
      </c>
      <c r="B927" s="3" t="s">
        <v>22</v>
      </c>
      <c r="C927" s="23" t="s">
        <v>29</v>
      </c>
      <c r="D927" s="16" t="s">
        <v>930</v>
      </c>
      <c r="E927" s="16" t="s">
        <v>2102</v>
      </c>
      <c r="F927" s="158" t="s">
        <v>26</v>
      </c>
      <c r="G927" s="11">
        <f>F927*21</f>
        <v>0</v>
      </c>
    </row>
    <row r="928" spans="1:7" ht="15.75">
      <c r="A928" s="26" t="s">
        <v>928</v>
      </c>
      <c r="B928" s="3" t="s">
        <v>22</v>
      </c>
      <c r="C928" s="23" t="s">
        <v>31</v>
      </c>
      <c r="D928" s="16" t="s">
        <v>88</v>
      </c>
      <c r="E928" s="16" t="s">
        <v>2102</v>
      </c>
      <c r="F928" s="158" t="s">
        <v>26</v>
      </c>
      <c r="G928" s="11">
        <f>F928*5</f>
        <v>0</v>
      </c>
    </row>
    <row r="929" spans="1:7" ht="15.75">
      <c r="A929" s="26" t="s">
        <v>928</v>
      </c>
      <c r="B929" s="3" t="s">
        <v>22</v>
      </c>
      <c r="C929" s="23" t="s">
        <v>24</v>
      </c>
      <c r="D929" s="16" t="s">
        <v>931</v>
      </c>
      <c r="E929" s="16" t="s">
        <v>2102</v>
      </c>
      <c r="F929" s="157">
        <v>80</v>
      </c>
      <c r="G929" s="11">
        <f>F929*45</f>
        <v>3600</v>
      </c>
    </row>
    <row r="930" spans="1:7" ht="15.75">
      <c r="A930" s="26" t="s">
        <v>928</v>
      </c>
      <c r="B930" s="3" t="s">
        <v>22</v>
      </c>
      <c r="C930" s="23" t="s">
        <v>27</v>
      </c>
      <c r="D930" s="16" t="s">
        <v>932</v>
      </c>
      <c r="E930" s="16" t="s">
        <v>2102</v>
      </c>
      <c r="F930" s="157">
        <v>124</v>
      </c>
      <c r="G930" s="11">
        <f>F930*34</f>
        <v>4216</v>
      </c>
    </row>
    <row r="931" spans="1:7" ht="15.75">
      <c r="A931" s="26" t="s">
        <v>928</v>
      </c>
      <c r="B931" s="3" t="s">
        <v>22</v>
      </c>
      <c r="C931" s="23" t="s">
        <v>29</v>
      </c>
      <c r="D931" s="16" t="s">
        <v>933</v>
      </c>
      <c r="E931" s="16" t="s">
        <v>2102</v>
      </c>
      <c r="F931" s="157">
        <v>133</v>
      </c>
      <c r="G931" s="11">
        <f>F931*21</f>
        <v>2793</v>
      </c>
    </row>
    <row r="932" spans="1:7" ht="15.75">
      <c r="A932" s="26" t="s">
        <v>928</v>
      </c>
      <c r="B932" s="3" t="s">
        <v>22</v>
      </c>
      <c r="C932" s="23" t="s">
        <v>31</v>
      </c>
      <c r="D932" s="16" t="s">
        <v>934</v>
      </c>
      <c r="E932" s="16" t="s">
        <v>2102</v>
      </c>
      <c r="F932" s="157">
        <v>12</v>
      </c>
      <c r="G932" s="11">
        <f>F932*5</f>
        <v>60</v>
      </c>
    </row>
    <row r="933" spans="1:7" ht="15.75">
      <c r="A933" s="26" t="s">
        <v>928</v>
      </c>
      <c r="B933" s="3" t="s">
        <v>22</v>
      </c>
      <c r="C933" s="25" t="s">
        <v>131</v>
      </c>
      <c r="D933" s="16" t="s">
        <v>935</v>
      </c>
      <c r="E933" s="16" t="s">
        <v>2102</v>
      </c>
      <c r="F933" s="157">
        <v>15</v>
      </c>
      <c r="G933" s="11">
        <f>F933*10</f>
        <v>150</v>
      </c>
    </row>
    <row r="934" spans="1:7" ht="15.75">
      <c r="A934" s="27" t="s">
        <v>936</v>
      </c>
      <c r="B934" s="3" t="s">
        <v>22</v>
      </c>
      <c r="C934" s="23" t="s">
        <v>27</v>
      </c>
      <c r="D934" s="16" t="s">
        <v>937</v>
      </c>
      <c r="E934" s="16" t="s">
        <v>2102</v>
      </c>
      <c r="F934" s="158" t="s">
        <v>26</v>
      </c>
      <c r="G934" s="11">
        <f>F934*34</f>
        <v>0</v>
      </c>
    </row>
    <row r="935" spans="1:7" ht="15.75">
      <c r="A935" s="27" t="s">
        <v>936</v>
      </c>
      <c r="B935" s="3" t="s">
        <v>22</v>
      </c>
      <c r="C935" s="23" t="s">
        <v>29</v>
      </c>
      <c r="D935" s="16" t="s">
        <v>938</v>
      </c>
      <c r="E935" s="16" t="s">
        <v>2102</v>
      </c>
      <c r="F935" s="158" t="s">
        <v>26</v>
      </c>
      <c r="G935" s="11">
        <f>F935*21</f>
        <v>0</v>
      </c>
    </row>
    <row r="936" spans="1:7" ht="15.75">
      <c r="A936" s="27" t="s">
        <v>936</v>
      </c>
      <c r="B936" s="3" t="s">
        <v>22</v>
      </c>
      <c r="C936" s="23" t="s">
        <v>31</v>
      </c>
      <c r="D936" s="16" t="s">
        <v>590</v>
      </c>
      <c r="E936" s="16" t="s">
        <v>2102</v>
      </c>
      <c r="F936" s="158" t="s">
        <v>26</v>
      </c>
      <c r="G936" s="11">
        <f>F936*5</f>
        <v>0</v>
      </c>
    </row>
    <row r="937" spans="1:7" ht="15.75">
      <c r="A937" s="27" t="s">
        <v>936</v>
      </c>
      <c r="B937" s="3" t="s">
        <v>22</v>
      </c>
      <c r="C937" s="23" t="s">
        <v>27</v>
      </c>
      <c r="D937" s="16" t="s">
        <v>939</v>
      </c>
      <c r="E937" s="16" t="s">
        <v>2102</v>
      </c>
      <c r="F937" s="158" t="s">
        <v>26</v>
      </c>
      <c r="G937" s="11">
        <f>F937*34</f>
        <v>0</v>
      </c>
    </row>
    <row r="938" spans="1:7" ht="15.75">
      <c r="A938" s="27" t="s">
        <v>936</v>
      </c>
      <c r="B938" s="3" t="s">
        <v>22</v>
      </c>
      <c r="C938" s="23" t="s">
        <v>29</v>
      </c>
      <c r="D938" s="16" t="s">
        <v>940</v>
      </c>
      <c r="E938" s="16" t="s">
        <v>2102</v>
      </c>
      <c r="F938" s="158" t="s">
        <v>26</v>
      </c>
      <c r="G938" s="11">
        <f>F938*21</f>
        <v>0</v>
      </c>
    </row>
    <row r="939" spans="1:7" ht="15.75">
      <c r="A939" s="27" t="s">
        <v>936</v>
      </c>
      <c r="B939" s="3" t="s">
        <v>22</v>
      </c>
      <c r="C939" s="23" t="s">
        <v>31</v>
      </c>
      <c r="D939" s="16" t="s">
        <v>941</v>
      </c>
      <c r="E939" s="16" t="s">
        <v>2102</v>
      </c>
      <c r="F939" s="158" t="s">
        <v>26</v>
      </c>
      <c r="G939" s="11">
        <f>F939*5</f>
        <v>0</v>
      </c>
    </row>
    <row r="940" spans="1:7" ht="15.75">
      <c r="A940" s="27" t="s">
        <v>936</v>
      </c>
      <c r="B940" s="3" t="s">
        <v>22</v>
      </c>
      <c r="C940" s="23" t="s">
        <v>24</v>
      </c>
      <c r="D940" s="16" t="s">
        <v>942</v>
      </c>
      <c r="E940" s="16" t="s">
        <v>2102</v>
      </c>
      <c r="F940" s="157">
        <v>35</v>
      </c>
      <c r="G940" s="11">
        <f>F940*45</f>
        <v>1575</v>
      </c>
    </row>
    <row r="941" spans="1:7" ht="15.75">
      <c r="A941" s="27" t="s">
        <v>936</v>
      </c>
      <c r="B941" s="3" t="s">
        <v>22</v>
      </c>
      <c r="C941" s="23" t="s">
        <v>27</v>
      </c>
      <c r="D941" s="16" t="s">
        <v>943</v>
      </c>
      <c r="E941" s="16" t="s">
        <v>2102</v>
      </c>
      <c r="F941" s="157">
        <v>25</v>
      </c>
      <c r="G941" s="11">
        <f>F941*34</f>
        <v>850</v>
      </c>
    </row>
    <row r="942" spans="1:7" ht="15.75">
      <c r="A942" s="27" t="s">
        <v>936</v>
      </c>
      <c r="B942" s="3" t="s">
        <v>22</v>
      </c>
      <c r="C942" s="23" t="s">
        <v>29</v>
      </c>
      <c r="D942" s="16" t="s">
        <v>944</v>
      </c>
      <c r="E942" s="16" t="s">
        <v>2102</v>
      </c>
      <c r="F942" s="157">
        <v>41</v>
      </c>
      <c r="G942" s="11">
        <f>F942*21</f>
        <v>861</v>
      </c>
    </row>
    <row r="943" spans="1:7" ht="15.75">
      <c r="A943" s="27" t="s">
        <v>936</v>
      </c>
      <c r="B943" s="3" t="s">
        <v>22</v>
      </c>
      <c r="C943" s="23" t="s">
        <v>31</v>
      </c>
      <c r="D943" s="16" t="s">
        <v>945</v>
      </c>
      <c r="E943" s="16" t="s">
        <v>2102</v>
      </c>
      <c r="F943" s="157">
        <v>21</v>
      </c>
      <c r="G943" s="11">
        <f>F943*5</f>
        <v>105</v>
      </c>
    </row>
    <row r="944" spans="1:7" ht="15.75">
      <c r="A944" s="27" t="s">
        <v>936</v>
      </c>
      <c r="B944" s="3" t="s">
        <v>22</v>
      </c>
      <c r="C944" s="25" t="s">
        <v>131</v>
      </c>
      <c r="D944" s="16" t="s">
        <v>648</v>
      </c>
      <c r="E944" s="16" t="s">
        <v>2102</v>
      </c>
      <c r="F944" s="157">
        <v>44</v>
      </c>
      <c r="G944" s="11">
        <f>F944*10</f>
        <v>440</v>
      </c>
    </row>
    <row r="945" spans="1:7" ht="15.75">
      <c r="A945" s="27" t="s">
        <v>946</v>
      </c>
      <c r="B945" s="3" t="s">
        <v>22</v>
      </c>
      <c r="C945" s="23" t="s">
        <v>24</v>
      </c>
      <c r="D945" s="16" t="s">
        <v>514</v>
      </c>
      <c r="E945" s="16" t="s">
        <v>2102</v>
      </c>
      <c r="F945" s="157">
        <v>541</v>
      </c>
      <c r="G945" s="11">
        <f>F945*45</f>
        <v>24345</v>
      </c>
    </row>
    <row r="946" spans="1:7" ht="15.75">
      <c r="A946" s="27" t="s">
        <v>946</v>
      </c>
      <c r="B946" s="3" t="s">
        <v>22</v>
      </c>
      <c r="C946" s="23" t="s">
        <v>27</v>
      </c>
      <c r="D946" s="16" t="s">
        <v>529</v>
      </c>
      <c r="E946" s="16" t="s">
        <v>2102</v>
      </c>
      <c r="F946" s="157">
        <v>245</v>
      </c>
      <c r="G946" s="11">
        <f>F946*34</f>
        <v>8330</v>
      </c>
    </row>
    <row r="947" spans="1:7" ht="15.75">
      <c r="A947" s="27" t="s">
        <v>946</v>
      </c>
      <c r="B947" s="3" t="s">
        <v>22</v>
      </c>
      <c r="C947" s="25" t="s">
        <v>131</v>
      </c>
      <c r="D947" s="16" t="s">
        <v>948</v>
      </c>
      <c r="E947" s="16" t="s">
        <v>2102</v>
      </c>
      <c r="F947" s="157">
        <v>20</v>
      </c>
      <c r="G947" s="11">
        <f>F947*10</f>
        <v>200</v>
      </c>
    </row>
    <row r="948" spans="1:7" ht="15.75">
      <c r="A948" s="27" t="s">
        <v>946</v>
      </c>
      <c r="B948" s="3" t="s">
        <v>22</v>
      </c>
      <c r="C948" s="23" t="s">
        <v>29</v>
      </c>
      <c r="D948" s="16" t="s">
        <v>726</v>
      </c>
      <c r="E948" s="16" t="s">
        <v>2102</v>
      </c>
      <c r="F948" s="157">
        <v>25</v>
      </c>
      <c r="G948" s="11">
        <f>F948*21</f>
        <v>525</v>
      </c>
    </row>
    <row r="949" spans="1:7" ht="15.75">
      <c r="A949" s="27" t="s">
        <v>946</v>
      </c>
      <c r="B949" s="3" t="s">
        <v>22</v>
      </c>
      <c r="C949" s="23" t="s">
        <v>31</v>
      </c>
      <c r="D949" s="16" t="s">
        <v>949</v>
      </c>
      <c r="E949" s="16" t="s">
        <v>2102</v>
      </c>
      <c r="F949" s="157">
        <v>10</v>
      </c>
      <c r="G949" s="11">
        <f>F949*5</f>
        <v>50</v>
      </c>
    </row>
    <row r="950" spans="1:7" ht="15.75">
      <c r="A950" s="27" t="s">
        <v>950</v>
      </c>
      <c r="B950" s="3" t="s">
        <v>22</v>
      </c>
      <c r="C950" s="23" t="s">
        <v>27</v>
      </c>
      <c r="D950" s="16" t="s">
        <v>951</v>
      </c>
      <c r="E950" s="16" t="s">
        <v>2102</v>
      </c>
      <c r="F950" s="157">
        <v>85</v>
      </c>
      <c r="G950" s="11">
        <f>F950*34</f>
        <v>2890</v>
      </c>
    </row>
    <row r="951" spans="1:7" ht="15.75">
      <c r="A951" s="27" t="s">
        <v>950</v>
      </c>
      <c r="B951" s="3" t="s">
        <v>22</v>
      </c>
      <c r="C951" s="23" t="s">
        <v>29</v>
      </c>
      <c r="D951" s="16" t="s">
        <v>829</v>
      </c>
      <c r="E951" s="16" t="s">
        <v>2102</v>
      </c>
      <c r="F951" s="157">
        <v>124</v>
      </c>
      <c r="G951" s="11">
        <f>F951*21</f>
        <v>2604</v>
      </c>
    </row>
    <row r="952" spans="1:7" ht="15.75">
      <c r="A952" s="27" t="s">
        <v>950</v>
      </c>
      <c r="B952" s="3" t="s">
        <v>22</v>
      </c>
      <c r="C952" s="23" t="s">
        <v>31</v>
      </c>
      <c r="D952" s="16" t="s">
        <v>952</v>
      </c>
      <c r="E952" s="16" t="s">
        <v>2102</v>
      </c>
      <c r="F952" s="157">
        <v>35</v>
      </c>
      <c r="G952" s="11">
        <f>F952*5</f>
        <v>175</v>
      </c>
    </row>
    <row r="953" spans="1:7" ht="15.75">
      <c r="A953" s="15" t="s">
        <v>953</v>
      </c>
      <c r="B953" s="3" t="s">
        <v>22</v>
      </c>
      <c r="C953" s="23" t="s">
        <v>24</v>
      </c>
      <c r="D953" s="16" t="s">
        <v>956</v>
      </c>
      <c r="E953" s="16" t="s">
        <v>2102</v>
      </c>
      <c r="F953" s="157">
        <v>54</v>
      </c>
      <c r="G953" s="11">
        <f>F953*45</f>
        <v>2430</v>
      </c>
    </row>
    <row r="954" spans="1:7" ht="15.75">
      <c r="A954" s="15" t="s">
        <v>953</v>
      </c>
      <c r="B954" s="3" t="s">
        <v>22</v>
      </c>
      <c r="C954" s="23" t="s">
        <v>27</v>
      </c>
      <c r="D954" s="16" t="s">
        <v>957</v>
      </c>
      <c r="E954" s="16" t="s">
        <v>2102</v>
      </c>
      <c r="F954" s="157">
        <v>96</v>
      </c>
      <c r="G954" s="11">
        <f>F954*34</f>
        <v>3264</v>
      </c>
    </row>
    <row r="955" spans="1:7" ht="15.75">
      <c r="A955" s="15" t="s">
        <v>953</v>
      </c>
      <c r="B955" s="3" t="s">
        <v>22</v>
      </c>
      <c r="C955" s="25" t="s">
        <v>958</v>
      </c>
      <c r="D955" s="16" t="s">
        <v>959</v>
      </c>
      <c r="E955" s="16" t="s">
        <v>2102</v>
      </c>
      <c r="F955" s="158" t="s">
        <v>26</v>
      </c>
      <c r="G955" s="11">
        <f>F955*38</f>
        <v>0</v>
      </c>
    </row>
    <row r="956" spans="1:7" ht="15.75">
      <c r="A956" s="15" t="s">
        <v>953</v>
      </c>
      <c r="B956" s="3" t="s">
        <v>22</v>
      </c>
      <c r="C956" s="23" t="s">
        <v>29</v>
      </c>
      <c r="D956" s="16" t="s">
        <v>960</v>
      </c>
      <c r="E956" s="16" t="s">
        <v>2102</v>
      </c>
      <c r="F956" s="157">
        <v>182</v>
      </c>
      <c r="G956" s="11">
        <f>F956*21</f>
        <v>3822</v>
      </c>
    </row>
    <row r="957" spans="1:7" ht="15.75">
      <c r="A957" s="15" t="s">
        <v>953</v>
      </c>
      <c r="B957" s="3" t="s">
        <v>22</v>
      </c>
      <c r="C957" s="23" t="s">
        <v>31</v>
      </c>
      <c r="D957" s="16" t="s">
        <v>961</v>
      </c>
      <c r="E957" s="16" t="s">
        <v>2102</v>
      </c>
      <c r="F957" s="157">
        <v>15</v>
      </c>
      <c r="G957" s="11">
        <f>F957*5</f>
        <v>75</v>
      </c>
    </row>
    <row r="958" spans="1:7" ht="15.75">
      <c r="A958" s="15" t="s">
        <v>953</v>
      </c>
      <c r="B958" s="3" t="s">
        <v>22</v>
      </c>
      <c r="C958" s="23" t="s">
        <v>27</v>
      </c>
      <c r="D958" s="16" t="s">
        <v>962</v>
      </c>
      <c r="E958" s="16" t="s">
        <v>2102</v>
      </c>
      <c r="F958" s="158" t="s">
        <v>26</v>
      </c>
      <c r="G958" s="11">
        <f>F958*34</f>
        <v>0</v>
      </c>
    </row>
    <row r="959" spans="1:7" ht="15.75">
      <c r="A959" s="15" t="s">
        <v>953</v>
      </c>
      <c r="B959" s="3" t="s">
        <v>22</v>
      </c>
      <c r="C959" s="23" t="s">
        <v>29</v>
      </c>
      <c r="D959" s="16" t="s">
        <v>755</v>
      </c>
      <c r="E959" s="16" t="s">
        <v>2102</v>
      </c>
      <c r="F959" s="158" t="s">
        <v>26</v>
      </c>
      <c r="G959" s="11">
        <f>F959*21</f>
        <v>0</v>
      </c>
    </row>
    <row r="960" spans="1:7" ht="15.75">
      <c r="A960" s="15" t="s">
        <v>953</v>
      </c>
      <c r="B960" s="3" t="s">
        <v>22</v>
      </c>
      <c r="C960" s="23" t="s">
        <v>31</v>
      </c>
      <c r="D960" s="16" t="s">
        <v>584</v>
      </c>
      <c r="E960" s="16" t="s">
        <v>2102</v>
      </c>
      <c r="F960" s="158" t="s">
        <v>26</v>
      </c>
      <c r="G960" s="11">
        <f>F960*5</f>
        <v>0</v>
      </c>
    </row>
    <row r="961" spans="1:7" ht="15.75">
      <c r="A961" s="27" t="s">
        <v>963</v>
      </c>
      <c r="B961" s="3" t="s">
        <v>22</v>
      </c>
      <c r="C961" s="25" t="s">
        <v>27</v>
      </c>
      <c r="D961" s="16" t="s">
        <v>965</v>
      </c>
      <c r="E961" s="16" t="s">
        <v>2102</v>
      </c>
      <c r="F961" s="158" t="s">
        <v>26</v>
      </c>
      <c r="G961" s="11">
        <f>F961*34</f>
        <v>0</v>
      </c>
    </row>
    <row r="962" spans="1:7" ht="15.75">
      <c r="A962" s="27" t="s">
        <v>963</v>
      </c>
      <c r="B962" s="3" t="s">
        <v>22</v>
      </c>
      <c r="C962" s="25" t="s">
        <v>131</v>
      </c>
      <c r="D962" s="16" t="s">
        <v>844</v>
      </c>
      <c r="E962" s="16" t="s">
        <v>2102</v>
      </c>
      <c r="F962" s="158" t="s">
        <v>26</v>
      </c>
      <c r="G962" s="11">
        <f>F962*10</f>
        <v>0</v>
      </c>
    </row>
    <row r="963" spans="1:7" ht="15.75">
      <c r="A963" s="27" t="s">
        <v>963</v>
      </c>
      <c r="B963" s="3" t="s">
        <v>22</v>
      </c>
      <c r="C963" s="25" t="s">
        <v>24</v>
      </c>
      <c r="D963" s="16" t="s">
        <v>966</v>
      </c>
      <c r="E963" s="16" t="s">
        <v>2102</v>
      </c>
      <c r="F963" s="157">
        <v>55</v>
      </c>
      <c r="G963" s="11">
        <f>F963*45</f>
        <v>2475</v>
      </c>
    </row>
    <row r="964" spans="1:7" ht="15.75">
      <c r="A964" s="27" t="s">
        <v>963</v>
      </c>
      <c r="B964" s="3" t="s">
        <v>22</v>
      </c>
      <c r="C964" s="25" t="s">
        <v>27</v>
      </c>
      <c r="D964" s="16" t="s">
        <v>967</v>
      </c>
      <c r="E964" s="16" t="s">
        <v>2102</v>
      </c>
      <c r="F964" s="157">
        <v>71</v>
      </c>
      <c r="G964" s="11">
        <f>F964*34</f>
        <v>2414</v>
      </c>
    </row>
    <row r="965" spans="1:7" ht="15.75">
      <c r="A965" s="27" t="s">
        <v>963</v>
      </c>
      <c r="B965" s="3" t="s">
        <v>22</v>
      </c>
      <c r="C965" s="25" t="s">
        <v>131</v>
      </c>
      <c r="D965" s="16" t="s">
        <v>789</v>
      </c>
      <c r="E965" s="16" t="s">
        <v>2102</v>
      </c>
      <c r="F965" s="157">
        <v>541</v>
      </c>
      <c r="G965" s="11">
        <f>F965*10</f>
        <v>5410</v>
      </c>
    </row>
    <row r="966" spans="1:7" ht="15.75">
      <c r="A966" s="27" t="s">
        <v>963</v>
      </c>
      <c r="B966" s="3" t="s">
        <v>22</v>
      </c>
      <c r="C966" s="23" t="s">
        <v>29</v>
      </c>
      <c r="D966" s="16" t="s">
        <v>28</v>
      </c>
      <c r="E966" s="16" t="s">
        <v>2102</v>
      </c>
      <c r="F966" s="157">
        <v>95</v>
      </c>
      <c r="G966" s="11">
        <f>F966*21</f>
        <v>1995</v>
      </c>
    </row>
    <row r="967" spans="1:7" ht="15.75">
      <c r="A967" s="27" t="s">
        <v>963</v>
      </c>
      <c r="B967" s="3" t="s">
        <v>22</v>
      </c>
      <c r="C967" s="23" t="s">
        <v>31</v>
      </c>
      <c r="D967" s="16" t="s">
        <v>968</v>
      </c>
      <c r="E967" s="16" t="s">
        <v>2102</v>
      </c>
      <c r="F967" s="157">
        <v>10</v>
      </c>
      <c r="G967" s="11">
        <f>F967*5</f>
        <v>50</v>
      </c>
    </row>
    <row r="968" spans="1:7" ht="15.75">
      <c r="A968" s="15" t="s">
        <v>969</v>
      </c>
      <c r="B968" s="3" t="s">
        <v>22</v>
      </c>
      <c r="C968" s="25" t="s">
        <v>27</v>
      </c>
      <c r="D968" s="16" t="s">
        <v>971</v>
      </c>
      <c r="E968" s="16" t="s">
        <v>2102</v>
      </c>
      <c r="F968" s="157">
        <v>255</v>
      </c>
      <c r="G968" s="11">
        <f>F968*34</f>
        <v>8670</v>
      </c>
    </row>
    <row r="969" spans="1:7" ht="15.75">
      <c r="A969" s="15" t="s">
        <v>969</v>
      </c>
      <c r="B969" s="3" t="s">
        <v>22</v>
      </c>
      <c r="C969" s="25" t="s">
        <v>29</v>
      </c>
      <c r="D969" s="16" t="s">
        <v>338</v>
      </c>
      <c r="E969" s="16" t="s">
        <v>2102</v>
      </c>
      <c r="F969" s="157">
        <v>132</v>
      </c>
      <c r="G969" s="11">
        <f>F969*21</f>
        <v>2772</v>
      </c>
    </row>
    <row r="970" spans="1:7" ht="15.75">
      <c r="A970" s="15" t="s">
        <v>969</v>
      </c>
      <c r="B970" s="3" t="s">
        <v>22</v>
      </c>
      <c r="C970" s="25" t="s">
        <v>31</v>
      </c>
      <c r="D970" s="16" t="s">
        <v>972</v>
      </c>
      <c r="E970" s="16" t="s">
        <v>2102</v>
      </c>
      <c r="F970" s="157">
        <v>10</v>
      </c>
      <c r="G970" s="11">
        <f>F970*5</f>
        <v>50</v>
      </c>
    </row>
    <row r="971" spans="1:7" ht="15.75">
      <c r="A971" s="15" t="s">
        <v>973</v>
      </c>
      <c r="B971" s="3" t="s">
        <v>22</v>
      </c>
      <c r="C971" s="23" t="s">
        <v>24</v>
      </c>
      <c r="D971" s="16" t="s">
        <v>446</v>
      </c>
      <c r="E971" s="16" t="s">
        <v>2102</v>
      </c>
      <c r="F971" s="158" t="s">
        <v>26</v>
      </c>
      <c r="G971" s="11">
        <f>F971*45</f>
        <v>0</v>
      </c>
    </row>
    <row r="972" spans="1:7" ht="15.75">
      <c r="A972" s="15" t="s">
        <v>973</v>
      </c>
      <c r="B972" s="3" t="s">
        <v>22</v>
      </c>
      <c r="C972" s="23" t="s">
        <v>27</v>
      </c>
      <c r="D972" s="16" t="s">
        <v>974</v>
      </c>
      <c r="E972" s="16" t="s">
        <v>2102</v>
      </c>
      <c r="F972" s="158" t="s">
        <v>26</v>
      </c>
      <c r="G972" s="11">
        <f>F972*34</f>
        <v>0</v>
      </c>
    </row>
    <row r="973" spans="1:7" ht="15.75">
      <c r="A973" s="15" t="s">
        <v>973</v>
      </c>
      <c r="B973" s="3" t="s">
        <v>22</v>
      </c>
      <c r="C973" s="23" t="s">
        <v>29</v>
      </c>
      <c r="D973" s="16" t="s">
        <v>975</v>
      </c>
      <c r="E973" s="16" t="s">
        <v>2102</v>
      </c>
      <c r="F973" s="158" t="s">
        <v>26</v>
      </c>
      <c r="G973" s="11">
        <f>F973*21</f>
        <v>0</v>
      </c>
    </row>
    <row r="974" spans="1:7" ht="15.75">
      <c r="A974" s="15" t="s">
        <v>973</v>
      </c>
      <c r="B974" s="3" t="s">
        <v>22</v>
      </c>
      <c r="C974" s="23" t="s">
        <v>31</v>
      </c>
      <c r="D974" s="16" t="s">
        <v>976</v>
      </c>
      <c r="E974" s="16" t="s">
        <v>2102</v>
      </c>
      <c r="F974" s="157">
        <v>30</v>
      </c>
      <c r="G974" s="11">
        <f>F974*5</f>
        <v>150</v>
      </c>
    </row>
    <row r="975" spans="1:7" ht="15.75">
      <c r="A975" s="15" t="s">
        <v>973</v>
      </c>
      <c r="B975" s="3" t="s">
        <v>22</v>
      </c>
      <c r="C975" s="25" t="s">
        <v>131</v>
      </c>
      <c r="D975" s="16" t="s">
        <v>977</v>
      </c>
      <c r="E975" s="16" t="s">
        <v>2102</v>
      </c>
      <c r="F975" s="158" t="s">
        <v>26</v>
      </c>
      <c r="G975" s="11">
        <f>F975*10</f>
        <v>0</v>
      </c>
    </row>
    <row r="976" spans="1:7" ht="15.75">
      <c r="A976" s="18" t="s">
        <v>978</v>
      </c>
      <c r="B976" s="3" t="s">
        <v>22</v>
      </c>
      <c r="C976" s="23" t="s">
        <v>27</v>
      </c>
      <c r="D976" s="16" t="s">
        <v>979</v>
      </c>
      <c r="E976" s="16" t="s">
        <v>2102</v>
      </c>
      <c r="F976" s="158" t="s">
        <v>26</v>
      </c>
      <c r="G976" s="11">
        <f>F976*34</f>
        <v>0</v>
      </c>
    </row>
    <row r="977" spans="1:7" ht="15.75">
      <c r="A977" s="18" t="s">
        <v>978</v>
      </c>
      <c r="B977" s="3" t="s">
        <v>22</v>
      </c>
      <c r="C977" s="23" t="s">
        <v>29</v>
      </c>
      <c r="D977" s="16" t="s">
        <v>980</v>
      </c>
      <c r="E977" s="16" t="s">
        <v>2102</v>
      </c>
      <c r="F977" s="158" t="s">
        <v>26</v>
      </c>
      <c r="G977" s="11">
        <f>F977*21</f>
        <v>0</v>
      </c>
    </row>
    <row r="978" spans="1:7" ht="15.75">
      <c r="A978" s="18" t="s">
        <v>978</v>
      </c>
      <c r="B978" s="3" t="s">
        <v>22</v>
      </c>
      <c r="C978" s="23" t="s">
        <v>31</v>
      </c>
      <c r="D978" s="16" t="s">
        <v>975</v>
      </c>
      <c r="E978" s="16" t="s">
        <v>2102</v>
      </c>
      <c r="F978" s="158" t="s">
        <v>26</v>
      </c>
      <c r="G978" s="11">
        <f>F978*5</f>
        <v>0</v>
      </c>
    </row>
    <row r="979" spans="1:7" ht="15.75">
      <c r="A979" s="18" t="s">
        <v>978</v>
      </c>
      <c r="B979" s="3" t="s">
        <v>22</v>
      </c>
      <c r="C979" s="23" t="s">
        <v>24</v>
      </c>
      <c r="D979" s="16" t="s">
        <v>982</v>
      </c>
      <c r="E979" s="16" t="s">
        <v>2102</v>
      </c>
      <c r="F979" s="157">
        <v>125</v>
      </c>
      <c r="G979" s="11">
        <f>F979*45</f>
        <v>5625</v>
      </c>
    </row>
    <row r="980" spans="1:7" ht="15.75">
      <c r="A980" s="18" t="s">
        <v>978</v>
      </c>
      <c r="B980" s="3" t="s">
        <v>22</v>
      </c>
      <c r="C980" s="23" t="s">
        <v>27</v>
      </c>
      <c r="D980" s="16" t="s">
        <v>983</v>
      </c>
      <c r="E980" s="16" t="s">
        <v>2102</v>
      </c>
      <c r="F980" s="157">
        <v>101</v>
      </c>
      <c r="G980" s="11">
        <f>F980*34</f>
        <v>3434</v>
      </c>
    </row>
    <row r="981" spans="1:7" ht="15.75">
      <c r="A981" s="18" t="s">
        <v>978</v>
      </c>
      <c r="B981" s="3" t="s">
        <v>22</v>
      </c>
      <c r="C981" s="25" t="s">
        <v>958</v>
      </c>
      <c r="D981" s="16" t="s">
        <v>984</v>
      </c>
      <c r="E981" s="16" t="s">
        <v>2102</v>
      </c>
      <c r="F981" s="158" t="s">
        <v>26</v>
      </c>
      <c r="G981" s="11">
        <f>F981*38</f>
        <v>0</v>
      </c>
    </row>
    <row r="982" spans="1:7" ht="15.75">
      <c r="A982" s="18" t="s">
        <v>978</v>
      </c>
      <c r="B982" s="3" t="s">
        <v>22</v>
      </c>
      <c r="C982" s="23" t="s">
        <v>29</v>
      </c>
      <c r="D982" s="16" t="s">
        <v>985</v>
      </c>
      <c r="E982" s="16" t="s">
        <v>2102</v>
      </c>
      <c r="F982" s="157">
        <v>145</v>
      </c>
      <c r="G982" s="11">
        <f>F982*21</f>
        <v>3045</v>
      </c>
    </row>
    <row r="983" spans="1:7" ht="15.75">
      <c r="A983" s="18" t="s">
        <v>978</v>
      </c>
      <c r="B983" s="3" t="s">
        <v>22</v>
      </c>
      <c r="C983" s="23" t="s">
        <v>31</v>
      </c>
      <c r="D983" s="16" t="s">
        <v>986</v>
      </c>
      <c r="E983" s="16" t="s">
        <v>2102</v>
      </c>
      <c r="F983" s="157">
        <v>39</v>
      </c>
      <c r="G983" s="11">
        <f>F983*5</f>
        <v>195</v>
      </c>
    </row>
    <row r="984" spans="1:7" ht="15.75">
      <c r="A984" s="18" t="s">
        <v>978</v>
      </c>
      <c r="B984" s="3" t="s">
        <v>22</v>
      </c>
      <c r="C984" s="23" t="s">
        <v>24</v>
      </c>
      <c r="D984" s="16" t="s">
        <v>987</v>
      </c>
      <c r="E984" s="16" t="s">
        <v>2102</v>
      </c>
      <c r="F984" s="158" t="s">
        <v>26</v>
      </c>
      <c r="G984" s="11">
        <f>F984*45</f>
        <v>0</v>
      </c>
    </row>
    <row r="985" spans="1:7" ht="15.75">
      <c r="A985" s="18" t="s">
        <v>978</v>
      </c>
      <c r="B985" s="3" t="s">
        <v>22</v>
      </c>
      <c r="C985" s="23" t="s">
        <v>27</v>
      </c>
      <c r="D985" s="16" t="s">
        <v>988</v>
      </c>
      <c r="E985" s="16" t="s">
        <v>2102</v>
      </c>
      <c r="F985" s="158" t="s">
        <v>26</v>
      </c>
      <c r="G985" s="11">
        <f>F985*34</f>
        <v>0</v>
      </c>
    </row>
    <row r="986" spans="1:7" ht="15.75">
      <c r="A986" s="18" t="s">
        <v>978</v>
      </c>
      <c r="B986" s="3" t="s">
        <v>22</v>
      </c>
      <c r="C986" s="25" t="s">
        <v>958</v>
      </c>
      <c r="D986" s="16" t="s">
        <v>989</v>
      </c>
      <c r="E986" s="16" t="s">
        <v>2102</v>
      </c>
      <c r="F986" s="158" t="s">
        <v>26</v>
      </c>
      <c r="G986" s="11">
        <f>F986*38</f>
        <v>0</v>
      </c>
    </row>
    <row r="987" spans="1:7" ht="15.75">
      <c r="A987" s="18" t="s">
        <v>978</v>
      </c>
      <c r="B987" s="3" t="s">
        <v>22</v>
      </c>
      <c r="C987" s="23" t="s">
        <v>29</v>
      </c>
      <c r="D987" s="16" t="s">
        <v>990</v>
      </c>
      <c r="E987" s="16" t="s">
        <v>2102</v>
      </c>
      <c r="F987" s="158" t="s">
        <v>26</v>
      </c>
      <c r="G987" s="11">
        <f>F987*21</f>
        <v>0</v>
      </c>
    </row>
    <row r="988" spans="1:7" ht="15.75">
      <c r="A988" s="18" t="s">
        <v>978</v>
      </c>
      <c r="B988" s="3" t="s">
        <v>22</v>
      </c>
      <c r="C988" s="23" t="s">
        <v>31</v>
      </c>
      <c r="D988" s="16" t="s">
        <v>991</v>
      </c>
      <c r="E988" s="16" t="s">
        <v>2102</v>
      </c>
      <c r="F988" s="158" t="s">
        <v>26</v>
      </c>
      <c r="G988" s="11">
        <f>F988*5</f>
        <v>0</v>
      </c>
    </row>
    <row r="989" spans="1:7" ht="15.75">
      <c r="A989" s="18" t="s">
        <v>992</v>
      </c>
      <c r="B989" s="3" t="s">
        <v>22</v>
      </c>
      <c r="C989" s="23" t="s">
        <v>27</v>
      </c>
      <c r="D989" s="16" t="s">
        <v>993</v>
      </c>
      <c r="E989" s="16" t="s">
        <v>2102</v>
      </c>
      <c r="F989" s="157">
        <v>14</v>
      </c>
      <c r="G989" s="11">
        <f>F989*34</f>
        <v>476</v>
      </c>
    </row>
    <row r="990" spans="1:7" ht="15.75">
      <c r="A990" s="18" t="s">
        <v>992</v>
      </c>
      <c r="B990" s="3" t="s">
        <v>22</v>
      </c>
      <c r="C990" s="23" t="s">
        <v>29</v>
      </c>
      <c r="D990" s="16" t="s">
        <v>994</v>
      </c>
      <c r="E990" s="16" t="s">
        <v>2102</v>
      </c>
      <c r="F990" s="157">
        <v>10</v>
      </c>
      <c r="G990" s="11">
        <f>F990*21</f>
        <v>210</v>
      </c>
    </row>
    <row r="991" spans="1:7" ht="15.75">
      <c r="A991" s="18" t="s">
        <v>992</v>
      </c>
      <c r="B991" s="3" t="s">
        <v>22</v>
      </c>
      <c r="C991" s="25" t="s">
        <v>995</v>
      </c>
      <c r="D991" s="16" t="s">
        <v>996</v>
      </c>
      <c r="E991" s="16" t="s">
        <v>2102</v>
      </c>
      <c r="F991" s="157">
        <v>508</v>
      </c>
      <c r="G991" s="11">
        <f>F991*19</f>
        <v>9652</v>
      </c>
    </row>
    <row r="992" spans="1:7" ht="15.75">
      <c r="A992" s="18" t="s">
        <v>997</v>
      </c>
      <c r="B992" s="3" t="s">
        <v>22</v>
      </c>
      <c r="C992" s="23" t="s">
        <v>27</v>
      </c>
      <c r="D992" s="16" t="s">
        <v>294</v>
      </c>
      <c r="E992" s="16" t="s">
        <v>2102</v>
      </c>
      <c r="F992" s="158" t="s">
        <v>26</v>
      </c>
      <c r="G992" s="11">
        <f>F992*34</f>
        <v>0</v>
      </c>
    </row>
    <row r="993" spans="1:7" ht="15.75">
      <c r="A993" s="18" t="s">
        <v>997</v>
      </c>
      <c r="B993" s="3" t="s">
        <v>22</v>
      </c>
      <c r="C993" s="23" t="s">
        <v>29</v>
      </c>
      <c r="D993" s="16" t="s">
        <v>968</v>
      </c>
      <c r="E993" s="16" t="s">
        <v>2102</v>
      </c>
      <c r="F993" s="158" t="s">
        <v>26</v>
      </c>
      <c r="G993" s="11">
        <f>F993*21</f>
        <v>0</v>
      </c>
    </row>
    <row r="994" spans="1:7" ht="15.75">
      <c r="A994" s="18" t="s">
        <v>997</v>
      </c>
      <c r="B994" s="3" t="s">
        <v>22</v>
      </c>
      <c r="C994" s="23" t="s">
        <v>31</v>
      </c>
      <c r="D994" s="16" t="s">
        <v>998</v>
      </c>
      <c r="E994" s="16" t="s">
        <v>2102</v>
      </c>
      <c r="F994" s="158" t="s">
        <v>26</v>
      </c>
      <c r="G994" s="11">
        <f>F994*5</f>
        <v>0</v>
      </c>
    </row>
    <row r="995" spans="1:7" ht="15.75">
      <c r="A995" s="18" t="s">
        <v>997</v>
      </c>
      <c r="B995" s="3" t="s">
        <v>22</v>
      </c>
      <c r="C995" s="23" t="s">
        <v>24</v>
      </c>
      <c r="D995" s="16" t="s">
        <v>999</v>
      </c>
      <c r="E995" s="16" t="s">
        <v>2102</v>
      </c>
      <c r="F995" s="157">
        <v>201</v>
      </c>
      <c r="G995" s="11">
        <f>F995*45</f>
        <v>9045</v>
      </c>
    </row>
    <row r="996" spans="1:7" ht="15.75">
      <c r="A996" s="18" t="s">
        <v>997</v>
      </c>
      <c r="B996" s="3" t="s">
        <v>22</v>
      </c>
      <c r="C996" s="23" t="s">
        <v>27</v>
      </c>
      <c r="D996" s="16" t="s">
        <v>1000</v>
      </c>
      <c r="E996" s="16" t="s">
        <v>2102</v>
      </c>
      <c r="F996" s="157">
        <v>221</v>
      </c>
      <c r="G996" s="11">
        <f>F996*34</f>
        <v>7514</v>
      </c>
    </row>
    <row r="997" spans="1:7" ht="15.75">
      <c r="A997" s="18" t="s">
        <v>997</v>
      </c>
      <c r="B997" s="3" t="s">
        <v>22</v>
      </c>
      <c r="C997" s="25" t="s">
        <v>958</v>
      </c>
      <c r="D997" s="16" t="s">
        <v>1001</v>
      </c>
      <c r="E997" s="16" t="s">
        <v>2102</v>
      </c>
      <c r="F997" s="157">
        <v>8</v>
      </c>
      <c r="G997" s="11">
        <f>F997*38</f>
        <v>304</v>
      </c>
    </row>
    <row r="998" spans="1:7" ht="15.75">
      <c r="A998" s="18" t="s">
        <v>997</v>
      </c>
      <c r="B998" s="3" t="s">
        <v>22</v>
      </c>
      <c r="C998" s="23" t="s">
        <v>29</v>
      </c>
      <c r="D998" s="16" t="s">
        <v>960</v>
      </c>
      <c r="E998" s="16" t="s">
        <v>2102</v>
      </c>
      <c r="F998" s="157">
        <v>88</v>
      </c>
      <c r="G998" s="11">
        <f>F998*21</f>
        <v>1848</v>
      </c>
    </row>
    <row r="999" spans="1:7" ht="15.75">
      <c r="A999" s="18" t="s">
        <v>997</v>
      </c>
      <c r="B999" s="3" t="s">
        <v>22</v>
      </c>
      <c r="C999" s="23" t="s">
        <v>31</v>
      </c>
      <c r="D999" s="16" t="s">
        <v>1002</v>
      </c>
      <c r="E999" s="16" t="s">
        <v>2102</v>
      </c>
      <c r="F999" s="157">
        <v>47</v>
      </c>
      <c r="G999" s="11">
        <f>F999*5</f>
        <v>235</v>
      </c>
    </row>
    <row r="1000" spans="1:7" ht="15.75">
      <c r="A1000" s="18" t="s">
        <v>997</v>
      </c>
      <c r="B1000" s="3" t="s">
        <v>22</v>
      </c>
      <c r="C1000" s="23" t="s">
        <v>24</v>
      </c>
      <c r="D1000" s="16" t="s">
        <v>1004</v>
      </c>
      <c r="E1000" s="16" t="s">
        <v>2102</v>
      </c>
      <c r="F1000" s="158" t="s">
        <v>26</v>
      </c>
      <c r="G1000" s="11">
        <f>F1000*45</f>
        <v>0</v>
      </c>
    </row>
    <row r="1001" spans="1:7" ht="15.75">
      <c r="A1001" s="18" t="s">
        <v>997</v>
      </c>
      <c r="B1001" s="3" t="s">
        <v>22</v>
      </c>
      <c r="C1001" s="23" t="s">
        <v>27</v>
      </c>
      <c r="D1001" s="16" t="s">
        <v>1005</v>
      </c>
      <c r="E1001" s="16" t="s">
        <v>2102</v>
      </c>
      <c r="F1001" s="158" t="s">
        <v>26</v>
      </c>
      <c r="G1001" s="11">
        <f>F1001*34</f>
        <v>0</v>
      </c>
    </row>
    <row r="1002" spans="1:7" ht="15.75">
      <c r="A1002" s="18" t="s">
        <v>997</v>
      </c>
      <c r="B1002" s="3" t="s">
        <v>22</v>
      </c>
      <c r="C1002" s="25" t="s">
        <v>958</v>
      </c>
      <c r="D1002" s="16" t="s">
        <v>1006</v>
      </c>
      <c r="E1002" s="16" t="s">
        <v>2102</v>
      </c>
      <c r="F1002" s="158" t="s">
        <v>26</v>
      </c>
      <c r="G1002" s="11">
        <f>F1002*38</f>
        <v>0</v>
      </c>
    </row>
    <row r="1003" spans="1:7" ht="15.75">
      <c r="A1003" s="18" t="s">
        <v>997</v>
      </c>
      <c r="B1003" s="3" t="s">
        <v>22</v>
      </c>
      <c r="C1003" s="23" t="s">
        <v>29</v>
      </c>
      <c r="D1003" s="16" t="s">
        <v>1007</v>
      </c>
      <c r="E1003" s="16" t="s">
        <v>2102</v>
      </c>
      <c r="F1003" s="158" t="s">
        <v>26</v>
      </c>
      <c r="G1003" s="11">
        <f>F1003*21</f>
        <v>0</v>
      </c>
    </row>
    <row r="1004" spans="1:7" ht="15.75">
      <c r="A1004" s="18" t="s">
        <v>997</v>
      </c>
      <c r="B1004" s="3" t="s">
        <v>22</v>
      </c>
      <c r="C1004" s="23" t="s">
        <v>31</v>
      </c>
      <c r="D1004" s="16" t="s">
        <v>1008</v>
      </c>
      <c r="E1004" s="16" t="s">
        <v>2102</v>
      </c>
      <c r="F1004" s="158" t="s">
        <v>26</v>
      </c>
      <c r="G1004" s="11">
        <f>F1004*5</f>
        <v>0</v>
      </c>
    </row>
    <row r="1005" spans="1:7" ht="15.75">
      <c r="A1005" s="18" t="s">
        <v>1009</v>
      </c>
      <c r="B1005" s="3" t="s">
        <v>22</v>
      </c>
      <c r="C1005" s="25" t="s">
        <v>24</v>
      </c>
      <c r="D1005" s="16" t="s">
        <v>122</v>
      </c>
      <c r="E1005" s="16" t="s">
        <v>2102</v>
      </c>
      <c r="F1005" s="157">
        <v>98</v>
      </c>
      <c r="G1005" s="11">
        <f>F1005*45</f>
        <v>4410</v>
      </c>
    </row>
    <row r="1006" spans="1:7" ht="15.75">
      <c r="A1006" s="18" t="s">
        <v>1009</v>
      </c>
      <c r="B1006" s="3" t="s">
        <v>22</v>
      </c>
      <c r="C1006" s="25" t="s">
        <v>27</v>
      </c>
      <c r="D1006" s="16" t="s">
        <v>986</v>
      </c>
      <c r="E1006" s="16" t="s">
        <v>2102</v>
      </c>
      <c r="F1006" s="157">
        <v>45</v>
      </c>
      <c r="G1006" s="11">
        <f>F1006*34</f>
        <v>1530</v>
      </c>
    </row>
    <row r="1007" spans="1:7" ht="15.75">
      <c r="A1007" s="18" t="s">
        <v>1009</v>
      </c>
      <c r="B1007" s="3" t="s">
        <v>22</v>
      </c>
      <c r="C1007" s="25" t="s">
        <v>995</v>
      </c>
      <c r="D1007" s="16" t="s">
        <v>1010</v>
      </c>
      <c r="E1007" s="16" t="s">
        <v>2102</v>
      </c>
      <c r="F1007" s="157">
        <v>28</v>
      </c>
      <c r="G1007" s="11">
        <f>F1007*19</f>
        <v>532</v>
      </c>
    </row>
    <row r="1008" spans="1:7" ht="15.75">
      <c r="A1008" s="18" t="s">
        <v>1011</v>
      </c>
      <c r="B1008" s="3" t="s">
        <v>22</v>
      </c>
      <c r="C1008" s="25" t="s">
        <v>27</v>
      </c>
      <c r="D1008" s="16" t="s">
        <v>988</v>
      </c>
      <c r="E1008" s="16" t="s">
        <v>2102</v>
      </c>
      <c r="F1008" s="158" t="s">
        <v>26</v>
      </c>
      <c r="G1008" s="11">
        <f>F1008*34</f>
        <v>0</v>
      </c>
    </row>
    <row r="1009" spans="1:7" ht="15.75">
      <c r="A1009" s="18" t="s">
        <v>1011</v>
      </c>
      <c r="B1009" s="3" t="s">
        <v>22</v>
      </c>
      <c r="C1009" s="25" t="s">
        <v>995</v>
      </c>
      <c r="D1009" s="16" t="s">
        <v>1013</v>
      </c>
      <c r="E1009" s="16" t="s">
        <v>2102</v>
      </c>
      <c r="F1009" s="158" t="s">
        <v>26</v>
      </c>
      <c r="G1009" s="11">
        <f>F1009*19</f>
        <v>0</v>
      </c>
    </row>
    <row r="1010" spans="1:7" ht="15.75">
      <c r="A1010" s="18" t="s">
        <v>1011</v>
      </c>
      <c r="B1010" s="3" t="s">
        <v>22</v>
      </c>
      <c r="C1010" s="25" t="s">
        <v>27</v>
      </c>
      <c r="D1010" s="16" t="s">
        <v>1016</v>
      </c>
      <c r="E1010" s="16" t="s">
        <v>2102</v>
      </c>
      <c r="F1010" s="157">
        <v>205</v>
      </c>
      <c r="G1010" s="11">
        <f>F1010*34</f>
        <v>6970</v>
      </c>
    </row>
    <row r="1011" spans="1:7" ht="15.75">
      <c r="A1011" s="18" t="s">
        <v>1011</v>
      </c>
      <c r="B1011" s="3" t="s">
        <v>22</v>
      </c>
      <c r="C1011" s="25" t="s">
        <v>958</v>
      </c>
      <c r="D1011" s="16" t="s">
        <v>1018</v>
      </c>
      <c r="E1011" s="16" t="s">
        <v>2102</v>
      </c>
      <c r="F1011" s="157">
        <v>5</v>
      </c>
      <c r="G1011" s="11">
        <f>F1011*38</f>
        <v>190</v>
      </c>
    </row>
    <row r="1012" spans="1:7" ht="15.75">
      <c r="A1012" s="18" t="s">
        <v>1011</v>
      </c>
      <c r="B1012" s="3" t="s">
        <v>22</v>
      </c>
      <c r="C1012" s="25" t="s">
        <v>29</v>
      </c>
      <c r="D1012" s="16" t="s">
        <v>1020</v>
      </c>
      <c r="E1012" s="16" t="s">
        <v>2102</v>
      </c>
      <c r="F1012" s="157">
        <v>98</v>
      </c>
      <c r="G1012" s="11">
        <f>F1012*21</f>
        <v>2058</v>
      </c>
    </row>
    <row r="1013" spans="1:7" ht="15.75">
      <c r="A1013" s="18" t="s">
        <v>1011</v>
      </c>
      <c r="B1013" s="3" t="s">
        <v>22</v>
      </c>
      <c r="C1013" s="25" t="s">
        <v>31</v>
      </c>
      <c r="D1013" s="16" t="s">
        <v>1021</v>
      </c>
      <c r="E1013" s="16" t="s">
        <v>2102</v>
      </c>
      <c r="F1013" s="157">
        <v>102</v>
      </c>
      <c r="G1013" s="11">
        <f>F1013*5</f>
        <v>510</v>
      </c>
    </row>
    <row r="1014" spans="1:7" ht="15.75">
      <c r="A1014" s="18" t="s">
        <v>1022</v>
      </c>
      <c r="B1014" s="3" t="s">
        <v>22</v>
      </c>
      <c r="C1014" s="25" t="s">
        <v>27</v>
      </c>
      <c r="D1014" s="16" t="s">
        <v>984</v>
      </c>
      <c r="E1014" s="16" t="s">
        <v>2102</v>
      </c>
      <c r="F1014" s="157">
        <v>124</v>
      </c>
      <c r="G1014" s="11">
        <f>F1014*34</f>
        <v>4216</v>
      </c>
    </row>
    <row r="1015" spans="1:7" ht="15.75">
      <c r="A1015" s="18" t="s">
        <v>1022</v>
      </c>
      <c r="B1015" s="3" t="s">
        <v>22</v>
      </c>
      <c r="C1015" s="25" t="s">
        <v>995</v>
      </c>
      <c r="D1015" s="16" t="s">
        <v>1023</v>
      </c>
      <c r="E1015" s="16" t="s">
        <v>2102</v>
      </c>
      <c r="F1015" s="157">
        <v>312</v>
      </c>
      <c r="G1015" s="11">
        <f>F1015*19</f>
        <v>5928</v>
      </c>
    </row>
    <row r="1016" spans="1:7" ht="15.75">
      <c r="A1016" s="18" t="s">
        <v>1022</v>
      </c>
      <c r="B1016" s="3" t="s">
        <v>22</v>
      </c>
      <c r="C1016" s="25" t="s">
        <v>29</v>
      </c>
      <c r="D1016" s="16" t="s">
        <v>1024</v>
      </c>
      <c r="E1016" s="16" t="s">
        <v>2102</v>
      </c>
      <c r="F1016" s="157">
        <v>121</v>
      </c>
      <c r="G1016" s="11">
        <f>F1016*21</f>
        <v>2541</v>
      </c>
    </row>
    <row r="1017" spans="1:7" ht="15.75">
      <c r="A1017" s="18" t="s">
        <v>1022</v>
      </c>
      <c r="B1017" s="3" t="s">
        <v>22</v>
      </c>
      <c r="C1017" s="25" t="s">
        <v>27</v>
      </c>
      <c r="D1017" s="16" t="s">
        <v>1025</v>
      </c>
      <c r="E1017" s="16" t="s">
        <v>2102</v>
      </c>
      <c r="F1017" s="158" t="s">
        <v>26</v>
      </c>
      <c r="G1017" s="11">
        <f>F1017*34</f>
        <v>0</v>
      </c>
    </row>
    <row r="1018" spans="1:7" ht="15.75">
      <c r="A1018" s="18" t="s">
        <v>1022</v>
      </c>
      <c r="B1018" s="3" t="s">
        <v>22</v>
      </c>
      <c r="C1018" s="25" t="s">
        <v>29</v>
      </c>
      <c r="D1018" s="16" t="s">
        <v>1026</v>
      </c>
      <c r="E1018" s="16" t="s">
        <v>2102</v>
      </c>
      <c r="F1018" s="157">
        <v>29</v>
      </c>
      <c r="G1018" s="11">
        <f>F1018*21</f>
        <v>609</v>
      </c>
    </row>
    <row r="1019" spans="1:7" ht="15.75">
      <c r="A1019" s="18" t="s">
        <v>1022</v>
      </c>
      <c r="B1019" s="3" t="s">
        <v>22</v>
      </c>
      <c r="C1019" s="25" t="s">
        <v>31</v>
      </c>
      <c r="D1019" s="16" t="s">
        <v>159</v>
      </c>
      <c r="E1019" s="16" t="s">
        <v>2102</v>
      </c>
      <c r="F1019" s="158" t="s">
        <v>26</v>
      </c>
      <c r="G1019" s="11">
        <f>F1019*5</f>
        <v>0</v>
      </c>
    </row>
    <row r="1020" spans="1:7" ht="15.75">
      <c r="A1020" s="18" t="s">
        <v>1027</v>
      </c>
      <c r="B1020" s="3" t="s">
        <v>22</v>
      </c>
      <c r="C1020" s="25" t="s">
        <v>27</v>
      </c>
      <c r="D1020" s="16" t="s">
        <v>1028</v>
      </c>
      <c r="E1020" s="16" t="s">
        <v>2102</v>
      </c>
      <c r="F1020" s="158" t="s">
        <v>26</v>
      </c>
      <c r="G1020" s="11">
        <f>F1020*34</f>
        <v>0</v>
      </c>
    </row>
    <row r="1021" spans="1:7" ht="15.75">
      <c r="A1021" s="18" t="s">
        <v>1027</v>
      </c>
      <c r="B1021" s="3" t="s">
        <v>22</v>
      </c>
      <c r="C1021" s="25" t="s">
        <v>29</v>
      </c>
      <c r="D1021" s="16" t="s">
        <v>1029</v>
      </c>
      <c r="E1021" s="16" t="s">
        <v>2102</v>
      </c>
      <c r="F1021" s="158" t="s">
        <v>26</v>
      </c>
      <c r="G1021" s="11">
        <f>F1021*21</f>
        <v>0</v>
      </c>
    </row>
    <row r="1022" spans="1:7" ht="15.75">
      <c r="A1022" s="18" t="s">
        <v>1027</v>
      </c>
      <c r="B1022" s="3" t="s">
        <v>22</v>
      </c>
      <c r="C1022" s="25" t="s">
        <v>31</v>
      </c>
      <c r="D1022" s="16" t="s">
        <v>1030</v>
      </c>
      <c r="E1022" s="16" t="s">
        <v>2102</v>
      </c>
      <c r="F1022" s="158" t="s">
        <v>26</v>
      </c>
      <c r="G1022" s="11">
        <f>F1022*5</f>
        <v>0</v>
      </c>
    </row>
    <row r="1023" spans="1:7" ht="15.75">
      <c r="A1023" s="18" t="s">
        <v>1027</v>
      </c>
      <c r="B1023" s="3" t="s">
        <v>22</v>
      </c>
      <c r="C1023" s="25" t="s">
        <v>27</v>
      </c>
      <c r="D1023" s="16" t="s">
        <v>1031</v>
      </c>
      <c r="E1023" s="16" t="s">
        <v>2102</v>
      </c>
      <c r="F1023" s="157">
        <v>170</v>
      </c>
      <c r="G1023" s="11">
        <f>F1023*34</f>
        <v>5780</v>
      </c>
    </row>
    <row r="1024" spans="1:7" ht="15.75">
      <c r="A1024" s="18" t="s">
        <v>1027</v>
      </c>
      <c r="B1024" s="3" t="s">
        <v>22</v>
      </c>
      <c r="C1024" s="25" t="s">
        <v>29</v>
      </c>
      <c r="D1024" s="16" t="s">
        <v>1032</v>
      </c>
      <c r="E1024" s="16" t="s">
        <v>2102</v>
      </c>
      <c r="F1024" s="157">
        <v>5</v>
      </c>
      <c r="G1024" s="11">
        <f>F1024*21</f>
        <v>105</v>
      </c>
    </row>
    <row r="1025" spans="1:7" ht="15.75">
      <c r="A1025" s="18" t="s">
        <v>1027</v>
      </c>
      <c r="B1025" s="3" t="s">
        <v>22</v>
      </c>
      <c r="C1025" s="25" t="s">
        <v>31</v>
      </c>
      <c r="D1025" s="16" t="s">
        <v>509</v>
      </c>
      <c r="E1025" s="16" t="s">
        <v>2102</v>
      </c>
      <c r="F1025" s="157">
        <v>4</v>
      </c>
      <c r="G1025" s="11">
        <f>F1025*5</f>
        <v>20</v>
      </c>
    </row>
    <row r="1026" spans="1:7" ht="15.75">
      <c r="A1026" s="18" t="s">
        <v>1033</v>
      </c>
      <c r="B1026" s="3" t="s">
        <v>22</v>
      </c>
      <c r="C1026" s="25" t="s">
        <v>24</v>
      </c>
      <c r="D1026" s="16" t="s">
        <v>1034</v>
      </c>
      <c r="E1026" s="16" t="s">
        <v>2102</v>
      </c>
      <c r="F1026" s="157">
        <v>24</v>
      </c>
      <c r="G1026" s="11">
        <f>F1026*45</f>
        <v>1080</v>
      </c>
    </row>
    <row r="1027" spans="1:7" ht="15.75">
      <c r="A1027" s="18" t="s">
        <v>1033</v>
      </c>
      <c r="B1027" s="3" t="s">
        <v>22</v>
      </c>
      <c r="C1027" s="25" t="s">
        <v>27</v>
      </c>
      <c r="D1027" s="16" t="s">
        <v>1035</v>
      </c>
      <c r="E1027" s="16" t="s">
        <v>2102</v>
      </c>
      <c r="F1027" s="157">
        <v>10</v>
      </c>
      <c r="G1027" s="11">
        <f>F1027*34</f>
        <v>340</v>
      </c>
    </row>
    <row r="1028" spans="1:7" ht="15.75">
      <c r="A1028" s="18" t="s">
        <v>1033</v>
      </c>
      <c r="B1028" s="3" t="s">
        <v>22</v>
      </c>
      <c r="C1028" s="25" t="s">
        <v>958</v>
      </c>
      <c r="D1028" s="16" t="s">
        <v>1036</v>
      </c>
      <c r="E1028" s="16" t="s">
        <v>2102</v>
      </c>
      <c r="F1028" s="158" t="s">
        <v>26</v>
      </c>
      <c r="G1028" s="11">
        <f>F1028*38</f>
        <v>0</v>
      </c>
    </row>
    <row r="1029" spans="1:7" ht="15.75">
      <c r="A1029" s="18" t="s">
        <v>1033</v>
      </c>
      <c r="B1029" s="3" t="s">
        <v>22</v>
      </c>
      <c r="C1029" s="25" t="s">
        <v>29</v>
      </c>
      <c r="D1029" s="16" t="s">
        <v>1037</v>
      </c>
      <c r="E1029" s="16" t="s">
        <v>2102</v>
      </c>
      <c r="F1029" s="157">
        <v>5</v>
      </c>
      <c r="G1029" s="11">
        <f>F1029*21</f>
        <v>105</v>
      </c>
    </row>
    <row r="1030" spans="1:7" ht="15.75">
      <c r="A1030" s="18" t="s">
        <v>1033</v>
      </c>
      <c r="B1030" s="3" t="s">
        <v>22</v>
      </c>
      <c r="C1030" s="25" t="s">
        <v>31</v>
      </c>
      <c r="D1030" s="16" t="s">
        <v>1038</v>
      </c>
      <c r="E1030" s="16" t="s">
        <v>2102</v>
      </c>
      <c r="F1030" s="158" t="s">
        <v>26</v>
      </c>
      <c r="G1030" s="11">
        <f>F1030*5</f>
        <v>0</v>
      </c>
    </row>
    <row r="1031" spans="1:7" ht="15.75">
      <c r="A1031" s="18" t="s">
        <v>1033</v>
      </c>
      <c r="B1031" s="3" t="s">
        <v>22</v>
      </c>
      <c r="C1031" s="25" t="s">
        <v>24</v>
      </c>
      <c r="D1031" s="16" t="s">
        <v>1040</v>
      </c>
      <c r="E1031" s="16" t="s">
        <v>2102</v>
      </c>
      <c r="F1031" s="158" t="s">
        <v>26</v>
      </c>
      <c r="G1031" s="11">
        <f>F1031*45</f>
        <v>0</v>
      </c>
    </row>
    <row r="1032" spans="1:7" ht="15.75">
      <c r="A1032" s="18" t="s">
        <v>1033</v>
      </c>
      <c r="B1032" s="3" t="s">
        <v>22</v>
      </c>
      <c r="C1032" s="25" t="s">
        <v>27</v>
      </c>
      <c r="D1032" s="16" t="s">
        <v>1041</v>
      </c>
      <c r="E1032" s="16" t="s">
        <v>2102</v>
      </c>
      <c r="F1032" s="158" t="s">
        <v>26</v>
      </c>
      <c r="G1032" s="11">
        <f>F1032*34</f>
        <v>0</v>
      </c>
    </row>
    <row r="1033" spans="1:7" ht="15.75">
      <c r="A1033" s="18" t="s">
        <v>1033</v>
      </c>
      <c r="B1033" s="3" t="s">
        <v>22</v>
      </c>
      <c r="C1033" s="25" t="s">
        <v>29</v>
      </c>
      <c r="D1033" s="16" t="s">
        <v>1042</v>
      </c>
      <c r="E1033" s="16" t="s">
        <v>2102</v>
      </c>
      <c r="F1033" s="158" t="s">
        <v>26</v>
      </c>
      <c r="G1033" s="11">
        <f>F1033*21</f>
        <v>0</v>
      </c>
    </row>
    <row r="1034" spans="1:7" ht="15.75">
      <c r="A1034" s="18" t="s">
        <v>1033</v>
      </c>
      <c r="B1034" s="3" t="s">
        <v>22</v>
      </c>
      <c r="C1034" s="25" t="s">
        <v>31</v>
      </c>
      <c r="D1034" s="16" t="s">
        <v>1043</v>
      </c>
      <c r="E1034" s="16" t="s">
        <v>2102</v>
      </c>
      <c r="F1034" s="158" t="s">
        <v>26</v>
      </c>
      <c r="G1034" s="11">
        <f>F1034*5</f>
        <v>0</v>
      </c>
    </row>
    <row r="1035" spans="1:7" ht="15.75">
      <c r="A1035" s="18" t="s">
        <v>1033</v>
      </c>
      <c r="B1035" s="3" t="s">
        <v>22</v>
      </c>
      <c r="C1035" s="25" t="s">
        <v>27</v>
      </c>
      <c r="D1035" s="16" t="s">
        <v>1044</v>
      </c>
      <c r="E1035" s="16" t="s">
        <v>2102</v>
      </c>
      <c r="F1035" s="158" t="s">
        <v>26</v>
      </c>
      <c r="G1035" s="11">
        <f>F1035*34</f>
        <v>0</v>
      </c>
    </row>
    <row r="1036" spans="1:7" ht="15.75">
      <c r="A1036" s="18" t="s">
        <v>1033</v>
      </c>
      <c r="B1036" s="3" t="s">
        <v>22</v>
      </c>
      <c r="C1036" s="25" t="s">
        <v>29</v>
      </c>
      <c r="D1036" s="16" t="s">
        <v>888</v>
      </c>
      <c r="E1036" s="16" t="s">
        <v>2102</v>
      </c>
      <c r="F1036" s="158" t="s">
        <v>26</v>
      </c>
      <c r="G1036" s="11">
        <f>F1036*21</f>
        <v>0</v>
      </c>
    </row>
    <row r="1037" spans="1:7" ht="15.75">
      <c r="A1037" s="18" t="s">
        <v>1033</v>
      </c>
      <c r="B1037" s="3" t="s">
        <v>22</v>
      </c>
      <c r="C1037" s="25" t="s">
        <v>31</v>
      </c>
      <c r="D1037" s="16" t="s">
        <v>1045</v>
      </c>
      <c r="E1037" s="16" t="s">
        <v>2102</v>
      </c>
      <c r="F1037" s="158" t="s">
        <v>26</v>
      </c>
      <c r="G1037" s="11">
        <f>F1037*5</f>
        <v>0</v>
      </c>
    </row>
    <row r="1038" spans="1:7" ht="15.75">
      <c r="A1038" s="18" t="s">
        <v>1046</v>
      </c>
      <c r="B1038" s="3" t="s">
        <v>22</v>
      </c>
      <c r="C1038" s="25" t="s">
        <v>27</v>
      </c>
      <c r="D1038" s="16" t="s">
        <v>1048</v>
      </c>
      <c r="E1038" s="16" t="s">
        <v>2102</v>
      </c>
      <c r="F1038" s="157">
        <v>439</v>
      </c>
      <c r="G1038" s="11">
        <f>F1038*34</f>
        <v>14926</v>
      </c>
    </row>
    <row r="1039" spans="1:7" ht="15.75">
      <c r="A1039" s="18" t="s">
        <v>1046</v>
      </c>
      <c r="B1039" s="3" t="s">
        <v>22</v>
      </c>
      <c r="C1039" s="25" t="s">
        <v>29</v>
      </c>
      <c r="D1039" s="16" t="s">
        <v>1049</v>
      </c>
      <c r="E1039" s="16" t="s">
        <v>2102</v>
      </c>
      <c r="F1039" s="157">
        <v>201</v>
      </c>
      <c r="G1039" s="11">
        <f>F1039*21</f>
        <v>4221</v>
      </c>
    </row>
    <row r="1040" spans="1:7" ht="15.75">
      <c r="A1040" s="18" t="s">
        <v>1046</v>
      </c>
      <c r="B1040" s="3" t="s">
        <v>22</v>
      </c>
      <c r="C1040" s="25" t="s">
        <v>31</v>
      </c>
      <c r="D1040" s="16" t="s">
        <v>942</v>
      </c>
      <c r="E1040" s="16" t="s">
        <v>2102</v>
      </c>
      <c r="F1040" s="157">
        <v>74</v>
      </c>
      <c r="G1040" s="11">
        <f>F1040*5</f>
        <v>370</v>
      </c>
    </row>
    <row r="1041" spans="1:7" ht="15.75">
      <c r="A1041" s="18" t="s">
        <v>1046</v>
      </c>
      <c r="B1041" s="3" t="s">
        <v>22</v>
      </c>
      <c r="C1041" s="25" t="s">
        <v>27</v>
      </c>
      <c r="D1041" s="16" t="s">
        <v>1051</v>
      </c>
      <c r="E1041" s="16" t="s">
        <v>2102</v>
      </c>
      <c r="F1041" s="158" t="s">
        <v>26</v>
      </c>
      <c r="G1041" s="11">
        <f>F1041*34</f>
        <v>0</v>
      </c>
    </row>
    <row r="1042" spans="1:7" ht="15.75">
      <c r="A1042" s="18" t="s">
        <v>1046</v>
      </c>
      <c r="B1042" s="3" t="s">
        <v>22</v>
      </c>
      <c r="C1042" s="25" t="s">
        <v>29</v>
      </c>
      <c r="D1042" s="16" t="s">
        <v>890</v>
      </c>
      <c r="E1042" s="16" t="s">
        <v>2102</v>
      </c>
      <c r="F1042" s="158" t="s">
        <v>26</v>
      </c>
      <c r="G1042" s="11">
        <f>F1042*21</f>
        <v>0</v>
      </c>
    </row>
    <row r="1043" spans="1:7" ht="15.75">
      <c r="A1043" s="18" t="s">
        <v>1046</v>
      </c>
      <c r="B1043" s="3" t="s">
        <v>22</v>
      </c>
      <c r="C1043" s="25" t="s">
        <v>31</v>
      </c>
      <c r="D1043" s="16" t="s">
        <v>1052</v>
      </c>
      <c r="E1043" s="16" t="s">
        <v>2102</v>
      </c>
      <c r="F1043" s="158" t="s">
        <v>26</v>
      </c>
      <c r="G1043" s="11">
        <f>F1043*5</f>
        <v>0</v>
      </c>
    </row>
    <row r="1044" spans="1:7" ht="15.75">
      <c r="A1044" s="18" t="s">
        <v>1053</v>
      </c>
      <c r="B1044" s="3" t="s">
        <v>22</v>
      </c>
      <c r="C1044" s="25" t="s">
        <v>24</v>
      </c>
      <c r="D1044" s="16" t="s">
        <v>900</v>
      </c>
      <c r="E1044" s="16" t="s">
        <v>2102</v>
      </c>
      <c r="F1044" s="157">
        <v>26</v>
      </c>
      <c r="G1044" s="11">
        <f>F1044*45</f>
        <v>1170</v>
      </c>
    </row>
    <row r="1045" spans="1:7" ht="15.75">
      <c r="A1045" s="18" t="s">
        <v>1053</v>
      </c>
      <c r="B1045" s="3" t="s">
        <v>22</v>
      </c>
      <c r="C1045" s="25" t="s">
        <v>27</v>
      </c>
      <c r="D1045" s="16" t="s">
        <v>1054</v>
      </c>
      <c r="E1045" s="16" t="s">
        <v>2102</v>
      </c>
      <c r="F1045" s="157">
        <v>171</v>
      </c>
      <c r="G1045" s="11">
        <f>F1045*34</f>
        <v>5814</v>
      </c>
    </row>
    <row r="1046" spans="1:7" ht="15.75">
      <c r="A1046" s="18" t="s">
        <v>1053</v>
      </c>
      <c r="B1046" s="3" t="s">
        <v>22</v>
      </c>
      <c r="C1046" s="25" t="s">
        <v>958</v>
      </c>
      <c r="D1046" s="16" t="s">
        <v>1055</v>
      </c>
      <c r="E1046" s="16" t="s">
        <v>2102</v>
      </c>
      <c r="F1046" s="157">
        <v>15</v>
      </c>
      <c r="G1046" s="11">
        <f>F1046*38</f>
        <v>570</v>
      </c>
    </row>
    <row r="1047" spans="1:7" ht="15.75">
      <c r="A1047" s="18" t="s">
        <v>1053</v>
      </c>
      <c r="B1047" s="3" t="s">
        <v>22</v>
      </c>
      <c r="C1047" s="25" t="s">
        <v>29</v>
      </c>
      <c r="D1047" s="16" t="s">
        <v>1056</v>
      </c>
      <c r="E1047" s="16" t="s">
        <v>2102</v>
      </c>
      <c r="F1047" s="157">
        <v>147</v>
      </c>
      <c r="G1047" s="11">
        <f>F1047*21</f>
        <v>3087</v>
      </c>
    </row>
    <row r="1048" spans="1:7" ht="15.75">
      <c r="A1048" s="18" t="s">
        <v>1053</v>
      </c>
      <c r="B1048" s="3" t="s">
        <v>22</v>
      </c>
      <c r="C1048" s="25" t="s">
        <v>31</v>
      </c>
      <c r="D1048" s="16" t="s">
        <v>1057</v>
      </c>
      <c r="E1048" s="16" t="s">
        <v>2102</v>
      </c>
      <c r="F1048" s="158" t="s">
        <v>26</v>
      </c>
      <c r="G1048" s="11">
        <f>F1048*5</f>
        <v>0</v>
      </c>
    </row>
    <row r="1049" spans="1:7" ht="15.75">
      <c r="A1049" s="18" t="s">
        <v>1053</v>
      </c>
      <c r="B1049" s="3" t="s">
        <v>22</v>
      </c>
      <c r="C1049" s="25" t="s">
        <v>24</v>
      </c>
      <c r="D1049" s="16" t="s">
        <v>1058</v>
      </c>
      <c r="E1049" s="16" t="s">
        <v>2102</v>
      </c>
      <c r="F1049" s="158" t="s">
        <v>26</v>
      </c>
      <c r="G1049" s="11">
        <f>F1049*45</f>
        <v>0</v>
      </c>
    </row>
    <row r="1050" spans="1:7" ht="15.75">
      <c r="A1050" s="18" t="s">
        <v>1053</v>
      </c>
      <c r="B1050" s="3" t="s">
        <v>22</v>
      </c>
      <c r="C1050" s="25" t="s">
        <v>27</v>
      </c>
      <c r="D1050" s="16" t="s">
        <v>1059</v>
      </c>
      <c r="E1050" s="16" t="s">
        <v>2102</v>
      </c>
      <c r="F1050" s="158" t="s">
        <v>26</v>
      </c>
      <c r="G1050" s="11">
        <f>F1050*34</f>
        <v>0</v>
      </c>
    </row>
    <row r="1051" spans="1:7" ht="15.75">
      <c r="A1051" s="18" t="s">
        <v>1053</v>
      </c>
      <c r="B1051" s="3" t="s">
        <v>22</v>
      </c>
      <c r="C1051" s="25" t="s">
        <v>958</v>
      </c>
      <c r="D1051" s="16" t="s">
        <v>1057</v>
      </c>
      <c r="E1051" s="16" t="s">
        <v>2102</v>
      </c>
      <c r="F1051" s="158" t="s">
        <v>26</v>
      </c>
      <c r="G1051" s="11">
        <f>F1051*38</f>
        <v>0</v>
      </c>
    </row>
    <row r="1052" spans="1:7" ht="15.75">
      <c r="A1052" s="18" t="s">
        <v>1053</v>
      </c>
      <c r="B1052" s="3" t="s">
        <v>22</v>
      </c>
      <c r="C1052" s="25" t="s">
        <v>29</v>
      </c>
      <c r="D1052" s="16" t="s">
        <v>932</v>
      </c>
      <c r="E1052" s="16" t="s">
        <v>2102</v>
      </c>
      <c r="F1052" s="158" t="s">
        <v>26</v>
      </c>
      <c r="G1052" s="11">
        <f>F1052*21</f>
        <v>0</v>
      </c>
    </row>
    <row r="1053" spans="1:7" ht="15.75">
      <c r="A1053" s="18" t="s">
        <v>1053</v>
      </c>
      <c r="B1053" s="3" t="s">
        <v>22</v>
      </c>
      <c r="C1053" s="25" t="s">
        <v>31</v>
      </c>
      <c r="D1053" s="16" t="s">
        <v>1060</v>
      </c>
      <c r="E1053" s="16" t="s">
        <v>2102</v>
      </c>
      <c r="F1053" s="158" t="s">
        <v>26</v>
      </c>
      <c r="G1053" s="11">
        <f>F1053*5</f>
        <v>0</v>
      </c>
    </row>
    <row r="1054" spans="1:7" ht="15.75">
      <c r="A1054" s="18" t="s">
        <v>1053</v>
      </c>
      <c r="B1054" s="3" t="s">
        <v>22</v>
      </c>
      <c r="C1054" s="25" t="s">
        <v>27</v>
      </c>
      <c r="D1054" s="16" t="s">
        <v>1062</v>
      </c>
      <c r="E1054" s="16" t="s">
        <v>2102</v>
      </c>
      <c r="F1054" s="158" t="s">
        <v>26</v>
      </c>
      <c r="G1054" s="11">
        <f>F1054*34</f>
        <v>0</v>
      </c>
    </row>
    <row r="1055" spans="1:7" ht="15.75">
      <c r="A1055" s="18" t="s">
        <v>1053</v>
      </c>
      <c r="B1055" s="3" t="s">
        <v>22</v>
      </c>
      <c r="C1055" s="25" t="s">
        <v>29</v>
      </c>
      <c r="D1055" s="16" t="s">
        <v>1063</v>
      </c>
      <c r="E1055" s="16" t="s">
        <v>2102</v>
      </c>
      <c r="F1055" s="158" t="s">
        <v>26</v>
      </c>
      <c r="G1055" s="11">
        <f>F1055*21</f>
        <v>0</v>
      </c>
    </row>
    <row r="1056" spans="1:7" ht="15.75">
      <c r="A1056" s="18" t="s">
        <v>1053</v>
      </c>
      <c r="B1056" s="3" t="s">
        <v>22</v>
      </c>
      <c r="C1056" s="25" t="s">
        <v>31</v>
      </c>
      <c r="D1056" s="16" t="s">
        <v>1064</v>
      </c>
      <c r="E1056" s="16" t="s">
        <v>2102</v>
      </c>
      <c r="F1056" s="158" t="s">
        <v>26</v>
      </c>
      <c r="G1056" s="11">
        <f>F1056*5</f>
        <v>0</v>
      </c>
    </row>
    <row r="1057" spans="1:7" ht="15.75">
      <c r="A1057" s="18" t="s">
        <v>1053</v>
      </c>
      <c r="B1057" s="3" t="s">
        <v>22</v>
      </c>
      <c r="C1057" s="25" t="s">
        <v>27</v>
      </c>
      <c r="D1057" s="16" t="s">
        <v>1065</v>
      </c>
      <c r="E1057" s="16" t="s">
        <v>2102</v>
      </c>
      <c r="F1057" s="158" t="s">
        <v>26</v>
      </c>
      <c r="G1057" s="11">
        <f>F1057*34</f>
        <v>0</v>
      </c>
    </row>
    <row r="1058" spans="1:7" ht="15.75">
      <c r="A1058" s="18" t="s">
        <v>1053</v>
      </c>
      <c r="B1058" s="3" t="s">
        <v>22</v>
      </c>
      <c r="C1058" s="25" t="s">
        <v>29</v>
      </c>
      <c r="D1058" s="16" t="s">
        <v>1066</v>
      </c>
      <c r="E1058" s="16" t="s">
        <v>2102</v>
      </c>
      <c r="F1058" s="158" t="s">
        <v>26</v>
      </c>
      <c r="G1058" s="11">
        <f>F1058*21</f>
        <v>0</v>
      </c>
    </row>
    <row r="1059" spans="1:7" ht="15.75">
      <c r="A1059" s="18" t="s">
        <v>1053</v>
      </c>
      <c r="B1059" s="3" t="s">
        <v>22</v>
      </c>
      <c r="C1059" s="25" t="s">
        <v>31</v>
      </c>
      <c r="D1059" s="16" t="s">
        <v>1067</v>
      </c>
      <c r="E1059" s="16" t="s">
        <v>2102</v>
      </c>
      <c r="F1059" s="158" t="s">
        <v>26</v>
      </c>
      <c r="G1059" s="11">
        <f>F1059*5</f>
        <v>0</v>
      </c>
    </row>
    <row r="1060" spans="1:7" ht="15.75">
      <c r="A1060" s="18" t="s">
        <v>1068</v>
      </c>
      <c r="B1060" s="3" t="s">
        <v>22</v>
      </c>
      <c r="C1060" s="25" t="s">
        <v>27</v>
      </c>
      <c r="D1060" s="16" t="s">
        <v>1069</v>
      </c>
      <c r="E1060" s="16" t="s">
        <v>2102</v>
      </c>
      <c r="F1060" s="158" t="s">
        <v>26</v>
      </c>
      <c r="G1060" s="11">
        <f>F1060*34</f>
        <v>0</v>
      </c>
    </row>
    <row r="1061" spans="1:7" ht="15.75">
      <c r="A1061" s="18" t="s">
        <v>1068</v>
      </c>
      <c r="B1061" s="3" t="s">
        <v>22</v>
      </c>
      <c r="C1061" s="25" t="s">
        <v>29</v>
      </c>
      <c r="D1061" s="16" t="s">
        <v>1070</v>
      </c>
      <c r="E1061" s="16" t="s">
        <v>2102</v>
      </c>
      <c r="F1061" s="158" t="s">
        <v>26</v>
      </c>
      <c r="G1061" s="11">
        <f>F1061*21</f>
        <v>0</v>
      </c>
    </row>
    <row r="1062" spans="1:7" ht="15.75">
      <c r="A1062" s="18" t="s">
        <v>1068</v>
      </c>
      <c r="B1062" s="3" t="s">
        <v>22</v>
      </c>
      <c r="C1062" s="25" t="s">
        <v>31</v>
      </c>
      <c r="D1062" s="16" t="s">
        <v>469</v>
      </c>
      <c r="E1062" s="16" t="s">
        <v>2102</v>
      </c>
      <c r="F1062" s="158" t="s">
        <v>26</v>
      </c>
      <c r="G1062" s="11">
        <f>F1062*5</f>
        <v>0</v>
      </c>
    </row>
    <row r="1063" spans="1:7" ht="15.75">
      <c r="A1063" s="18" t="s">
        <v>1068</v>
      </c>
      <c r="B1063" s="3" t="s">
        <v>22</v>
      </c>
      <c r="C1063" s="25" t="s">
        <v>27</v>
      </c>
      <c r="D1063" s="16" t="s">
        <v>1072</v>
      </c>
      <c r="E1063" s="16" t="s">
        <v>2102</v>
      </c>
      <c r="F1063" s="157">
        <v>244</v>
      </c>
      <c r="G1063" s="11">
        <f>F1063*34</f>
        <v>8296</v>
      </c>
    </row>
    <row r="1064" spans="1:7" ht="15.75">
      <c r="A1064" s="18" t="s">
        <v>1068</v>
      </c>
      <c r="B1064" s="3" t="s">
        <v>22</v>
      </c>
      <c r="C1064" s="25" t="s">
        <v>29</v>
      </c>
      <c r="D1064" s="16" t="s">
        <v>1073</v>
      </c>
      <c r="E1064" s="16" t="s">
        <v>2102</v>
      </c>
      <c r="F1064" s="157">
        <v>321</v>
      </c>
      <c r="G1064" s="11">
        <f>F1064*21</f>
        <v>6741</v>
      </c>
    </row>
    <row r="1065" spans="1:7" ht="15.75">
      <c r="A1065" s="18" t="s">
        <v>1068</v>
      </c>
      <c r="B1065" s="3" t="s">
        <v>22</v>
      </c>
      <c r="C1065" s="25" t="s">
        <v>31</v>
      </c>
      <c r="D1065" s="16" t="s">
        <v>1074</v>
      </c>
      <c r="E1065" s="16" t="s">
        <v>2102</v>
      </c>
      <c r="F1065" s="157">
        <v>49</v>
      </c>
      <c r="G1065" s="11">
        <f>F1065*5</f>
        <v>245</v>
      </c>
    </row>
    <row r="1066" spans="1:7" ht="15.75">
      <c r="A1066" s="18" t="s">
        <v>1068</v>
      </c>
      <c r="B1066" s="3" t="s">
        <v>22</v>
      </c>
      <c r="C1066" s="25" t="s">
        <v>27</v>
      </c>
      <c r="D1066" s="16" t="s">
        <v>1075</v>
      </c>
      <c r="E1066" s="16" t="s">
        <v>2102</v>
      </c>
      <c r="F1066" s="158" t="s">
        <v>26</v>
      </c>
      <c r="G1066" s="11">
        <f>F1066*34</f>
        <v>0</v>
      </c>
    </row>
    <row r="1067" spans="1:7" ht="15.75">
      <c r="A1067" s="18" t="s">
        <v>1068</v>
      </c>
      <c r="B1067" s="3" t="s">
        <v>22</v>
      </c>
      <c r="C1067" s="25" t="s">
        <v>29</v>
      </c>
      <c r="D1067" s="16" t="s">
        <v>1076</v>
      </c>
      <c r="E1067" s="16" t="s">
        <v>2102</v>
      </c>
      <c r="F1067" s="158" t="s">
        <v>26</v>
      </c>
      <c r="G1067" s="11">
        <f>F1067*21</f>
        <v>0</v>
      </c>
    </row>
    <row r="1068" spans="1:7" ht="15.75">
      <c r="A1068" s="18" t="s">
        <v>1068</v>
      </c>
      <c r="B1068" s="3" t="s">
        <v>22</v>
      </c>
      <c r="C1068" s="25" t="s">
        <v>31</v>
      </c>
      <c r="D1068" s="16" t="s">
        <v>592</v>
      </c>
      <c r="E1068" s="16" t="s">
        <v>2102</v>
      </c>
      <c r="F1068" s="158" t="s">
        <v>26</v>
      </c>
      <c r="G1068" s="11">
        <f>F1068*5</f>
        <v>0</v>
      </c>
    </row>
    <row r="1069" spans="1:7" ht="15.75">
      <c r="A1069" s="18" t="s">
        <v>1068</v>
      </c>
      <c r="B1069" s="3" t="s">
        <v>22</v>
      </c>
      <c r="C1069" s="25" t="s">
        <v>27</v>
      </c>
      <c r="D1069" s="16" t="s">
        <v>1077</v>
      </c>
      <c r="E1069" s="16" t="s">
        <v>2102</v>
      </c>
      <c r="F1069" s="158" t="s">
        <v>26</v>
      </c>
      <c r="G1069" s="11">
        <f>F1069*34</f>
        <v>0</v>
      </c>
    </row>
    <row r="1070" spans="1:7" ht="15.75">
      <c r="A1070" s="18" t="s">
        <v>1068</v>
      </c>
      <c r="B1070" s="3" t="s">
        <v>22</v>
      </c>
      <c r="C1070" s="25" t="s">
        <v>29</v>
      </c>
      <c r="D1070" s="16" t="s">
        <v>1078</v>
      </c>
      <c r="E1070" s="16" t="s">
        <v>2102</v>
      </c>
      <c r="F1070" s="158" t="s">
        <v>26</v>
      </c>
      <c r="G1070" s="11">
        <f>F1070*21</f>
        <v>0</v>
      </c>
    </row>
    <row r="1071" spans="1:7" ht="15.75">
      <c r="A1071" s="18" t="s">
        <v>1068</v>
      </c>
      <c r="B1071" s="3" t="s">
        <v>22</v>
      </c>
      <c r="C1071" s="25" t="s">
        <v>31</v>
      </c>
      <c r="D1071" s="16" t="s">
        <v>1079</v>
      </c>
      <c r="E1071" s="16" t="s">
        <v>2102</v>
      </c>
      <c r="F1071" s="158" t="s">
        <v>26</v>
      </c>
      <c r="G1071" s="11">
        <f>F1071*5</f>
        <v>0</v>
      </c>
    </row>
    <row r="1072" spans="1:7" ht="15.75">
      <c r="A1072" s="18" t="s">
        <v>1080</v>
      </c>
      <c r="B1072" s="3" t="s">
        <v>22</v>
      </c>
      <c r="C1072" s="25" t="s">
        <v>27</v>
      </c>
      <c r="D1072" s="16" t="s">
        <v>120</v>
      </c>
      <c r="E1072" s="16" t="s">
        <v>2102</v>
      </c>
      <c r="F1072" s="157">
        <v>385</v>
      </c>
      <c r="G1072" s="11">
        <f>F1072*34</f>
        <v>13090</v>
      </c>
    </row>
    <row r="1073" spans="1:7" ht="15.75">
      <c r="A1073" s="18" t="s">
        <v>1080</v>
      </c>
      <c r="B1073" s="3" t="s">
        <v>22</v>
      </c>
      <c r="C1073" s="25" t="s">
        <v>29</v>
      </c>
      <c r="D1073" s="16" t="s">
        <v>1081</v>
      </c>
      <c r="E1073" s="16" t="s">
        <v>2102</v>
      </c>
      <c r="F1073" s="157">
        <v>246</v>
      </c>
      <c r="G1073" s="11">
        <f>F1073*21</f>
        <v>5166</v>
      </c>
    </row>
    <row r="1074" spans="1:7" ht="15.75">
      <c r="A1074" s="18" t="s">
        <v>1080</v>
      </c>
      <c r="B1074" s="3" t="s">
        <v>22</v>
      </c>
      <c r="C1074" s="25" t="s">
        <v>31</v>
      </c>
      <c r="D1074" s="16" t="s">
        <v>1082</v>
      </c>
      <c r="E1074" s="16" t="s">
        <v>2102</v>
      </c>
      <c r="F1074" s="157">
        <v>44</v>
      </c>
      <c r="G1074" s="11">
        <f>F1074*5</f>
        <v>220</v>
      </c>
    </row>
    <row r="1075" spans="1:7" ht="15.75">
      <c r="A1075" s="18" t="s">
        <v>1080</v>
      </c>
      <c r="B1075" s="3" t="s">
        <v>22</v>
      </c>
      <c r="C1075" s="25" t="s">
        <v>27</v>
      </c>
      <c r="D1075" s="16" t="s">
        <v>1083</v>
      </c>
      <c r="E1075" s="16" t="s">
        <v>2102</v>
      </c>
      <c r="F1075" s="158" t="s">
        <v>26</v>
      </c>
      <c r="G1075" s="11">
        <f>F1075*34</f>
        <v>0</v>
      </c>
    </row>
    <row r="1076" spans="1:7" ht="15.75">
      <c r="A1076" s="18" t="s">
        <v>1080</v>
      </c>
      <c r="B1076" s="3" t="s">
        <v>22</v>
      </c>
      <c r="C1076" s="25" t="s">
        <v>29</v>
      </c>
      <c r="D1076" s="16" t="s">
        <v>1084</v>
      </c>
      <c r="E1076" s="16" t="s">
        <v>2102</v>
      </c>
      <c r="F1076" s="158" t="s">
        <v>26</v>
      </c>
      <c r="G1076" s="11">
        <f>F1076*21</f>
        <v>0</v>
      </c>
    </row>
    <row r="1077" spans="1:7" ht="15.75">
      <c r="A1077" s="18" t="s">
        <v>1080</v>
      </c>
      <c r="B1077" s="3" t="s">
        <v>22</v>
      </c>
      <c r="C1077" s="25" t="s">
        <v>31</v>
      </c>
      <c r="D1077" s="16" t="s">
        <v>1085</v>
      </c>
      <c r="E1077" s="16" t="s">
        <v>2102</v>
      </c>
      <c r="F1077" s="158" t="s">
        <v>26</v>
      </c>
      <c r="G1077" s="11">
        <f>F1077*5</f>
        <v>0</v>
      </c>
    </row>
    <row r="1078" spans="1:7" ht="15.75">
      <c r="A1078" s="18" t="s">
        <v>1080</v>
      </c>
      <c r="B1078" s="3" t="s">
        <v>22</v>
      </c>
      <c r="C1078" s="25" t="s">
        <v>24</v>
      </c>
      <c r="D1078" s="16" t="s">
        <v>715</v>
      </c>
      <c r="E1078" s="16" t="s">
        <v>2102</v>
      </c>
      <c r="F1078" s="158" t="s">
        <v>26</v>
      </c>
      <c r="G1078" s="11">
        <f>F1078*45</f>
        <v>0</v>
      </c>
    </row>
    <row r="1079" spans="1:7" ht="15.75">
      <c r="A1079" s="18" t="s">
        <v>1080</v>
      </c>
      <c r="B1079" s="3" t="s">
        <v>22</v>
      </c>
      <c r="C1079" s="25" t="s">
        <v>27</v>
      </c>
      <c r="D1079" s="16" t="s">
        <v>1055</v>
      </c>
      <c r="E1079" s="16" t="s">
        <v>2102</v>
      </c>
      <c r="F1079" s="158" t="s">
        <v>26</v>
      </c>
      <c r="G1079" s="11">
        <f>F1079*34</f>
        <v>0</v>
      </c>
    </row>
    <row r="1080" spans="1:7" ht="15.75">
      <c r="A1080" s="18" t="s">
        <v>1080</v>
      </c>
      <c r="B1080" s="3" t="s">
        <v>22</v>
      </c>
      <c r="C1080" s="25" t="s">
        <v>29</v>
      </c>
      <c r="D1080" s="16" t="s">
        <v>1086</v>
      </c>
      <c r="E1080" s="16" t="s">
        <v>2102</v>
      </c>
      <c r="F1080" s="158" t="s">
        <v>26</v>
      </c>
      <c r="G1080" s="11">
        <f>F1080*21</f>
        <v>0</v>
      </c>
    </row>
    <row r="1081" spans="1:7" ht="15.75">
      <c r="A1081" s="18" t="s">
        <v>1080</v>
      </c>
      <c r="B1081" s="3" t="s">
        <v>22</v>
      </c>
      <c r="C1081" s="25" t="s">
        <v>31</v>
      </c>
      <c r="D1081" s="16" t="s">
        <v>137</v>
      </c>
      <c r="E1081" s="16" t="s">
        <v>2102</v>
      </c>
      <c r="F1081" s="158" t="s">
        <v>26</v>
      </c>
      <c r="G1081" s="11">
        <f>F1081*5</f>
        <v>0</v>
      </c>
    </row>
    <row r="1082" spans="1:7" ht="15.75">
      <c r="A1082" s="18" t="s">
        <v>1080</v>
      </c>
      <c r="B1082" s="3" t="s">
        <v>22</v>
      </c>
      <c r="C1082" s="25" t="s">
        <v>27</v>
      </c>
      <c r="D1082" s="16" t="s">
        <v>1087</v>
      </c>
      <c r="E1082" s="16" t="s">
        <v>2102</v>
      </c>
      <c r="F1082" s="158" t="s">
        <v>26</v>
      </c>
      <c r="G1082" s="11">
        <f>F1082*34</f>
        <v>0</v>
      </c>
    </row>
    <row r="1083" spans="1:7" ht="15.75">
      <c r="A1083" s="18" t="s">
        <v>1080</v>
      </c>
      <c r="B1083" s="3" t="s">
        <v>22</v>
      </c>
      <c r="C1083" s="25" t="s">
        <v>958</v>
      </c>
      <c r="D1083" s="16" t="s">
        <v>1088</v>
      </c>
      <c r="E1083" s="16" t="s">
        <v>2102</v>
      </c>
      <c r="F1083" s="158" t="s">
        <v>26</v>
      </c>
      <c r="G1083" s="11">
        <f>F1083*38</f>
        <v>0</v>
      </c>
    </row>
    <row r="1084" spans="1:7" ht="15.75">
      <c r="A1084" s="18" t="s">
        <v>1080</v>
      </c>
      <c r="B1084" s="3" t="s">
        <v>22</v>
      </c>
      <c r="C1084" s="25" t="s">
        <v>29</v>
      </c>
      <c r="D1084" s="16" t="s">
        <v>502</v>
      </c>
      <c r="E1084" s="16" t="s">
        <v>2102</v>
      </c>
      <c r="F1084" s="158" t="s">
        <v>26</v>
      </c>
      <c r="G1084" s="11">
        <f>F1084*21</f>
        <v>0</v>
      </c>
    </row>
    <row r="1085" spans="1:7" ht="15.75">
      <c r="A1085" s="18" t="s">
        <v>1080</v>
      </c>
      <c r="B1085" s="3" t="s">
        <v>22</v>
      </c>
      <c r="C1085" s="25" t="s">
        <v>31</v>
      </c>
      <c r="D1085" s="16" t="s">
        <v>1089</v>
      </c>
      <c r="E1085" s="16" t="s">
        <v>2102</v>
      </c>
      <c r="F1085" s="158" t="s">
        <v>26</v>
      </c>
      <c r="G1085" s="11">
        <f>F1085*5</f>
        <v>0</v>
      </c>
    </row>
    <row r="1086" spans="1:7" ht="15.75">
      <c r="A1086" s="18" t="s">
        <v>1080</v>
      </c>
      <c r="B1086" s="3" t="s">
        <v>22</v>
      </c>
      <c r="C1086" s="25" t="s">
        <v>27</v>
      </c>
      <c r="D1086" s="16" t="s">
        <v>1090</v>
      </c>
      <c r="E1086" s="16" t="s">
        <v>2102</v>
      </c>
      <c r="F1086" s="158" t="s">
        <v>26</v>
      </c>
      <c r="G1086" s="11">
        <f>F1086*34</f>
        <v>0</v>
      </c>
    </row>
    <row r="1087" spans="1:7" ht="15.75">
      <c r="A1087" s="18" t="s">
        <v>1080</v>
      </c>
      <c r="B1087" s="3" t="s">
        <v>22</v>
      </c>
      <c r="C1087" s="25" t="s">
        <v>29</v>
      </c>
      <c r="D1087" s="16" t="s">
        <v>663</v>
      </c>
      <c r="E1087" s="16" t="s">
        <v>2102</v>
      </c>
      <c r="F1087" s="158" t="s">
        <v>26</v>
      </c>
      <c r="G1087" s="11">
        <f>F1087*21</f>
        <v>0</v>
      </c>
    </row>
    <row r="1088" spans="1:7" ht="15.75">
      <c r="A1088" s="18" t="s">
        <v>1080</v>
      </c>
      <c r="B1088" s="3" t="s">
        <v>22</v>
      </c>
      <c r="C1088" s="25" t="s">
        <v>31</v>
      </c>
      <c r="D1088" s="16" t="s">
        <v>1091</v>
      </c>
      <c r="E1088" s="16" t="s">
        <v>2102</v>
      </c>
      <c r="F1088" s="158" t="s">
        <v>26</v>
      </c>
      <c r="G1088" s="11">
        <f>F1088*5</f>
        <v>0</v>
      </c>
    </row>
    <row r="1089" spans="1:7" ht="15.75">
      <c r="A1089" s="18" t="s">
        <v>1092</v>
      </c>
      <c r="B1089" s="3" t="s">
        <v>22</v>
      </c>
      <c r="C1089" s="25" t="s">
        <v>27</v>
      </c>
      <c r="D1089" s="16" t="s">
        <v>1094</v>
      </c>
      <c r="E1089" s="16" t="s">
        <v>2102</v>
      </c>
      <c r="F1089" s="157">
        <v>550</v>
      </c>
      <c r="G1089" s="11">
        <f>F1089*34</f>
        <v>18700</v>
      </c>
    </row>
    <row r="1090" spans="1:7" ht="15.75">
      <c r="A1090" s="18" t="s">
        <v>1092</v>
      </c>
      <c r="B1090" s="3" t="s">
        <v>22</v>
      </c>
      <c r="C1090" s="25" t="s">
        <v>29</v>
      </c>
      <c r="D1090" s="16" t="s">
        <v>73</v>
      </c>
      <c r="E1090" s="16" t="s">
        <v>2102</v>
      </c>
      <c r="F1090" s="157">
        <v>321</v>
      </c>
      <c r="G1090" s="11">
        <f>F1090*21</f>
        <v>6741</v>
      </c>
    </row>
    <row r="1091" spans="1:7" ht="15.75">
      <c r="A1091" s="18" t="s">
        <v>1092</v>
      </c>
      <c r="B1091" s="3" t="s">
        <v>22</v>
      </c>
      <c r="C1091" s="25" t="s">
        <v>31</v>
      </c>
      <c r="D1091" s="16" t="s">
        <v>1095</v>
      </c>
      <c r="E1091" s="16" t="s">
        <v>2102</v>
      </c>
      <c r="F1091" s="157">
        <v>126</v>
      </c>
      <c r="G1091" s="11">
        <f>F1091*5</f>
        <v>630</v>
      </c>
    </row>
    <row r="1092" spans="1:7" ht="15.75">
      <c r="A1092" s="18" t="s">
        <v>1092</v>
      </c>
      <c r="B1092" s="3" t="s">
        <v>22</v>
      </c>
      <c r="C1092" s="25" t="s">
        <v>27</v>
      </c>
      <c r="D1092" s="16" t="s">
        <v>1097</v>
      </c>
      <c r="E1092" s="16" t="s">
        <v>2102</v>
      </c>
      <c r="F1092" s="158" t="s">
        <v>26</v>
      </c>
      <c r="G1092" s="11">
        <f>F1092*34</f>
        <v>0</v>
      </c>
    </row>
    <row r="1093" spans="1:7" ht="15.75">
      <c r="A1093" s="18" t="s">
        <v>1092</v>
      </c>
      <c r="B1093" s="3" t="s">
        <v>22</v>
      </c>
      <c r="C1093" s="25" t="s">
        <v>29</v>
      </c>
      <c r="D1093" s="16" t="s">
        <v>1098</v>
      </c>
      <c r="E1093" s="16" t="s">
        <v>2102</v>
      </c>
      <c r="F1093" s="158" t="s">
        <v>26</v>
      </c>
      <c r="G1093" s="11">
        <f>F1093*21</f>
        <v>0</v>
      </c>
    </row>
    <row r="1094" spans="1:7" ht="15.75">
      <c r="A1094" s="18" t="s">
        <v>1092</v>
      </c>
      <c r="B1094" s="3" t="s">
        <v>22</v>
      </c>
      <c r="C1094" s="25" t="s">
        <v>31</v>
      </c>
      <c r="D1094" s="16" t="s">
        <v>1099</v>
      </c>
      <c r="E1094" s="16" t="s">
        <v>2102</v>
      </c>
      <c r="F1094" s="158" t="s">
        <v>26</v>
      </c>
      <c r="G1094" s="11">
        <f>F1094*5</f>
        <v>0</v>
      </c>
    </row>
    <row r="1095" spans="1:7" ht="15.75">
      <c r="A1095" s="18" t="s">
        <v>1092</v>
      </c>
      <c r="B1095" s="3" t="s">
        <v>22</v>
      </c>
      <c r="C1095" s="25" t="s">
        <v>27</v>
      </c>
      <c r="D1095" s="16" t="s">
        <v>1100</v>
      </c>
      <c r="E1095" s="16" t="s">
        <v>2102</v>
      </c>
      <c r="F1095" s="158" t="s">
        <v>26</v>
      </c>
      <c r="G1095" s="11">
        <f>F1095*34</f>
        <v>0</v>
      </c>
    </row>
    <row r="1096" spans="1:7" ht="15.75">
      <c r="A1096" s="18" t="s">
        <v>1092</v>
      </c>
      <c r="B1096" s="3" t="s">
        <v>22</v>
      </c>
      <c r="C1096" s="25" t="s">
        <v>29</v>
      </c>
      <c r="D1096" s="16" t="s">
        <v>193</v>
      </c>
      <c r="E1096" s="16" t="s">
        <v>2102</v>
      </c>
      <c r="F1096" s="158" t="s">
        <v>26</v>
      </c>
      <c r="G1096" s="11">
        <f>F1096*21</f>
        <v>0</v>
      </c>
    </row>
    <row r="1097" spans="1:7" ht="15.75">
      <c r="A1097" s="18" t="s">
        <v>1092</v>
      </c>
      <c r="B1097" s="3" t="s">
        <v>22</v>
      </c>
      <c r="C1097" s="25" t="s">
        <v>31</v>
      </c>
      <c r="D1097" s="16" t="s">
        <v>1101</v>
      </c>
      <c r="E1097" s="16" t="s">
        <v>2102</v>
      </c>
      <c r="F1097" s="158" t="s">
        <v>26</v>
      </c>
      <c r="G1097" s="11">
        <f>F1097*5</f>
        <v>0</v>
      </c>
    </row>
    <row r="1098" spans="1:7" ht="15.75">
      <c r="A1098" s="18" t="s">
        <v>1102</v>
      </c>
      <c r="B1098" s="3" t="s">
        <v>22</v>
      </c>
      <c r="C1098" s="24" t="s">
        <v>24</v>
      </c>
      <c r="D1098" s="16" t="s">
        <v>1103</v>
      </c>
      <c r="E1098" s="16" t="s">
        <v>2102</v>
      </c>
      <c r="F1098" s="158" t="s">
        <v>26</v>
      </c>
      <c r="G1098" s="11">
        <f>F1098*45</f>
        <v>0</v>
      </c>
    </row>
    <row r="1099" spans="1:7" ht="15.75">
      <c r="A1099" s="18" t="s">
        <v>1102</v>
      </c>
      <c r="B1099" s="3" t="s">
        <v>22</v>
      </c>
      <c r="C1099" s="25" t="s">
        <v>27</v>
      </c>
      <c r="D1099" s="16" t="s">
        <v>1104</v>
      </c>
      <c r="E1099" s="16" t="s">
        <v>2102</v>
      </c>
      <c r="F1099" s="158" t="s">
        <v>26</v>
      </c>
      <c r="G1099" s="11">
        <f>F1099*34</f>
        <v>0</v>
      </c>
    </row>
    <row r="1100" spans="1:7" ht="15.75">
      <c r="A1100" s="18" t="s">
        <v>1102</v>
      </c>
      <c r="B1100" s="3" t="s">
        <v>22</v>
      </c>
      <c r="C1100" s="25" t="s">
        <v>958</v>
      </c>
      <c r="D1100" s="16" t="s">
        <v>1105</v>
      </c>
      <c r="E1100" s="16" t="s">
        <v>2102</v>
      </c>
      <c r="F1100" s="158" t="s">
        <v>26</v>
      </c>
      <c r="G1100" s="11">
        <f>F1100*38</f>
        <v>0</v>
      </c>
    </row>
    <row r="1101" spans="1:7" ht="15.75">
      <c r="A1101" s="18" t="s">
        <v>1102</v>
      </c>
      <c r="B1101" s="3" t="s">
        <v>22</v>
      </c>
      <c r="C1101" s="25" t="s">
        <v>29</v>
      </c>
      <c r="D1101" s="16" t="s">
        <v>1106</v>
      </c>
      <c r="E1101" s="16" t="s">
        <v>2102</v>
      </c>
      <c r="F1101" s="158" t="s">
        <v>26</v>
      </c>
      <c r="G1101" s="11">
        <f>F1101*21</f>
        <v>0</v>
      </c>
    </row>
    <row r="1102" spans="1:7" ht="15.75">
      <c r="A1102" s="18" t="s">
        <v>1102</v>
      </c>
      <c r="B1102" s="3" t="s">
        <v>22</v>
      </c>
      <c r="C1102" s="25" t="s">
        <v>31</v>
      </c>
      <c r="D1102" s="16" t="s">
        <v>1107</v>
      </c>
      <c r="E1102" s="16" t="s">
        <v>2102</v>
      </c>
      <c r="F1102" s="158" t="s">
        <v>26</v>
      </c>
      <c r="G1102" s="11">
        <f>F1102*5</f>
        <v>0</v>
      </c>
    </row>
    <row r="1103" spans="1:7" ht="15.75">
      <c r="A1103" s="18" t="s">
        <v>1102</v>
      </c>
      <c r="B1103" s="3" t="s">
        <v>22</v>
      </c>
      <c r="C1103" s="24" t="s">
        <v>24</v>
      </c>
      <c r="D1103" s="16" t="s">
        <v>1108</v>
      </c>
      <c r="E1103" s="16" t="s">
        <v>2102</v>
      </c>
      <c r="F1103" s="158" t="s">
        <v>26</v>
      </c>
      <c r="G1103" s="11">
        <f>F1103*45</f>
        <v>0</v>
      </c>
    </row>
    <row r="1104" spans="1:7" ht="15.75">
      <c r="A1104" s="18" t="s">
        <v>1102</v>
      </c>
      <c r="B1104" s="3" t="s">
        <v>22</v>
      </c>
      <c r="C1104" s="25" t="s">
        <v>27</v>
      </c>
      <c r="D1104" s="16" t="s">
        <v>985</v>
      </c>
      <c r="E1104" s="16" t="s">
        <v>2102</v>
      </c>
      <c r="F1104" s="158" t="s">
        <v>26</v>
      </c>
      <c r="G1104" s="11">
        <f>F1104*34</f>
        <v>0</v>
      </c>
    </row>
    <row r="1105" spans="1:7" ht="15.75">
      <c r="A1105" s="18" t="s">
        <v>1102</v>
      </c>
      <c r="B1105" s="3" t="s">
        <v>22</v>
      </c>
      <c r="C1105" s="25" t="s">
        <v>958</v>
      </c>
      <c r="D1105" s="16" t="s">
        <v>122</v>
      </c>
      <c r="E1105" s="16" t="s">
        <v>2102</v>
      </c>
      <c r="F1105" s="158" t="s">
        <v>26</v>
      </c>
      <c r="G1105" s="11">
        <f>F1105*38</f>
        <v>0</v>
      </c>
    </row>
    <row r="1106" spans="1:7" ht="15.75">
      <c r="A1106" s="18" t="s">
        <v>1102</v>
      </c>
      <c r="B1106" s="3" t="s">
        <v>22</v>
      </c>
      <c r="C1106" s="25" t="s">
        <v>29</v>
      </c>
      <c r="D1106" s="16" t="s">
        <v>1109</v>
      </c>
      <c r="E1106" s="16" t="s">
        <v>2102</v>
      </c>
      <c r="F1106" s="158" t="s">
        <v>26</v>
      </c>
      <c r="G1106" s="11">
        <f>F1106*21</f>
        <v>0</v>
      </c>
    </row>
    <row r="1107" spans="1:7" ht="15.75">
      <c r="A1107" s="18" t="s">
        <v>1102</v>
      </c>
      <c r="B1107" s="3" t="s">
        <v>22</v>
      </c>
      <c r="C1107" s="25" t="s">
        <v>31</v>
      </c>
      <c r="D1107" s="16" t="s">
        <v>1110</v>
      </c>
      <c r="E1107" s="16" t="s">
        <v>2102</v>
      </c>
      <c r="F1107" s="158" t="s">
        <v>26</v>
      </c>
      <c r="G1107" s="11">
        <f>F1107*5</f>
        <v>0</v>
      </c>
    </row>
    <row r="1108" spans="1:7" ht="15.75">
      <c r="A1108" s="18" t="s">
        <v>1102</v>
      </c>
      <c r="B1108" s="3" t="s">
        <v>22</v>
      </c>
      <c r="C1108" s="25" t="s">
        <v>27</v>
      </c>
      <c r="D1108" s="16" t="s">
        <v>1111</v>
      </c>
      <c r="E1108" s="16" t="s">
        <v>2102</v>
      </c>
      <c r="F1108" s="157">
        <v>328</v>
      </c>
      <c r="G1108" s="11">
        <f>F1108*34</f>
        <v>11152</v>
      </c>
    </row>
    <row r="1109" spans="1:7" ht="15.75">
      <c r="A1109" s="18" t="s">
        <v>1102</v>
      </c>
      <c r="B1109" s="3" t="s">
        <v>22</v>
      </c>
      <c r="C1109" s="25" t="s">
        <v>29</v>
      </c>
      <c r="D1109" s="16" t="s">
        <v>1112</v>
      </c>
      <c r="E1109" s="16" t="s">
        <v>2102</v>
      </c>
      <c r="F1109" s="157">
        <v>358</v>
      </c>
      <c r="G1109" s="11">
        <f>F1109*21</f>
        <v>7518</v>
      </c>
    </row>
    <row r="1110" spans="1:7" ht="15.75">
      <c r="A1110" s="18" t="s">
        <v>1102</v>
      </c>
      <c r="B1110" s="3" t="s">
        <v>22</v>
      </c>
      <c r="C1110" s="25" t="s">
        <v>31</v>
      </c>
      <c r="D1110" s="16" t="s">
        <v>1113</v>
      </c>
      <c r="E1110" s="16" t="s">
        <v>2102</v>
      </c>
      <c r="F1110" s="157">
        <v>102</v>
      </c>
      <c r="G1110" s="11">
        <f>F1110*5</f>
        <v>510</v>
      </c>
    </row>
    <row r="1111" spans="1:7" ht="15.75">
      <c r="A1111" s="18" t="s">
        <v>1102</v>
      </c>
      <c r="B1111" s="3" t="s">
        <v>22</v>
      </c>
      <c r="C1111" s="25" t="s">
        <v>27</v>
      </c>
      <c r="D1111" s="16" t="s">
        <v>1114</v>
      </c>
      <c r="E1111" s="16" t="s">
        <v>2102</v>
      </c>
      <c r="F1111" s="158" t="s">
        <v>26</v>
      </c>
      <c r="G1111" s="11">
        <f>F1111*34</f>
        <v>0</v>
      </c>
    </row>
    <row r="1112" spans="1:7" ht="15.75">
      <c r="A1112" s="18" t="s">
        <v>1102</v>
      </c>
      <c r="B1112" s="3" t="s">
        <v>22</v>
      </c>
      <c r="C1112" s="25" t="s">
        <v>29</v>
      </c>
      <c r="D1112" s="16" t="s">
        <v>252</v>
      </c>
      <c r="E1112" s="16" t="s">
        <v>2102</v>
      </c>
      <c r="F1112" s="158" t="s">
        <v>26</v>
      </c>
      <c r="G1112" s="11">
        <f>F1112*21</f>
        <v>0</v>
      </c>
    </row>
    <row r="1113" spans="1:7" ht="15.75">
      <c r="A1113" s="18" t="s">
        <v>1102</v>
      </c>
      <c r="B1113" s="3" t="s">
        <v>22</v>
      </c>
      <c r="C1113" s="25" t="s">
        <v>31</v>
      </c>
      <c r="D1113" s="16" t="s">
        <v>219</v>
      </c>
      <c r="E1113" s="16" t="s">
        <v>2102</v>
      </c>
      <c r="F1113" s="158" t="s">
        <v>26</v>
      </c>
      <c r="G1113" s="11">
        <f>F1113*5</f>
        <v>0</v>
      </c>
    </row>
    <row r="1114" spans="1:7" ht="15.75">
      <c r="A1114" s="18" t="s">
        <v>1115</v>
      </c>
      <c r="B1114" s="3" t="s">
        <v>22</v>
      </c>
      <c r="C1114" s="25" t="s">
        <v>27</v>
      </c>
      <c r="D1114" s="16" t="s">
        <v>1117</v>
      </c>
      <c r="E1114" s="16" t="s">
        <v>2102</v>
      </c>
      <c r="F1114" s="157">
        <v>533</v>
      </c>
      <c r="G1114" s="11">
        <f>F1114*34</f>
        <v>18122</v>
      </c>
    </row>
    <row r="1115" spans="1:7" ht="15.75">
      <c r="A1115" s="18" t="s">
        <v>1115</v>
      </c>
      <c r="B1115" s="3" t="s">
        <v>22</v>
      </c>
      <c r="C1115" s="25" t="s">
        <v>29</v>
      </c>
      <c r="D1115" s="16" t="s">
        <v>1118</v>
      </c>
      <c r="E1115" s="16" t="s">
        <v>2102</v>
      </c>
      <c r="F1115" s="157">
        <v>95</v>
      </c>
      <c r="G1115" s="11">
        <f>F1115*21</f>
        <v>1995</v>
      </c>
    </row>
    <row r="1116" spans="1:7" ht="15.75">
      <c r="A1116" s="18" t="s">
        <v>1115</v>
      </c>
      <c r="B1116" s="3" t="s">
        <v>22</v>
      </c>
      <c r="C1116" s="25" t="s">
        <v>31</v>
      </c>
      <c r="D1116" s="16" t="s">
        <v>1119</v>
      </c>
      <c r="E1116" s="16" t="s">
        <v>2102</v>
      </c>
      <c r="F1116" s="157">
        <v>54</v>
      </c>
      <c r="G1116" s="11">
        <f>F1116*5</f>
        <v>270</v>
      </c>
    </row>
    <row r="1117" spans="1:7" ht="15.75">
      <c r="A1117" s="18" t="s">
        <v>1115</v>
      </c>
      <c r="B1117" s="3" t="s">
        <v>22</v>
      </c>
      <c r="C1117" s="25" t="s">
        <v>27</v>
      </c>
      <c r="D1117" s="16" t="s">
        <v>1120</v>
      </c>
      <c r="E1117" s="16" t="s">
        <v>2102</v>
      </c>
      <c r="F1117" s="158" t="s">
        <v>26</v>
      </c>
      <c r="G1117" s="11">
        <f>F1117*34</f>
        <v>0</v>
      </c>
    </row>
    <row r="1118" spans="1:7" ht="15.75">
      <c r="A1118" s="18" t="s">
        <v>1115</v>
      </c>
      <c r="B1118" s="3" t="s">
        <v>22</v>
      </c>
      <c r="C1118" s="25" t="s">
        <v>29</v>
      </c>
      <c r="D1118" s="16" t="s">
        <v>1121</v>
      </c>
      <c r="E1118" s="16" t="s">
        <v>2102</v>
      </c>
      <c r="F1118" s="158" t="s">
        <v>26</v>
      </c>
      <c r="G1118" s="11">
        <f>F1118*21</f>
        <v>0</v>
      </c>
    </row>
    <row r="1119" spans="1:7" ht="15.75">
      <c r="A1119" s="18" t="s">
        <v>1115</v>
      </c>
      <c r="B1119" s="3" t="s">
        <v>22</v>
      </c>
      <c r="C1119" s="25" t="s">
        <v>31</v>
      </c>
      <c r="D1119" s="16" t="s">
        <v>69</v>
      </c>
      <c r="E1119" s="16" t="s">
        <v>2102</v>
      </c>
      <c r="F1119" s="158" t="s">
        <v>26</v>
      </c>
      <c r="G1119" s="11">
        <f>F1119*5</f>
        <v>0</v>
      </c>
    </row>
    <row r="1120" spans="1:7" ht="15.75">
      <c r="A1120" s="18" t="s">
        <v>1115</v>
      </c>
      <c r="B1120" s="3" t="s">
        <v>22</v>
      </c>
      <c r="C1120" s="25" t="s">
        <v>27</v>
      </c>
      <c r="D1120" s="16" t="s">
        <v>1122</v>
      </c>
      <c r="E1120" s="16" t="s">
        <v>2102</v>
      </c>
      <c r="F1120" s="158" t="s">
        <v>26</v>
      </c>
      <c r="G1120" s="11">
        <f>F1120*34</f>
        <v>0</v>
      </c>
    </row>
    <row r="1121" spans="1:7" ht="15.75">
      <c r="A1121" s="18" t="s">
        <v>1115</v>
      </c>
      <c r="B1121" s="3" t="s">
        <v>22</v>
      </c>
      <c r="C1121" s="25" t="s">
        <v>29</v>
      </c>
      <c r="D1121" s="16" t="s">
        <v>1123</v>
      </c>
      <c r="E1121" s="16" t="s">
        <v>2102</v>
      </c>
      <c r="F1121" s="158" t="s">
        <v>26</v>
      </c>
      <c r="G1121" s="11">
        <f>F1121*21</f>
        <v>0</v>
      </c>
    </row>
    <row r="1122" spans="1:7" ht="15.75">
      <c r="A1122" s="18" t="s">
        <v>1115</v>
      </c>
      <c r="B1122" s="3" t="s">
        <v>22</v>
      </c>
      <c r="C1122" s="25" t="s">
        <v>31</v>
      </c>
      <c r="D1122" s="16" t="s">
        <v>1124</v>
      </c>
      <c r="E1122" s="16" t="s">
        <v>2102</v>
      </c>
      <c r="F1122" s="158" t="s">
        <v>26</v>
      </c>
      <c r="G1122" s="11">
        <f>F1122*5</f>
        <v>0</v>
      </c>
    </row>
    <row r="1123" spans="1:7" ht="15.75">
      <c r="A1123" s="18" t="s">
        <v>1115</v>
      </c>
      <c r="B1123" s="3" t="s">
        <v>22</v>
      </c>
      <c r="C1123" s="25" t="s">
        <v>27</v>
      </c>
      <c r="D1123" s="16" t="s">
        <v>1125</v>
      </c>
      <c r="E1123" s="16" t="s">
        <v>2102</v>
      </c>
      <c r="F1123" s="158" t="s">
        <v>26</v>
      </c>
      <c r="G1123" s="11">
        <f>F1123*34</f>
        <v>0</v>
      </c>
    </row>
    <row r="1124" spans="1:7" ht="15.75">
      <c r="A1124" s="18" t="s">
        <v>1115</v>
      </c>
      <c r="B1124" s="3" t="s">
        <v>22</v>
      </c>
      <c r="C1124" s="25" t="s">
        <v>29</v>
      </c>
      <c r="D1124" s="16" t="s">
        <v>1126</v>
      </c>
      <c r="E1124" s="16" t="s">
        <v>2102</v>
      </c>
      <c r="F1124" s="158" t="s">
        <v>26</v>
      </c>
      <c r="G1124" s="11">
        <f>F1124*21</f>
        <v>0</v>
      </c>
    </row>
    <row r="1125" spans="1:7" ht="15.75">
      <c r="A1125" s="18" t="s">
        <v>1115</v>
      </c>
      <c r="B1125" s="3" t="s">
        <v>22</v>
      </c>
      <c r="C1125" s="25" t="s">
        <v>31</v>
      </c>
      <c r="D1125" s="16" t="s">
        <v>1124</v>
      </c>
      <c r="E1125" s="16" t="s">
        <v>2102</v>
      </c>
      <c r="F1125" s="158" t="s">
        <v>26</v>
      </c>
      <c r="G1125" s="11">
        <f>F1125*5</f>
        <v>0</v>
      </c>
    </row>
    <row r="1126" spans="1:7" ht="15.75">
      <c r="A1126" s="18" t="s">
        <v>1127</v>
      </c>
      <c r="B1126" s="3" t="s">
        <v>22</v>
      </c>
      <c r="C1126" s="25" t="s">
        <v>24</v>
      </c>
      <c r="D1126" s="16" t="s">
        <v>1128</v>
      </c>
      <c r="E1126" s="16" t="s">
        <v>2102</v>
      </c>
      <c r="F1126" s="157">
        <v>50</v>
      </c>
      <c r="G1126" s="11">
        <f>F1126*45</f>
        <v>2250</v>
      </c>
    </row>
    <row r="1127" spans="1:7" ht="15.75">
      <c r="A1127" s="18" t="s">
        <v>1127</v>
      </c>
      <c r="B1127" s="3" t="s">
        <v>22</v>
      </c>
      <c r="C1127" s="25" t="s">
        <v>27</v>
      </c>
      <c r="D1127" s="16" t="s">
        <v>1129</v>
      </c>
      <c r="E1127" s="16" t="s">
        <v>2102</v>
      </c>
      <c r="F1127" s="157">
        <v>231</v>
      </c>
      <c r="G1127" s="11">
        <f>F1127*34</f>
        <v>7854</v>
      </c>
    </row>
    <row r="1128" spans="1:7" ht="15.75">
      <c r="A1128" s="18" t="s">
        <v>1127</v>
      </c>
      <c r="B1128" s="3" t="s">
        <v>22</v>
      </c>
      <c r="C1128" s="25" t="s">
        <v>29</v>
      </c>
      <c r="D1128" s="16" t="s">
        <v>1001</v>
      </c>
      <c r="E1128" s="16" t="s">
        <v>2102</v>
      </c>
      <c r="F1128" s="157">
        <v>24</v>
      </c>
      <c r="G1128" s="11">
        <f>F1128*21</f>
        <v>504</v>
      </c>
    </row>
    <row r="1129" spans="1:7" ht="15.75">
      <c r="A1129" s="18" t="s">
        <v>1127</v>
      </c>
      <c r="B1129" s="3" t="s">
        <v>22</v>
      </c>
      <c r="C1129" s="25" t="s">
        <v>31</v>
      </c>
      <c r="D1129" s="16" t="s">
        <v>1007</v>
      </c>
      <c r="E1129" s="16" t="s">
        <v>2102</v>
      </c>
      <c r="F1129" s="157">
        <v>10</v>
      </c>
      <c r="G1129" s="11">
        <f>F1129*5</f>
        <v>50</v>
      </c>
    </row>
    <row r="1130" spans="1:7" ht="15.75">
      <c r="A1130" s="18" t="s">
        <v>1127</v>
      </c>
      <c r="B1130" s="3" t="s">
        <v>22</v>
      </c>
      <c r="C1130" s="25" t="s">
        <v>24</v>
      </c>
      <c r="D1130" s="16" t="s">
        <v>225</v>
      </c>
      <c r="E1130" s="16" t="s">
        <v>2102</v>
      </c>
      <c r="F1130" s="158" t="s">
        <v>26</v>
      </c>
      <c r="G1130" s="11">
        <f>F1130*45</f>
        <v>0</v>
      </c>
    </row>
    <row r="1131" spans="1:7" ht="15.75">
      <c r="A1131" s="18" t="s">
        <v>1127</v>
      </c>
      <c r="B1131" s="3" t="s">
        <v>22</v>
      </c>
      <c r="C1131" s="25" t="s">
        <v>27</v>
      </c>
      <c r="D1131" s="16" t="s">
        <v>1130</v>
      </c>
      <c r="E1131" s="16" t="s">
        <v>2102</v>
      </c>
      <c r="F1131" s="158" t="s">
        <v>26</v>
      </c>
      <c r="G1131" s="11">
        <f>F1131*34</f>
        <v>0</v>
      </c>
    </row>
    <row r="1132" spans="1:7" ht="15.75">
      <c r="A1132" s="18" t="s">
        <v>1127</v>
      </c>
      <c r="B1132" s="3" t="s">
        <v>22</v>
      </c>
      <c r="C1132" s="25" t="s">
        <v>958</v>
      </c>
      <c r="D1132" s="8">
        <v>28</v>
      </c>
      <c r="E1132" s="16" t="s">
        <v>2102</v>
      </c>
      <c r="F1132" s="157">
        <v>14</v>
      </c>
      <c r="G1132" s="11">
        <f>F1132*38</f>
        <v>532</v>
      </c>
    </row>
    <row r="1133" spans="1:7" ht="15.75">
      <c r="A1133" s="18" t="s">
        <v>1127</v>
      </c>
      <c r="B1133" s="3" t="s">
        <v>22</v>
      </c>
      <c r="C1133" s="25" t="s">
        <v>29</v>
      </c>
      <c r="D1133" s="8">
        <v>79</v>
      </c>
      <c r="E1133" s="16" t="s">
        <v>2102</v>
      </c>
      <c r="F1133" s="158" t="s">
        <v>26</v>
      </c>
      <c r="G1133" s="11">
        <f>F1133*21</f>
        <v>0</v>
      </c>
    </row>
    <row r="1134" spans="1:7" ht="15.75">
      <c r="A1134" s="18" t="s">
        <v>1127</v>
      </c>
      <c r="B1134" s="3" t="s">
        <v>22</v>
      </c>
      <c r="C1134" s="25" t="s">
        <v>31</v>
      </c>
      <c r="D1134" s="8">
        <v>70</v>
      </c>
      <c r="E1134" s="16" t="s">
        <v>2102</v>
      </c>
      <c r="F1134" s="158" t="s">
        <v>26</v>
      </c>
      <c r="G1134" s="11">
        <f>F1134*5</f>
        <v>0</v>
      </c>
    </row>
    <row r="1135" spans="1:7" ht="15.75">
      <c r="A1135" s="18" t="s">
        <v>1127</v>
      </c>
      <c r="B1135" s="3" t="s">
        <v>22</v>
      </c>
      <c r="C1135" s="25" t="s">
        <v>27</v>
      </c>
      <c r="D1135" s="16" t="s">
        <v>1131</v>
      </c>
      <c r="E1135" s="16" t="s">
        <v>2102</v>
      </c>
      <c r="F1135" s="158" t="s">
        <v>26</v>
      </c>
      <c r="G1135" s="11">
        <f>F1135*34</f>
        <v>0</v>
      </c>
    </row>
    <row r="1136" spans="1:7" ht="15.75">
      <c r="A1136" s="18" t="s">
        <v>1127</v>
      </c>
      <c r="B1136" s="3" t="s">
        <v>22</v>
      </c>
      <c r="C1136" s="25" t="s">
        <v>29</v>
      </c>
      <c r="D1136" s="16" t="s">
        <v>1132</v>
      </c>
      <c r="E1136" s="16" t="s">
        <v>2102</v>
      </c>
      <c r="F1136" s="158" t="s">
        <v>26</v>
      </c>
      <c r="G1136" s="11">
        <f>F1136*21</f>
        <v>0</v>
      </c>
    </row>
    <row r="1137" spans="1:7" ht="15.75">
      <c r="A1137" s="18" t="s">
        <v>1127</v>
      </c>
      <c r="B1137" s="3" t="s">
        <v>22</v>
      </c>
      <c r="C1137" s="25" t="s">
        <v>31</v>
      </c>
      <c r="D1137" s="16" t="s">
        <v>1133</v>
      </c>
      <c r="E1137" s="16" t="s">
        <v>2102</v>
      </c>
      <c r="F1137" s="158" t="s">
        <v>26</v>
      </c>
      <c r="G1137" s="11">
        <f>F1137*5</f>
        <v>0</v>
      </c>
    </row>
    <row r="1138" spans="1:7" ht="15.75">
      <c r="A1138" s="18" t="s">
        <v>1134</v>
      </c>
      <c r="B1138" s="3" t="s">
        <v>22</v>
      </c>
      <c r="C1138" s="23" t="s">
        <v>27</v>
      </c>
      <c r="D1138" s="21" t="s">
        <v>1135</v>
      </c>
      <c r="E1138" s="16" t="s">
        <v>2102</v>
      </c>
      <c r="F1138" s="157">
        <v>403</v>
      </c>
      <c r="G1138" s="11">
        <f>F1138*34</f>
        <v>13702</v>
      </c>
    </row>
    <row r="1139" spans="1:7" ht="15.75">
      <c r="A1139" s="18" t="s">
        <v>1134</v>
      </c>
      <c r="B1139" s="3" t="s">
        <v>22</v>
      </c>
      <c r="C1139" s="23" t="s">
        <v>29</v>
      </c>
      <c r="D1139" s="21" t="s">
        <v>1136</v>
      </c>
      <c r="E1139" s="16" t="s">
        <v>2102</v>
      </c>
      <c r="F1139" s="157">
        <v>160</v>
      </c>
      <c r="G1139" s="11">
        <f>F1139*21</f>
        <v>3360</v>
      </c>
    </row>
    <row r="1140" spans="1:7" ht="15.75">
      <c r="A1140" s="18" t="s">
        <v>1134</v>
      </c>
      <c r="B1140" s="3" t="s">
        <v>22</v>
      </c>
      <c r="C1140" s="23" t="s">
        <v>31</v>
      </c>
      <c r="D1140" s="21" t="s">
        <v>1137</v>
      </c>
      <c r="E1140" s="16" t="s">
        <v>2102</v>
      </c>
      <c r="F1140" s="157">
        <v>25</v>
      </c>
      <c r="G1140" s="11">
        <f>F1140*5</f>
        <v>125</v>
      </c>
    </row>
    <row r="1141" spans="1:7" ht="15.75">
      <c r="A1141" s="18" t="s">
        <v>1134</v>
      </c>
      <c r="B1141" s="3" t="s">
        <v>22</v>
      </c>
      <c r="C1141" s="23" t="s">
        <v>27</v>
      </c>
      <c r="D1141" s="21" t="s">
        <v>1138</v>
      </c>
      <c r="E1141" s="16" t="s">
        <v>2102</v>
      </c>
      <c r="F1141" s="158" t="s">
        <v>26</v>
      </c>
      <c r="G1141" s="11">
        <f>F1141*34</f>
        <v>0</v>
      </c>
    </row>
    <row r="1142" spans="1:7" ht="15.75">
      <c r="A1142" s="18" t="s">
        <v>1134</v>
      </c>
      <c r="B1142" s="3" t="s">
        <v>22</v>
      </c>
      <c r="C1142" s="23" t="s">
        <v>29</v>
      </c>
      <c r="D1142" s="21" t="s">
        <v>200</v>
      </c>
      <c r="E1142" s="16" t="s">
        <v>2102</v>
      </c>
      <c r="F1142" s="158" t="s">
        <v>26</v>
      </c>
      <c r="G1142" s="11">
        <f>F1142*21</f>
        <v>0</v>
      </c>
    </row>
    <row r="1143" spans="1:7" ht="15.75">
      <c r="A1143" s="18" t="s">
        <v>1134</v>
      </c>
      <c r="B1143" s="3" t="s">
        <v>22</v>
      </c>
      <c r="C1143" s="23" t="s">
        <v>31</v>
      </c>
      <c r="D1143" s="21" t="s">
        <v>1139</v>
      </c>
      <c r="E1143" s="16" t="s">
        <v>2102</v>
      </c>
      <c r="F1143" s="158" t="s">
        <v>26</v>
      </c>
      <c r="G1143" s="11">
        <f>F1143*5</f>
        <v>0</v>
      </c>
    </row>
    <row r="1144" spans="1:7" ht="15.75">
      <c r="A1144" s="18" t="s">
        <v>1134</v>
      </c>
      <c r="B1144" s="3" t="s">
        <v>22</v>
      </c>
      <c r="C1144" s="23" t="s">
        <v>27</v>
      </c>
      <c r="D1144" s="21" t="s">
        <v>1140</v>
      </c>
      <c r="E1144" s="16" t="s">
        <v>2102</v>
      </c>
      <c r="F1144" s="158" t="s">
        <v>26</v>
      </c>
      <c r="G1144" s="11">
        <f>F1144*34</f>
        <v>0</v>
      </c>
    </row>
    <row r="1145" spans="1:7" ht="15.75">
      <c r="A1145" s="18" t="s">
        <v>1134</v>
      </c>
      <c r="B1145" s="3" t="s">
        <v>22</v>
      </c>
      <c r="C1145" s="23" t="s">
        <v>29</v>
      </c>
      <c r="D1145" s="21" t="s">
        <v>1141</v>
      </c>
      <c r="E1145" s="16" t="s">
        <v>2102</v>
      </c>
      <c r="F1145" s="158" t="s">
        <v>26</v>
      </c>
      <c r="G1145" s="11">
        <f>F1145*21</f>
        <v>0</v>
      </c>
    </row>
    <row r="1146" spans="1:7" ht="15.75">
      <c r="A1146" s="18" t="s">
        <v>1134</v>
      </c>
      <c r="B1146" s="3" t="s">
        <v>22</v>
      </c>
      <c r="C1146" s="23" t="s">
        <v>31</v>
      </c>
      <c r="D1146" s="21" t="s">
        <v>1142</v>
      </c>
      <c r="E1146" s="16" t="s">
        <v>2102</v>
      </c>
      <c r="F1146" s="158" t="s">
        <v>26</v>
      </c>
      <c r="G1146" s="11">
        <f>F1146*5</f>
        <v>0</v>
      </c>
    </row>
    <row r="1147" spans="1:7" ht="15.75">
      <c r="A1147" s="18" t="s">
        <v>1134</v>
      </c>
      <c r="B1147" s="3" t="s">
        <v>22</v>
      </c>
      <c r="C1147" s="23" t="s">
        <v>27</v>
      </c>
      <c r="D1147" s="21" t="s">
        <v>1143</v>
      </c>
      <c r="E1147" s="16" t="s">
        <v>2102</v>
      </c>
      <c r="F1147" s="158" t="s">
        <v>26</v>
      </c>
      <c r="G1147" s="11">
        <f>F1147*34</f>
        <v>0</v>
      </c>
    </row>
    <row r="1148" spans="1:7" ht="15.75">
      <c r="A1148" s="18" t="s">
        <v>1134</v>
      </c>
      <c r="B1148" s="3" t="s">
        <v>22</v>
      </c>
      <c r="C1148" s="23" t="s">
        <v>29</v>
      </c>
      <c r="D1148" s="21" t="s">
        <v>1144</v>
      </c>
      <c r="E1148" s="16" t="s">
        <v>2102</v>
      </c>
      <c r="F1148" s="158" t="s">
        <v>26</v>
      </c>
      <c r="G1148" s="11">
        <f>F1148*21</f>
        <v>0</v>
      </c>
    </row>
    <row r="1149" spans="1:7" ht="15.75">
      <c r="A1149" s="18" t="s">
        <v>1134</v>
      </c>
      <c r="B1149" s="3" t="s">
        <v>22</v>
      </c>
      <c r="C1149" s="23" t="s">
        <v>31</v>
      </c>
      <c r="D1149" s="21" t="s">
        <v>1145</v>
      </c>
      <c r="E1149" s="16" t="s">
        <v>2102</v>
      </c>
      <c r="F1149" s="158" t="s">
        <v>26</v>
      </c>
      <c r="G1149" s="11">
        <f>F1149*5</f>
        <v>0</v>
      </c>
    </row>
    <row r="1150" spans="1:7" ht="15.75">
      <c r="A1150" s="18" t="s">
        <v>1146</v>
      </c>
      <c r="B1150" s="3" t="s">
        <v>22</v>
      </c>
      <c r="C1150" s="23" t="s">
        <v>24</v>
      </c>
      <c r="D1150" s="21" t="s">
        <v>395</v>
      </c>
      <c r="E1150" s="16" t="s">
        <v>2102</v>
      </c>
      <c r="F1150" s="157">
        <v>57</v>
      </c>
      <c r="G1150" s="11">
        <f>F1150*45</f>
        <v>2565</v>
      </c>
    </row>
    <row r="1151" spans="1:7" ht="15.75">
      <c r="A1151" s="18" t="s">
        <v>1146</v>
      </c>
      <c r="B1151" s="3" t="s">
        <v>22</v>
      </c>
      <c r="C1151" s="23" t="s">
        <v>27</v>
      </c>
      <c r="D1151" s="21" t="s">
        <v>986</v>
      </c>
      <c r="E1151" s="16" t="s">
        <v>2102</v>
      </c>
      <c r="F1151" s="157">
        <v>333</v>
      </c>
      <c r="G1151" s="11">
        <f>F1151*34</f>
        <v>11322</v>
      </c>
    </row>
    <row r="1152" spans="1:7" ht="15.75">
      <c r="A1152" s="18" t="s">
        <v>1146</v>
      </c>
      <c r="B1152" s="3" t="s">
        <v>22</v>
      </c>
      <c r="C1152" s="23" t="s">
        <v>958</v>
      </c>
      <c r="D1152" s="21" t="s">
        <v>1147</v>
      </c>
      <c r="E1152" s="16" t="s">
        <v>2102</v>
      </c>
      <c r="F1152" s="157">
        <v>16</v>
      </c>
      <c r="G1152" s="11">
        <f>F1152*38</f>
        <v>608</v>
      </c>
    </row>
    <row r="1153" spans="1:7" ht="15.75">
      <c r="A1153" s="18" t="s">
        <v>1146</v>
      </c>
      <c r="B1153" s="3" t="s">
        <v>22</v>
      </c>
      <c r="C1153" s="23" t="s">
        <v>29</v>
      </c>
      <c r="D1153" s="21" t="s">
        <v>1148</v>
      </c>
      <c r="E1153" s="16" t="s">
        <v>2102</v>
      </c>
      <c r="F1153" s="157">
        <v>44</v>
      </c>
      <c r="G1153" s="11">
        <f>F1153*21</f>
        <v>924</v>
      </c>
    </row>
    <row r="1154" spans="1:7" ht="15.75">
      <c r="A1154" s="18" t="s">
        <v>1146</v>
      </c>
      <c r="B1154" s="3" t="s">
        <v>22</v>
      </c>
      <c r="C1154" s="23" t="s">
        <v>31</v>
      </c>
      <c r="D1154" s="21" t="s">
        <v>1149</v>
      </c>
      <c r="E1154" s="16" t="s">
        <v>2102</v>
      </c>
      <c r="F1154" s="157">
        <v>25</v>
      </c>
      <c r="G1154" s="11">
        <f>F1154*5</f>
        <v>125</v>
      </c>
    </row>
    <row r="1155" spans="1:7" ht="15.75">
      <c r="A1155" s="18" t="s">
        <v>1146</v>
      </c>
      <c r="B1155" s="3" t="s">
        <v>22</v>
      </c>
      <c r="C1155" s="23" t="s">
        <v>24</v>
      </c>
      <c r="D1155" s="21" t="s">
        <v>1150</v>
      </c>
      <c r="E1155" s="16" t="s">
        <v>2102</v>
      </c>
      <c r="F1155" s="158" t="s">
        <v>26</v>
      </c>
      <c r="G1155" s="11">
        <f>F1155*45</f>
        <v>0</v>
      </c>
    </row>
    <row r="1156" spans="1:7" ht="15.75">
      <c r="A1156" s="18" t="s">
        <v>1146</v>
      </c>
      <c r="B1156" s="3" t="s">
        <v>22</v>
      </c>
      <c r="C1156" s="23" t="s">
        <v>27</v>
      </c>
      <c r="D1156" s="21" t="s">
        <v>1152</v>
      </c>
      <c r="E1156" s="16" t="s">
        <v>2102</v>
      </c>
      <c r="F1156" s="158" t="s">
        <v>26</v>
      </c>
      <c r="G1156" s="11">
        <f>F1156*34</f>
        <v>0</v>
      </c>
    </row>
    <row r="1157" spans="1:7" ht="15.75">
      <c r="A1157" s="18" t="s">
        <v>1146</v>
      </c>
      <c r="B1157" s="3" t="s">
        <v>22</v>
      </c>
      <c r="C1157" s="23" t="s">
        <v>958</v>
      </c>
      <c r="D1157" s="21" t="s">
        <v>1038</v>
      </c>
      <c r="E1157" s="16" t="s">
        <v>2102</v>
      </c>
      <c r="F1157" s="158" t="s">
        <v>26</v>
      </c>
      <c r="G1157" s="11">
        <f>F1157*38</f>
        <v>0</v>
      </c>
    </row>
    <row r="1158" spans="1:7" ht="15.75">
      <c r="A1158" s="18" t="s">
        <v>1146</v>
      </c>
      <c r="B1158" s="3" t="s">
        <v>22</v>
      </c>
      <c r="C1158" s="23" t="s">
        <v>29</v>
      </c>
      <c r="D1158" s="21" t="s">
        <v>1153</v>
      </c>
      <c r="E1158" s="16" t="s">
        <v>2102</v>
      </c>
      <c r="F1158" s="158" t="s">
        <v>26</v>
      </c>
      <c r="G1158" s="11">
        <f>F1158*21</f>
        <v>0</v>
      </c>
    </row>
    <row r="1159" spans="1:7" ht="15.75">
      <c r="A1159" s="18" t="s">
        <v>1146</v>
      </c>
      <c r="B1159" s="3" t="s">
        <v>22</v>
      </c>
      <c r="C1159" s="23" t="s">
        <v>31</v>
      </c>
      <c r="D1159" s="21" t="s">
        <v>985</v>
      </c>
      <c r="E1159" s="16" t="s">
        <v>2102</v>
      </c>
      <c r="F1159" s="158" t="s">
        <v>26</v>
      </c>
      <c r="G1159" s="11">
        <f>F1159*5</f>
        <v>0</v>
      </c>
    </row>
    <row r="1160" spans="1:7" ht="15.75">
      <c r="A1160" s="18" t="s">
        <v>1146</v>
      </c>
      <c r="B1160" s="3" t="s">
        <v>22</v>
      </c>
      <c r="C1160" s="23" t="s">
        <v>27</v>
      </c>
      <c r="D1160" s="21" t="s">
        <v>1154</v>
      </c>
      <c r="E1160" s="16" t="s">
        <v>2102</v>
      </c>
      <c r="F1160" s="158" t="s">
        <v>26</v>
      </c>
      <c r="G1160" s="11">
        <f>F1160*34</f>
        <v>0</v>
      </c>
    </row>
    <row r="1161" spans="1:7" ht="15.75">
      <c r="A1161" s="18" t="s">
        <v>1146</v>
      </c>
      <c r="B1161" s="3" t="s">
        <v>22</v>
      </c>
      <c r="C1161" s="23" t="s">
        <v>29</v>
      </c>
      <c r="D1161" s="21" t="s">
        <v>1156</v>
      </c>
      <c r="E1161" s="16" t="s">
        <v>2102</v>
      </c>
      <c r="F1161" s="158" t="s">
        <v>26</v>
      </c>
      <c r="G1161" s="11">
        <f>F1161*21</f>
        <v>0</v>
      </c>
    </row>
    <row r="1162" spans="1:7" ht="15.75">
      <c r="A1162" s="18" t="s">
        <v>1146</v>
      </c>
      <c r="B1162" s="3" t="s">
        <v>22</v>
      </c>
      <c r="C1162" s="23" t="s">
        <v>31</v>
      </c>
      <c r="D1162" s="21" t="s">
        <v>1157</v>
      </c>
      <c r="E1162" s="16" t="s">
        <v>2102</v>
      </c>
      <c r="F1162" s="158" t="s">
        <v>26</v>
      </c>
      <c r="G1162" s="11">
        <f>F1162*5</f>
        <v>0</v>
      </c>
    </row>
    <row r="1163" spans="1:7" ht="15.75">
      <c r="A1163" s="18" t="s">
        <v>1146</v>
      </c>
      <c r="B1163" s="3" t="s">
        <v>22</v>
      </c>
      <c r="C1163" s="23" t="s">
        <v>27</v>
      </c>
      <c r="D1163" s="21" t="s">
        <v>1158</v>
      </c>
      <c r="E1163" s="16" t="s">
        <v>2102</v>
      </c>
      <c r="F1163" s="158" t="s">
        <v>26</v>
      </c>
      <c r="G1163" s="11">
        <f>F1163*34</f>
        <v>0</v>
      </c>
    </row>
    <row r="1164" spans="1:7" ht="15.75">
      <c r="A1164" s="18" t="s">
        <v>1146</v>
      </c>
      <c r="B1164" s="3" t="s">
        <v>22</v>
      </c>
      <c r="C1164" s="23" t="s">
        <v>29</v>
      </c>
      <c r="D1164" s="21" t="s">
        <v>1159</v>
      </c>
      <c r="E1164" s="16" t="s">
        <v>2102</v>
      </c>
      <c r="F1164" s="158" t="s">
        <v>26</v>
      </c>
      <c r="G1164" s="11">
        <f>F1164*21</f>
        <v>0</v>
      </c>
    </row>
    <row r="1165" spans="1:7" ht="15.75">
      <c r="A1165" s="18" t="s">
        <v>1146</v>
      </c>
      <c r="B1165" s="3" t="s">
        <v>22</v>
      </c>
      <c r="C1165" s="23" t="s">
        <v>31</v>
      </c>
      <c r="D1165" s="21" t="s">
        <v>957</v>
      </c>
      <c r="E1165" s="16" t="s">
        <v>2102</v>
      </c>
      <c r="F1165" s="158" t="s">
        <v>26</v>
      </c>
      <c r="G1165" s="11">
        <f>F1165*5</f>
        <v>0</v>
      </c>
    </row>
    <row r="1166" spans="1:7" ht="15.75">
      <c r="A1166" s="18" t="s">
        <v>1146</v>
      </c>
      <c r="B1166" s="3" t="s">
        <v>22</v>
      </c>
      <c r="C1166" s="23" t="s">
        <v>27</v>
      </c>
      <c r="D1166" s="21" t="s">
        <v>104</v>
      </c>
      <c r="E1166" s="16" t="s">
        <v>2102</v>
      </c>
      <c r="F1166" s="158" t="s">
        <v>26</v>
      </c>
      <c r="G1166" s="11">
        <f>F1166*34</f>
        <v>0</v>
      </c>
    </row>
    <row r="1167" spans="1:7" ht="15.75">
      <c r="A1167" s="18" t="s">
        <v>1146</v>
      </c>
      <c r="B1167" s="3" t="s">
        <v>22</v>
      </c>
      <c r="C1167" s="23" t="s">
        <v>29</v>
      </c>
      <c r="D1167" s="21" t="s">
        <v>1160</v>
      </c>
      <c r="E1167" s="16" t="s">
        <v>2102</v>
      </c>
      <c r="F1167" s="158" t="s">
        <v>26</v>
      </c>
      <c r="G1167" s="11">
        <f>F1167*21</f>
        <v>0</v>
      </c>
    </row>
    <row r="1168" spans="1:7" ht="15.75">
      <c r="A1168" s="18" t="s">
        <v>1146</v>
      </c>
      <c r="B1168" s="3" t="s">
        <v>22</v>
      </c>
      <c r="C1168" s="23" t="s">
        <v>31</v>
      </c>
      <c r="D1168" s="21" t="s">
        <v>1161</v>
      </c>
      <c r="E1168" s="16" t="s">
        <v>2102</v>
      </c>
      <c r="F1168" s="158" t="s">
        <v>26</v>
      </c>
      <c r="G1168" s="11">
        <f>F1168*5</f>
        <v>0</v>
      </c>
    </row>
    <row r="1169" spans="1:7" ht="15.75">
      <c r="A1169" s="18" t="s">
        <v>1146</v>
      </c>
      <c r="B1169" s="3" t="s">
        <v>22</v>
      </c>
      <c r="C1169" s="23" t="s">
        <v>27</v>
      </c>
      <c r="D1169" s="21" t="s">
        <v>1163</v>
      </c>
      <c r="E1169" s="16" t="s">
        <v>2102</v>
      </c>
      <c r="F1169" s="158" t="s">
        <v>26</v>
      </c>
      <c r="G1169" s="11">
        <f>F1169*34</f>
        <v>0</v>
      </c>
    </row>
    <row r="1170" spans="1:7" ht="15.75">
      <c r="A1170" s="18" t="s">
        <v>1146</v>
      </c>
      <c r="B1170" s="3" t="s">
        <v>22</v>
      </c>
      <c r="C1170" s="23" t="s">
        <v>29</v>
      </c>
      <c r="D1170" s="21" t="s">
        <v>1164</v>
      </c>
      <c r="E1170" s="16" t="s">
        <v>2102</v>
      </c>
      <c r="F1170" s="158" t="s">
        <v>26</v>
      </c>
      <c r="G1170" s="11">
        <f>F1170*21</f>
        <v>0</v>
      </c>
    </row>
    <row r="1171" spans="1:7" ht="15.75">
      <c r="A1171" s="18" t="s">
        <v>1146</v>
      </c>
      <c r="B1171" s="3" t="s">
        <v>22</v>
      </c>
      <c r="C1171" s="23" t="s">
        <v>31</v>
      </c>
      <c r="D1171" s="21" t="s">
        <v>1165</v>
      </c>
      <c r="E1171" s="16" t="s">
        <v>2102</v>
      </c>
      <c r="F1171" s="158" t="s">
        <v>26</v>
      </c>
      <c r="G1171" s="11">
        <f>F1171*5</f>
        <v>0</v>
      </c>
    </row>
    <row r="1172" spans="1:7" ht="15.75">
      <c r="A1172" s="18" t="s">
        <v>1146</v>
      </c>
      <c r="B1172" s="3" t="s">
        <v>22</v>
      </c>
      <c r="C1172" s="23" t="s">
        <v>27</v>
      </c>
      <c r="D1172" s="21" t="s">
        <v>1166</v>
      </c>
      <c r="E1172" s="16" t="s">
        <v>2102</v>
      </c>
      <c r="F1172" s="158" t="s">
        <v>26</v>
      </c>
      <c r="G1172" s="11">
        <f>F1172*34</f>
        <v>0</v>
      </c>
    </row>
    <row r="1173" spans="1:7" ht="15.75">
      <c r="A1173" s="18" t="s">
        <v>1146</v>
      </c>
      <c r="B1173" s="3" t="s">
        <v>22</v>
      </c>
      <c r="C1173" s="23" t="s">
        <v>29</v>
      </c>
      <c r="D1173" s="21" t="s">
        <v>1167</v>
      </c>
      <c r="E1173" s="16" t="s">
        <v>2102</v>
      </c>
      <c r="F1173" s="158" t="s">
        <v>26</v>
      </c>
      <c r="G1173" s="11">
        <f>F1173*21</f>
        <v>0</v>
      </c>
    </row>
    <row r="1174" spans="1:7" ht="15.75">
      <c r="A1174" s="18" t="s">
        <v>1146</v>
      </c>
      <c r="B1174" s="3" t="s">
        <v>22</v>
      </c>
      <c r="C1174" s="23" t="s">
        <v>31</v>
      </c>
      <c r="D1174" s="21" t="s">
        <v>1168</v>
      </c>
      <c r="E1174" s="16" t="s">
        <v>2102</v>
      </c>
      <c r="F1174" s="158" t="s">
        <v>26</v>
      </c>
      <c r="G1174" s="11">
        <f>F1174*5</f>
        <v>0</v>
      </c>
    </row>
    <row r="1175" spans="1:7" ht="15.75">
      <c r="A1175" s="18" t="s">
        <v>1146</v>
      </c>
      <c r="B1175" s="3" t="s">
        <v>22</v>
      </c>
      <c r="C1175" s="23" t="s">
        <v>27</v>
      </c>
      <c r="D1175" s="8">
        <v>50</v>
      </c>
      <c r="E1175" s="16" t="s">
        <v>2102</v>
      </c>
      <c r="F1175" s="158" t="s">
        <v>26</v>
      </c>
      <c r="G1175" s="11">
        <f>F1175*34</f>
        <v>0</v>
      </c>
    </row>
    <row r="1176" spans="1:7" ht="15.75">
      <c r="A1176" s="18" t="s">
        <v>1146</v>
      </c>
      <c r="B1176" s="3" t="s">
        <v>22</v>
      </c>
      <c r="C1176" s="23" t="s">
        <v>29</v>
      </c>
      <c r="D1176" s="8">
        <v>136</v>
      </c>
      <c r="E1176" s="16" t="s">
        <v>2102</v>
      </c>
      <c r="F1176" s="158" t="s">
        <v>26</v>
      </c>
      <c r="G1176" s="11">
        <f>F1176*21</f>
        <v>0</v>
      </c>
    </row>
    <row r="1177" spans="1:7" ht="15.75">
      <c r="A1177" s="18" t="s">
        <v>1146</v>
      </c>
      <c r="B1177" s="3" t="s">
        <v>22</v>
      </c>
      <c r="C1177" s="23" t="s">
        <v>31</v>
      </c>
      <c r="D1177" s="21" t="s">
        <v>1170</v>
      </c>
      <c r="E1177" s="16" t="s">
        <v>2102</v>
      </c>
      <c r="F1177" s="158" t="s">
        <v>26</v>
      </c>
      <c r="G1177" s="11">
        <f>F1177*5</f>
        <v>0</v>
      </c>
    </row>
    <row r="1178" spans="1:7" ht="15.75">
      <c r="A1178" s="18" t="s">
        <v>1146</v>
      </c>
      <c r="B1178" s="3" t="s">
        <v>22</v>
      </c>
      <c r="C1178" s="23" t="s">
        <v>27</v>
      </c>
      <c r="D1178" s="21" t="s">
        <v>37</v>
      </c>
      <c r="E1178" s="16" t="s">
        <v>2102</v>
      </c>
      <c r="F1178" s="158" t="s">
        <v>26</v>
      </c>
      <c r="G1178" s="11">
        <f>F1178*34</f>
        <v>0</v>
      </c>
    </row>
    <row r="1179" spans="1:7" ht="15.75">
      <c r="A1179" s="18" t="s">
        <v>1146</v>
      </c>
      <c r="B1179" s="3" t="s">
        <v>22</v>
      </c>
      <c r="C1179" s="23" t="s">
        <v>29</v>
      </c>
      <c r="D1179" s="21" t="s">
        <v>1171</v>
      </c>
      <c r="E1179" s="16" t="s">
        <v>2102</v>
      </c>
      <c r="F1179" s="158" t="s">
        <v>26</v>
      </c>
      <c r="G1179" s="11">
        <f>F1179*21</f>
        <v>0</v>
      </c>
    </row>
    <row r="1180" spans="1:7" ht="15.75">
      <c r="A1180" s="18" t="s">
        <v>1146</v>
      </c>
      <c r="B1180" s="3" t="s">
        <v>22</v>
      </c>
      <c r="C1180" s="23" t="s">
        <v>31</v>
      </c>
      <c r="D1180" s="21" t="s">
        <v>1172</v>
      </c>
      <c r="E1180" s="16" t="s">
        <v>2102</v>
      </c>
      <c r="F1180" s="158" t="s">
        <v>26</v>
      </c>
      <c r="G1180" s="11">
        <f>F1180*5</f>
        <v>0</v>
      </c>
    </row>
    <row r="1181" spans="1:7" ht="15.75">
      <c r="A1181" s="18" t="s">
        <v>1173</v>
      </c>
      <c r="B1181" s="3" t="s">
        <v>22</v>
      </c>
      <c r="C1181" s="23" t="s">
        <v>27</v>
      </c>
      <c r="D1181" s="21" t="s">
        <v>1174</v>
      </c>
      <c r="E1181" s="16" t="s">
        <v>2102</v>
      </c>
      <c r="F1181" s="157">
        <v>503</v>
      </c>
      <c r="G1181" s="11">
        <f>F1181*34</f>
        <v>17102</v>
      </c>
    </row>
    <row r="1182" spans="1:7" ht="15.75">
      <c r="A1182" s="18" t="s">
        <v>1173</v>
      </c>
      <c r="B1182" s="3" t="s">
        <v>22</v>
      </c>
      <c r="C1182" s="23" t="s">
        <v>958</v>
      </c>
      <c r="D1182" s="21" t="s">
        <v>1175</v>
      </c>
      <c r="E1182" s="16" t="s">
        <v>2102</v>
      </c>
      <c r="F1182" s="157">
        <v>46</v>
      </c>
      <c r="G1182" s="11">
        <f>F1182*38</f>
        <v>1748</v>
      </c>
    </row>
    <row r="1183" spans="1:7" ht="15.75">
      <c r="A1183" s="18" t="s">
        <v>1173</v>
      </c>
      <c r="B1183" s="3" t="s">
        <v>22</v>
      </c>
      <c r="C1183" s="23" t="s">
        <v>29</v>
      </c>
      <c r="D1183" s="21" t="s">
        <v>1176</v>
      </c>
      <c r="E1183" s="16" t="s">
        <v>2102</v>
      </c>
      <c r="F1183" s="157">
        <v>141</v>
      </c>
      <c r="G1183" s="11">
        <f>F1183*21</f>
        <v>2961</v>
      </c>
    </row>
    <row r="1184" spans="1:7" ht="15.75">
      <c r="A1184" s="18" t="s">
        <v>1173</v>
      </c>
      <c r="B1184" s="3" t="s">
        <v>22</v>
      </c>
      <c r="C1184" s="23" t="s">
        <v>31</v>
      </c>
      <c r="D1184" s="21" t="s">
        <v>802</v>
      </c>
      <c r="E1184" s="16" t="s">
        <v>2102</v>
      </c>
      <c r="F1184" s="157">
        <v>110</v>
      </c>
      <c r="G1184" s="11">
        <f>F1184*5</f>
        <v>550</v>
      </c>
    </row>
    <row r="1185" spans="1:7" ht="15.75">
      <c r="A1185" s="18" t="s">
        <v>1173</v>
      </c>
      <c r="B1185" s="3" t="s">
        <v>22</v>
      </c>
      <c r="C1185" s="23" t="s">
        <v>27</v>
      </c>
      <c r="D1185" s="21" t="s">
        <v>218</v>
      </c>
      <c r="E1185" s="16" t="s">
        <v>2102</v>
      </c>
      <c r="F1185" s="158" t="s">
        <v>26</v>
      </c>
      <c r="G1185" s="11">
        <f>F1185*34</f>
        <v>0</v>
      </c>
    </row>
    <row r="1186" spans="1:7" ht="15.75">
      <c r="A1186" s="18" t="s">
        <v>1173</v>
      </c>
      <c r="B1186" s="3" t="s">
        <v>22</v>
      </c>
      <c r="C1186" s="23" t="s">
        <v>29</v>
      </c>
      <c r="D1186" s="21" t="s">
        <v>1177</v>
      </c>
      <c r="E1186" s="16" t="s">
        <v>2102</v>
      </c>
      <c r="F1186" s="158" t="s">
        <v>26</v>
      </c>
      <c r="G1186" s="11">
        <f>F1186*21</f>
        <v>0</v>
      </c>
    </row>
    <row r="1187" spans="1:7" ht="15.75">
      <c r="A1187" s="18" t="s">
        <v>1173</v>
      </c>
      <c r="B1187" s="3" t="s">
        <v>22</v>
      </c>
      <c r="C1187" s="23" t="s">
        <v>31</v>
      </c>
      <c r="D1187" s="21" t="s">
        <v>1178</v>
      </c>
      <c r="E1187" s="16" t="s">
        <v>2102</v>
      </c>
      <c r="F1187" s="158" t="s">
        <v>26</v>
      </c>
      <c r="G1187" s="11">
        <f>F1187*5</f>
        <v>0</v>
      </c>
    </row>
    <row r="1188" spans="1:7" ht="15.75">
      <c r="A1188" s="18" t="s">
        <v>1173</v>
      </c>
      <c r="B1188" s="3" t="s">
        <v>22</v>
      </c>
      <c r="C1188" s="23" t="s">
        <v>27</v>
      </c>
      <c r="D1188" s="21" t="s">
        <v>1179</v>
      </c>
      <c r="E1188" s="16" t="s">
        <v>2102</v>
      </c>
      <c r="F1188" s="158" t="s">
        <v>26</v>
      </c>
      <c r="G1188" s="11">
        <f>F1188*34</f>
        <v>0</v>
      </c>
    </row>
    <row r="1189" spans="1:7" ht="15.75">
      <c r="A1189" s="18" t="s">
        <v>1173</v>
      </c>
      <c r="B1189" s="3" t="s">
        <v>22</v>
      </c>
      <c r="C1189" s="23" t="s">
        <v>29</v>
      </c>
      <c r="D1189" s="21" t="s">
        <v>792</v>
      </c>
      <c r="E1189" s="16" t="s">
        <v>2102</v>
      </c>
      <c r="F1189" s="158" t="s">
        <v>26</v>
      </c>
      <c r="G1189" s="11">
        <f>F1189*21</f>
        <v>0</v>
      </c>
    </row>
    <row r="1190" spans="1:7" ht="15.75">
      <c r="A1190" s="18" t="s">
        <v>1173</v>
      </c>
      <c r="B1190" s="3" t="s">
        <v>22</v>
      </c>
      <c r="C1190" s="23" t="s">
        <v>31</v>
      </c>
      <c r="D1190" s="21" t="s">
        <v>1180</v>
      </c>
      <c r="E1190" s="16" t="s">
        <v>2102</v>
      </c>
      <c r="F1190" s="158" t="s">
        <v>26</v>
      </c>
      <c r="G1190" s="11">
        <f>F1190*5</f>
        <v>0</v>
      </c>
    </row>
    <row r="1191" spans="1:7" ht="15.75">
      <c r="A1191" s="6" t="s">
        <v>1181</v>
      </c>
      <c r="B1191" s="3" t="s">
        <v>22</v>
      </c>
      <c r="C1191" s="28" t="s">
        <v>24</v>
      </c>
      <c r="D1191" s="4" t="s">
        <v>1034</v>
      </c>
      <c r="E1191" s="16" t="s">
        <v>2102</v>
      </c>
      <c r="F1191" s="157">
        <v>34</v>
      </c>
      <c r="G1191" s="11">
        <f>F1191*45</f>
        <v>1530</v>
      </c>
    </row>
    <row r="1192" spans="1:7" ht="15.75">
      <c r="A1192" s="6" t="s">
        <v>1181</v>
      </c>
      <c r="B1192" s="3" t="s">
        <v>22</v>
      </c>
      <c r="C1192" s="28" t="s">
        <v>27</v>
      </c>
      <c r="D1192" s="4" t="s">
        <v>1182</v>
      </c>
      <c r="E1192" s="16" t="s">
        <v>2102</v>
      </c>
      <c r="F1192" s="157">
        <v>109</v>
      </c>
      <c r="G1192" s="11">
        <f>F1192*34</f>
        <v>3706</v>
      </c>
    </row>
    <row r="1193" spans="1:7" ht="15.75">
      <c r="A1193" s="6" t="s">
        <v>1181</v>
      </c>
      <c r="B1193" s="3" t="s">
        <v>22</v>
      </c>
      <c r="C1193" s="28" t="s">
        <v>958</v>
      </c>
      <c r="D1193" s="4" t="s">
        <v>1183</v>
      </c>
      <c r="E1193" s="16" t="s">
        <v>2102</v>
      </c>
      <c r="F1193" s="157">
        <v>21</v>
      </c>
      <c r="G1193" s="11">
        <f>F1193*38</f>
        <v>798</v>
      </c>
    </row>
    <row r="1194" spans="1:7" ht="15.75">
      <c r="A1194" s="6" t="s">
        <v>1181</v>
      </c>
      <c r="B1194" s="3" t="s">
        <v>22</v>
      </c>
      <c r="C1194" s="28" t="s">
        <v>29</v>
      </c>
      <c r="D1194" s="4" t="s">
        <v>1184</v>
      </c>
      <c r="E1194" s="16" t="s">
        <v>2102</v>
      </c>
      <c r="F1194" s="157">
        <v>47</v>
      </c>
      <c r="G1194" s="11">
        <f>F1194*21</f>
        <v>987</v>
      </c>
    </row>
    <row r="1195" spans="1:7" ht="15.75">
      <c r="A1195" s="6" t="s">
        <v>1181</v>
      </c>
      <c r="B1195" s="3" t="s">
        <v>22</v>
      </c>
      <c r="C1195" s="28" t="s">
        <v>31</v>
      </c>
      <c r="D1195" s="4" t="s">
        <v>1043</v>
      </c>
      <c r="E1195" s="16" t="s">
        <v>2102</v>
      </c>
      <c r="F1195" s="157">
        <v>31</v>
      </c>
      <c r="G1195" s="11">
        <f>F1195*5</f>
        <v>155</v>
      </c>
    </row>
    <row r="1196" spans="1:7" ht="15.75">
      <c r="A1196" s="6" t="s">
        <v>1181</v>
      </c>
      <c r="B1196" s="3" t="s">
        <v>22</v>
      </c>
      <c r="C1196" s="28" t="s">
        <v>27</v>
      </c>
      <c r="D1196" s="4" t="s">
        <v>1185</v>
      </c>
      <c r="E1196" s="16" t="s">
        <v>2102</v>
      </c>
      <c r="F1196" s="158" t="s">
        <v>26</v>
      </c>
      <c r="G1196" s="11">
        <f>F1196*34</f>
        <v>0</v>
      </c>
    </row>
    <row r="1197" spans="1:7" ht="15.75">
      <c r="A1197" s="6" t="s">
        <v>1181</v>
      </c>
      <c r="B1197" s="3" t="s">
        <v>22</v>
      </c>
      <c r="C1197" s="28" t="s">
        <v>958</v>
      </c>
      <c r="D1197" s="4" t="s">
        <v>1186</v>
      </c>
      <c r="E1197" s="16" t="s">
        <v>2102</v>
      </c>
      <c r="F1197" s="158" t="s">
        <v>26</v>
      </c>
      <c r="G1197" s="11">
        <f>F1197*38</f>
        <v>0</v>
      </c>
    </row>
    <row r="1198" spans="1:7" ht="15.75">
      <c r="A1198" s="6" t="s">
        <v>1181</v>
      </c>
      <c r="B1198" s="3" t="s">
        <v>22</v>
      </c>
      <c r="C1198" s="28" t="s">
        <v>29</v>
      </c>
      <c r="D1198" s="1">
        <v>1001</v>
      </c>
      <c r="E1198" s="16" t="s">
        <v>2102</v>
      </c>
      <c r="F1198" s="158" t="s">
        <v>26</v>
      </c>
      <c r="G1198" s="11">
        <f>F1198*21</f>
        <v>0</v>
      </c>
    </row>
    <row r="1199" spans="1:7" ht="15.75">
      <c r="A1199" s="6" t="s">
        <v>1181</v>
      </c>
      <c r="B1199" s="3" t="s">
        <v>22</v>
      </c>
      <c r="C1199" s="28" t="s">
        <v>31</v>
      </c>
      <c r="D1199" s="1">
        <v>584</v>
      </c>
      <c r="E1199" s="16" t="s">
        <v>2102</v>
      </c>
      <c r="F1199" s="158" t="s">
        <v>26</v>
      </c>
      <c r="G1199" s="11">
        <f>F1199*5</f>
        <v>0</v>
      </c>
    </row>
    <row r="1200" spans="1:7" ht="15.75">
      <c r="A1200" s="6" t="s">
        <v>1187</v>
      </c>
      <c r="B1200" s="3" t="s">
        <v>22</v>
      </c>
      <c r="C1200" s="28" t="s">
        <v>27</v>
      </c>
      <c r="D1200" s="1">
        <v>4685</v>
      </c>
      <c r="E1200" s="16" t="s">
        <v>2102</v>
      </c>
      <c r="F1200" s="157">
        <v>127</v>
      </c>
      <c r="G1200" s="11">
        <f>F1200*34</f>
        <v>4318</v>
      </c>
    </row>
    <row r="1201" spans="1:7" ht="15.75">
      <c r="A1201" s="6" t="s">
        <v>1187</v>
      </c>
      <c r="B1201" s="3" t="s">
        <v>22</v>
      </c>
      <c r="C1201" s="28" t="s">
        <v>958</v>
      </c>
      <c r="D1201" s="4" t="s">
        <v>1188</v>
      </c>
      <c r="E1201" s="16" t="s">
        <v>2102</v>
      </c>
      <c r="F1201" s="157">
        <v>14</v>
      </c>
      <c r="G1201" s="11">
        <f>F1201*38</f>
        <v>532</v>
      </c>
    </row>
    <row r="1202" spans="1:7" ht="15.75">
      <c r="A1202" s="6" t="s">
        <v>1187</v>
      </c>
      <c r="B1202" s="3" t="s">
        <v>22</v>
      </c>
      <c r="C1202" s="28" t="s">
        <v>29</v>
      </c>
      <c r="D1202" s="4" t="s">
        <v>1189</v>
      </c>
      <c r="E1202" s="16" t="s">
        <v>2102</v>
      </c>
      <c r="F1202" s="157">
        <v>49</v>
      </c>
      <c r="G1202" s="11">
        <f>F1202*21</f>
        <v>1029</v>
      </c>
    </row>
    <row r="1203" spans="1:7" ht="15.75">
      <c r="A1203" s="6" t="s">
        <v>1187</v>
      </c>
      <c r="B1203" s="3" t="s">
        <v>22</v>
      </c>
      <c r="C1203" s="28" t="s">
        <v>31</v>
      </c>
      <c r="D1203" s="4" t="s">
        <v>529</v>
      </c>
      <c r="E1203" s="16" t="s">
        <v>2102</v>
      </c>
      <c r="F1203" s="157">
        <v>51</v>
      </c>
      <c r="G1203" s="11">
        <f>F1203*5</f>
        <v>255</v>
      </c>
    </row>
    <row r="1204" spans="1:7" ht="15.75">
      <c r="A1204" s="6" t="s">
        <v>1190</v>
      </c>
      <c r="B1204" s="3" t="s">
        <v>22</v>
      </c>
      <c r="C1204" s="28" t="s">
        <v>24</v>
      </c>
      <c r="D1204" s="4" t="s">
        <v>1142</v>
      </c>
      <c r="E1204" s="16" t="s">
        <v>2102</v>
      </c>
      <c r="F1204" s="158" t="s">
        <v>26</v>
      </c>
      <c r="G1204" s="11">
        <f>F1204*45</f>
        <v>0</v>
      </c>
    </row>
    <row r="1205" spans="1:7" ht="15.75">
      <c r="A1205" s="6" t="s">
        <v>1190</v>
      </c>
      <c r="B1205" s="3" t="s">
        <v>22</v>
      </c>
      <c r="C1205" s="28" t="s">
        <v>27</v>
      </c>
      <c r="D1205" s="4" t="s">
        <v>1149</v>
      </c>
      <c r="E1205" s="16" t="s">
        <v>2102</v>
      </c>
      <c r="F1205" s="158" t="s">
        <v>26</v>
      </c>
      <c r="G1205" s="11">
        <f>F1205*34</f>
        <v>0</v>
      </c>
    </row>
    <row r="1206" spans="1:7" ht="15.75">
      <c r="A1206" s="6" t="s">
        <v>1190</v>
      </c>
      <c r="B1206" s="3" t="s">
        <v>22</v>
      </c>
      <c r="C1206" s="28" t="s">
        <v>958</v>
      </c>
      <c r="D1206" s="4" t="s">
        <v>961</v>
      </c>
      <c r="E1206" s="16" t="s">
        <v>2102</v>
      </c>
      <c r="F1206" s="158" t="s">
        <v>26</v>
      </c>
      <c r="G1206" s="11">
        <f>F1206*38</f>
        <v>0</v>
      </c>
    </row>
    <row r="1207" spans="1:7" ht="15.75">
      <c r="A1207" s="6" t="s">
        <v>1190</v>
      </c>
      <c r="B1207" s="3" t="s">
        <v>22</v>
      </c>
      <c r="C1207" s="28" t="s">
        <v>29</v>
      </c>
      <c r="D1207" s="4" t="s">
        <v>989</v>
      </c>
      <c r="E1207" s="16" t="s">
        <v>2102</v>
      </c>
      <c r="F1207" s="158" t="s">
        <v>26</v>
      </c>
      <c r="G1207" s="11">
        <f>F1207*21</f>
        <v>0</v>
      </c>
    </row>
    <row r="1208" spans="1:7" ht="15.75">
      <c r="A1208" s="6" t="s">
        <v>1190</v>
      </c>
      <c r="B1208" s="3" t="s">
        <v>22</v>
      </c>
      <c r="C1208" s="28" t="s">
        <v>31</v>
      </c>
      <c r="D1208" s="4" t="s">
        <v>1191</v>
      </c>
      <c r="E1208" s="16" t="s">
        <v>2102</v>
      </c>
      <c r="F1208" s="158" t="s">
        <v>26</v>
      </c>
      <c r="G1208" s="11">
        <f>F1208*5</f>
        <v>0</v>
      </c>
    </row>
    <row r="1209" spans="1:7" ht="15.75">
      <c r="A1209" s="6" t="s">
        <v>1190</v>
      </c>
      <c r="B1209" s="3" t="s">
        <v>22</v>
      </c>
      <c r="C1209" s="28" t="s">
        <v>24</v>
      </c>
      <c r="D1209" s="4" t="s">
        <v>1192</v>
      </c>
      <c r="E1209" s="16" t="s">
        <v>2102</v>
      </c>
      <c r="F1209" s="157">
        <v>32</v>
      </c>
      <c r="G1209" s="11">
        <f>F1209*45</f>
        <v>1440</v>
      </c>
    </row>
    <row r="1210" spans="1:7" ht="15.75">
      <c r="A1210" s="6" t="s">
        <v>1190</v>
      </c>
      <c r="B1210" s="3" t="s">
        <v>22</v>
      </c>
      <c r="C1210" s="28" t="s">
        <v>27</v>
      </c>
      <c r="D1210" s="4" t="s">
        <v>1193</v>
      </c>
      <c r="E1210" s="16" t="s">
        <v>2102</v>
      </c>
      <c r="F1210" s="157">
        <v>122</v>
      </c>
      <c r="G1210" s="11">
        <f>F1210*34</f>
        <v>4148</v>
      </c>
    </row>
    <row r="1211" spans="1:7" ht="15.75">
      <c r="A1211" s="6" t="s">
        <v>1190</v>
      </c>
      <c r="B1211" s="3" t="s">
        <v>22</v>
      </c>
      <c r="C1211" s="28" t="s">
        <v>958</v>
      </c>
      <c r="D1211" s="4" t="s">
        <v>1194</v>
      </c>
      <c r="E1211" s="16" t="s">
        <v>2102</v>
      </c>
      <c r="F1211" s="157">
        <v>10</v>
      </c>
      <c r="G1211" s="11">
        <f>F1211*38</f>
        <v>380</v>
      </c>
    </row>
    <row r="1212" spans="1:7" ht="15.75">
      <c r="A1212" s="6" t="s">
        <v>1190</v>
      </c>
      <c r="B1212" s="3" t="s">
        <v>22</v>
      </c>
      <c r="C1212" s="28" t="s">
        <v>29</v>
      </c>
      <c r="D1212" s="4" t="s">
        <v>994</v>
      </c>
      <c r="E1212" s="16" t="s">
        <v>2102</v>
      </c>
      <c r="F1212" s="157">
        <v>49</v>
      </c>
      <c r="G1212" s="11">
        <f>F1212*21</f>
        <v>1029</v>
      </c>
    </row>
    <row r="1213" spans="1:7" ht="15.75">
      <c r="A1213" s="6" t="s">
        <v>1190</v>
      </c>
      <c r="B1213" s="3" t="s">
        <v>22</v>
      </c>
      <c r="C1213" s="28" t="s">
        <v>31</v>
      </c>
      <c r="D1213" s="4" t="s">
        <v>1195</v>
      </c>
      <c r="E1213" s="16" t="s">
        <v>2102</v>
      </c>
      <c r="F1213" s="157">
        <v>19</v>
      </c>
      <c r="G1213" s="11">
        <f>F1213*5</f>
        <v>95</v>
      </c>
    </row>
    <row r="1214" spans="1:7" ht="15.75">
      <c r="A1214" s="6" t="s">
        <v>1190</v>
      </c>
      <c r="B1214" s="3" t="s">
        <v>22</v>
      </c>
      <c r="C1214" s="1" t="s">
        <v>27</v>
      </c>
      <c r="D1214" s="2">
        <v>4917</v>
      </c>
      <c r="E1214" s="16" t="s">
        <v>2102</v>
      </c>
      <c r="F1214" s="158" t="s">
        <v>26</v>
      </c>
      <c r="G1214" s="11">
        <f>F1214*34</f>
        <v>0</v>
      </c>
    </row>
    <row r="1215" spans="1:7" ht="15.75">
      <c r="A1215" s="6" t="s">
        <v>1190</v>
      </c>
      <c r="B1215" s="3" t="s">
        <v>22</v>
      </c>
      <c r="C1215" s="2" t="s">
        <v>29</v>
      </c>
      <c r="D1215" s="4" t="s">
        <v>1196</v>
      </c>
      <c r="E1215" s="16" t="s">
        <v>2102</v>
      </c>
      <c r="F1215" s="158" t="s">
        <v>26</v>
      </c>
      <c r="G1215" s="11">
        <f>F1215*21</f>
        <v>0</v>
      </c>
    </row>
    <row r="1216" spans="1:7" ht="15.75">
      <c r="A1216" s="6" t="s">
        <v>1190</v>
      </c>
      <c r="B1216" s="3" t="s">
        <v>22</v>
      </c>
      <c r="C1216" s="2" t="s">
        <v>31</v>
      </c>
      <c r="D1216" s="4" t="s">
        <v>715</v>
      </c>
      <c r="E1216" s="16" t="s">
        <v>2102</v>
      </c>
      <c r="F1216" s="158" t="s">
        <v>26</v>
      </c>
      <c r="G1216" s="11">
        <f>F1216*5</f>
        <v>0</v>
      </c>
    </row>
    <row r="1217" spans="1:7" ht="15.75">
      <c r="A1217" s="6" t="s">
        <v>1197</v>
      </c>
      <c r="B1217" s="3" t="s">
        <v>22</v>
      </c>
      <c r="C1217" s="2" t="s">
        <v>27</v>
      </c>
      <c r="D1217" s="4" t="s">
        <v>1198</v>
      </c>
      <c r="E1217" s="16" t="s">
        <v>2102</v>
      </c>
      <c r="F1217" s="157">
        <v>188</v>
      </c>
      <c r="G1217" s="11">
        <f>F1217*34</f>
        <v>6392</v>
      </c>
    </row>
    <row r="1218" spans="1:7" ht="15.75">
      <c r="A1218" s="6" t="s">
        <v>1197</v>
      </c>
      <c r="B1218" s="3" t="s">
        <v>22</v>
      </c>
      <c r="C1218" s="2" t="s">
        <v>29</v>
      </c>
      <c r="D1218" s="4" t="s">
        <v>1199</v>
      </c>
      <c r="E1218" s="16" t="s">
        <v>2102</v>
      </c>
      <c r="F1218" s="157">
        <v>84</v>
      </c>
      <c r="G1218" s="11">
        <f>F1218*21</f>
        <v>1764</v>
      </c>
    </row>
    <row r="1219" spans="1:7" ht="15.75">
      <c r="A1219" s="6" t="s">
        <v>1197</v>
      </c>
      <c r="B1219" s="3" t="s">
        <v>22</v>
      </c>
      <c r="C1219" s="28" t="s">
        <v>31</v>
      </c>
      <c r="D1219" s="4" t="s">
        <v>88</v>
      </c>
      <c r="E1219" s="16" t="s">
        <v>2102</v>
      </c>
      <c r="F1219" s="157">
        <v>24</v>
      </c>
      <c r="G1219" s="11">
        <f>F1219*5</f>
        <v>120</v>
      </c>
    </row>
    <row r="1220" spans="1:7" ht="15.75">
      <c r="A1220" s="6" t="s">
        <v>1200</v>
      </c>
      <c r="B1220" s="3" t="s">
        <v>22</v>
      </c>
      <c r="C1220" s="28" t="s">
        <v>27</v>
      </c>
      <c r="D1220" s="4" t="s">
        <v>1201</v>
      </c>
      <c r="E1220" s="16" t="s">
        <v>2102</v>
      </c>
      <c r="F1220" s="157">
        <v>106</v>
      </c>
      <c r="G1220" s="11">
        <f>F1220*34</f>
        <v>3604</v>
      </c>
    </row>
    <row r="1221" spans="1:7" ht="15.75">
      <c r="A1221" s="6" t="s">
        <v>1200</v>
      </c>
      <c r="B1221" s="3" t="s">
        <v>22</v>
      </c>
      <c r="C1221" s="28" t="s">
        <v>958</v>
      </c>
      <c r="D1221" s="4" t="s">
        <v>1202</v>
      </c>
      <c r="E1221" s="16" t="s">
        <v>2102</v>
      </c>
      <c r="F1221" s="157">
        <v>20</v>
      </c>
      <c r="G1221" s="11">
        <f>F1221*38</f>
        <v>760</v>
      </c>
    </row>
    <row r="1222" spans="1:7" ht="15.75">
      <c r="A1222" s="6" t="s">
        <v>1200</v>
      </c>
      <c r="B1222" s="3" t="s">
        <v>22</v>
      </c>
      <c r="C1222" s="28" t="s">
        <v>29</v>
      </c>
      <c r="D1222" s="4" t="s">
        <v>632</v>
      </c>
      <c r="E1222" s="16" t="s">
        <v>2102</v>
      </c>
      <c r="F1222" s="157">
        <v>74</v>
      </c>
      <c r="G1222" s="11">
        <f>F1222*21</f>
        <v>1554</v>
      </c>
    </row>
    <row r="1223" spans="1:7" ht="15.75">
      <c r="A1223" s="6" t="s">
        <v>1200</v>
      </c>
      <c r="B1223" s="3" t="s">
        <v>22</v>
      </c>
      <c r="C1223" s="28" t="s">
        <v>31</v>
      </c>
      <c r="D1223" s="4" t="s">
        <v>1203</v>
      </c>
      <c r="E1223" s="16" t="s">
        <v>2102</v>
      </c>
      <c r="F1223" s="157">
        <v>41</v>
      </c>
      <c r="G1223" s="11">
        <f>F1223*5</f>
        <v>205</v>
      </c>
    </row>
    <row r="1224" spans="1:7" ht="15.75">
      <c r="A1224" s="6" t="s">
        <v>1204</v>
      </c>
      <c r="B1224" s="3" t="s">
        <v>22</v>
      </c>
      <c r="C1224" s="28" t="s">
        <v>24</v>
      </c>
      <c r="D1224" s="4" t="s">
        <v>1206</v>
      </c>
      <c r="E1224" s="16" t="s">
        <v>2102</v>
      </c>
      <c r="F1224" s="157">
        <v>26</v>
      </c>
      <c r="G1224" s="11">
        <f>F1224*45</f>
        <v>1170</v>
      </c>
    </row>
    <row r="1225" spans="1:7" ht="15.75">
      <c r="A1225" s="6" t="s">
        <v>1204</v>
      </c>
      <c r="B1225" s="3" t="s">
        <v>22</v>
      </c>
      <c r="C1225" s="28" t="s">
        <v>27</v>
      </c>
      <c r="D1225" s="4" t="s">
        <v>1005</v>
      </c>
      <c r="E1225" s="16" t="s">
        <v>2102</v>
      </c>
      <c r="F1225" s="157">
        <v>183</v>
      </c>
      <c r="G1225" s="11">
        <f>F1225*34</f>
        <v>6222</v>
      </c>
    </row>
    <row r="1226" spans="1:7" ht="15.75">
      <c r="A1226" s="6" t="s">
        <v>1204</v>
      </c>
      <c r="B1226" s="3" t="s">
        <v>22</v>
      </c>
      <c r="C1226" s="28" t="s">
        <v>958</v>
      </c>
      <c r="D1226" s="4" t="s">
        <v>993</v>
      </c>
      <c r="E1226" s="16" t="s">
        <v>2102</v>
      </c>
      <c r="F1226" s="157">
        <v>11</v>
      </c>
      <c r="G1226" s="11">
        <f>F1226*38</f>
        <v>418</v>
      </c>
    </row>
    <row r="1227" spans="1:7" ht="15.75">
      <c r="A1227" s="6" t="s">
        <v>1204</v>
      </c>
      <c r="B1227" s="3" t="s">
        <v>22</v>
      </c>
      <c r="C1227" s="28" t="s">
        <v>29</v>
      </c>
      <c r="D1227" s="4" t="s">
        <v>959</v>
      </c>
      <c r="E1227" s="16" t="s">
        <v>2102</v>
      </c>
      <c r="F1227" s="157">
        <v>18</v>
      </c>
      <c r="G1227" s="11">
        <f>F1227*21</f>
        <v>378</v>
      </c>
    </row>
    <row r="1228" spans="1:7" ht="15.75">
      <c r="A1228" s="6" t="s">
        <v>1204</v>
      </c>
      <c r="B1228" s="3" t="s">
        <v>22</v>
      </c>
      <c r="C1228" s="28" t="s">
        <v>31</v>
      </c>
      <c r="D1228" s="4" t="s">
        <v>1195</v>
      </c>
      <c r="E1228" s="16" t="s">
        <v>2102</v>
      </c>
      <c r="F1228" s="157">
        <v>75</v>
      </c>
      <c r="G1228" s="11">
        <f>F1228*5</f>
        <v>375</v>
      </c>
    </row>
    <row r="1229" spans="1:7" ht="15.75">
      <c r="A1229" s="6" t="s">
        <v>1204</v>
      </c>
      <c r="B1229" s="3" t="s">
        <v>22</v>
      </c>
      <c r="C1229" s="28" t="s">
        <v>27</v>
      </c>
      <c r="D1229" s="4" t="s">
        <v>1207</v>
      </c>
      <c r="E1229" s="16" t="s">
        <v>2102</v>
      </c>
      <c r="F1229" s="158" t="s">
        <v>26</v>
      </c>
      <c r="G1229" s="11">
        <f>F1229*34</f>
        <v>0</v>
      </c>
    </row>
    <row r="1230" spans="1:7" ht="15.75">
      <c r="A1230" s="6" t="s">
        <v>1204</v>
      </c>
      <c r="B1230" s="3" t="s">
        <v>22</v>
      </c>
      <c r="C1230" s="28" t="s">
        <v>958</v>
      </c>
      <c r="D1230" s="4" t="s">
        <v>1208</v>
      </c>
      <c r="E1230" s="16" t="s">
        <v>2102</v>
      </c>
      <c r="F1230" s="158" t="s">
        <v>26</v>
      </c>
      <c r="G1230" s="11">
        <f>F1230*38</f>
        <v>0</v>
      </c>
    </row>
    <row r="1231" spans="1:7" ht="15.75">
      <c r="A1231" s="6" t="s">
        <v>1204</v>
      </c>
      <c r="B1231" s="3" t="s">
        <v>22</v>
      </c>
      <c r="C1231" s="28" t="s">
        <v>29</v>
      </c>
      <c r="D1231" s="4" t="s">
        <v>869</v>
      </c>
      <c r="E1231" s="16" t="s">
        <v>2102</v>
      </c>
      <c r="F1231" s="158" t="s">
        <v>26</v>
      </c>
      <c r="G1231" s="11">
        <f>F1231*21</f>
        <v>0</v>
      </c>
    </row>
    <row r="1232" spans="1:7" ht="15.75">
      <c r="A1232" s="6" t="s">
        <v>1204</v>
      </c>
      <c r="B1232" s="3" t="s">
        <v>22</v>
      </c>
      <c r="C1232" s="28" t="s">
        <v>31</v>
      </c>
      <c r="D1232" s="4" t="s">
        <v>223</v>
      </c>
      <c r="E1232" s="16" t="s">
        <v>2102</v>
      </c>
      <c r="F1232" s="158" t="s">
        <v>26</v>
      </c>
      <c r="G1232" s="11">
        <f>F1232*5</f>
        <v>0</v>
      </c>
    </row>
    <row r="1233" spans="1:7" ht="15.75">
      <c r="A1233" s="6" t="s">
        <v>1209</v>
      </c>
      <c r="B1233" s="3" t="s">
        <v>22</v>
      </c>
      <c r="C1233" s="28" t="s">
        <v>27</v>
      </c>
      <c r="D1233" s="4" t="s">
        <v>1211</v>
      </c>
      <c r="E1233" s="16" t="s">
        <v>2102</v>
      </c>
      <c r="F1233" s="158" t="s">
        <v>26</v>
      </c>
      <c r="G1233" s="11">
        <f>F1233*34</f>
        <v>0</v>
      </c>
    </row>
    <row r="1234" spans="1:7" ht="15.75">
      <c r="A1234" s="6" t="s">
        <v>1209</v>
      </c>
      <c r="B1234" s="3" t="s">
        <v>22</v>
      </c>
      <c r="C1234" s="28" t="s">
        <v>29</v>
      </c>
      <c r="D1234" s="4" t="s">
        <v>1212</v>
      </c>
      <c r="E1234" s="16" t="s">
        <v>2102</v>
      </c>
      <c r="F1234" s="158" t="s">
        <v>26</v>
      </c>
      <c r="G1234" s="11">
        <f>F1234*21</f>
        <v>0</v>
      </c>
    </row>
    <row r="1235" spans="1:7" ht="15.75">
      <c r="A1235" s="6" t="s">
        <v>1209</v>
      </c>
      <c r="B1235" s="3" t="s">
        <v>22</v>
      </c>
      <c r="C1235" s="28" t="s">
        <v>31</v>
      </c>
      <c r="D1235" s="4" t="s">
        <v>1213</v>
      </c>
      <c r="E1235" s="16" t="s">
        <v>2102</v>
      </c>
      <c r="F1235" s="158" t="s">
        <v>26</v>
      </c>
      <c r="G1235" s="11">
        <f>F1235*5</f>
        <v>0</v>
      </c>
    </row>
    <row r="1236" spans="1:7" ht="15.75">
      <c r="A1236" s="6" t="s">
        <v>1214</v>
      </c>
      <c r="B1236" s="3" t="s">
        <v>22</v>
      </c>
      <c r="C1236" s="28" t="s">
        <v>27</v>
      </c>
      <c r="D1236" s="4" t="s">
        <v>1216</v>
      </c>
      <c r="E1236" s="16" t="s">
        <v>2102</v>
      </c>
      <c r="F1236" s="157">
        <v>50</v>
      </c>
      <c r="G1236" s="11">
        <f>F1236*34</f>
        <v>1700</v>
      </c>
    </row>
    <row r="1237" spans="1:7" ht="15.75">
      <c r="A1237" s="6" t="s">
        <v>1214</v>
      </c>
      <c r="B1237" s="3" t="s">
        <v>22</v>
      </c>
      <c r="C1237" s="28" t="s">
        <v>958</v>
      </c>
      <c r="D1237" s="4" t="s">
        <v>541</v>
      </c>
      <c r="E1237" s="16" t="s">
        <v>2102</v>
      </c>
      <c r="F1237" s="157">
        <v>5</v>
      </c>
      <c r="G1237" s="11">
        <f>F1237*38</f>
        <v>190</v>
      </c>
    </row>
    <row r="1238" spans="1:7" ht="15.75">
      <c r="A1238" s="6" t="s">
        <v>1214</v>
      </c>
      <c r="B1238" s="3" t="s">
        <v>22</v>
      </c>
      <c r="C1238" s="28" t="s">
        <v>29</v>
      </c>
      <c r="D1238" s="4" t="s">
        <v>1217</v>
      </c>
      <c r="E1238" s="16" t="s">
        <v>2102</v>
      </c>
      <c r="F1238" s="157">
        <v>15</v>
      </c>
      <c r="G1238" s="11">
        <f>F1238*21</f>
        <v>315</v>
      </c>
    </row>
    <row r="1239" spans="1:7" ht="15.75">
      <c r="A1239" s="6" t="s">
        <v>1214</v>
      </c>
      <c r="B1239" s="3" t="s">
        <v>22</v>
      </c>
      <c r="C1239" s="28" t="s">
        <v>31</v>
      </c>
      <c r="D1239" s="4" t="s">
        <v>1218</v>
      </c>
      <c r="E1239" s="16" t="s">
        <v>2102</v>
      </c>
      <c r="F1239" s="157">
        <v>60</v>
      </c>
      <c r="G1239" s="11">
        <f>F1239*5</f>
        <v>300</v>
      </c>
    </row>
    <row r="1240" spans="1:7" ht="15.75">
      <c r="A1240" s="6" t="s">
        <v>1219</v>
      </c>
      <c r="B1240" s="3" t="s">
        <v>22</v>
      </c>
      <c r="C1240" s="28" t="s">
        <v>27</v>
      </c>
      <c r="D1240" s="4" t="s">
        <v>1220</v>
      </c>
      <c r="E1240" s="16" t="s">
        <v>2102</v>
      </c>
      <c r="F1240" s="157">
        <v>13</v>
      </c>
      <c r="G1240" s="11">
        <f>F1240*34</f>
        <v>442</v>
      </c>
    </row>
    <row r="1241" spans="1:7" ht="15.75">
      <c r="A1241" s="6" t="s">
        <v>1219</v>
      </c>
      <c r="B1241" s="3" t="s">
        <v>22</v>
      </c>
      <c r="C1241" s="28" t="s">
        <v>29</v>
      </c>
      <c r="D1241" s="4" t="s">
        <v>1221</v>
      </c>
      <c r="E1241" s="16" t="s">
        <v>2102</v>
      </c>
      <c r="F1241" s="157">
        <v>10</v>
      </c>
      <c r="G1241" s="11">
        <f>F1241*21</f>
        <v>210</v>
      </c>
    </row>
    <row r="1242" spans="1:7" ht="15.75">
      <c r="A1242" s="6" t="s">
        <v>1219</v>
      </c>
      <c r="B1242" s="3" t="s">
        <v>22</v>
      </c>
      <c r="C1242" s="28" t="s">
        <v>31</v>
      </c>
      <c r="D1242" s="4" t="s">
        <v>703</v>
      </c>
      <c r="E1242" s="16" t="s">
        <v>2102</v>
      </c>
      <c r="F1242" s="157">
        <v>35</v>
      </c>
      <c r="G1242" s="11">
        <f>F1242*5</f>
        <v>175</v>
      </c>
    </row>
    <row r="1243" spans="1:7" ht="15.75">
      <c r="A1243" s="6" t="s">
        <v>1222</v>
      </c>
      <c r="B1243" s="3" t="s">
        <v>22</v>
      </c>
      <c r="C1243" s="28" t="s">
        <v>27</v>
      </c>
      <c r="D1243" s="4" t="s">
        <v>1223</v>
      </c>
      <c r="E1243" s="16" t="s">
        <v>2102</v>
      </c>
      <c r="F1243" s="158" t="s">
        <v>26</v>
      </c>
      <c r="G1243" s="11">
        <f>F1243*34</f>
        <v>0</v>
      </c>
    </row>
    <row r="1244" spans="1:7" ht="15.75">
      <c r="A1244" s="6" t="s">
        <v>1222</v>
      </c>
      <c r="B1244" s="3" t="s">
        <v>22</v>
      </c>
      <c r="C1244" s="28" t="s">
        <v>29</v>
      </c>
      <c r="D1244" s="4" t="s">
        <v>1088</v>
      </c>
      <c r="E1244" s="16" t="s">
        <v>2102</v>
      </c>
      <c r="F1244" s="158" t="s">
        <v>26</v>
      </c>
      <c r="G1244" s="11">
        <f>F1244*21</f>
        <v>0</v>
      </c>
    </row>
    <row r="1245" spans="1:7" ht="15.75">
      <c r="A1245" s="6" t="s">
        <v>1222</v>
      </c>
      <c r="B1245" s="3" t="s">
        <v>22</v>
      </c>
      <c r="C1245" s="28" t="s">
        <v>31</v>
      </c>
      <c r="D1245" s="4" t="s">
        <v>1224</v>
      </c>
      <c r="E1245" s="16" t="s">
        <v>2102</v>
      </c>
      <c r="F1245" s="158" t="s">
        <v>26</v>
      </c>
      <c r="G1245" s="11">
        <f>F1245*5</f>
        <v>0</v>
      </c>
    </row>
    <row r="1246" spans="1:7" ht="15.75">
      <c r="A1246" s="6" t="s">
        <v>1225</v>
      </c>
      <c r="B1246" s="3" t="s">
        <v>22</v>
      </c>
      <c r="C1246" s="28" t="s">
        <v>27</v>
      </c>
      <c r="D1246" s="4" t="s">
        <v>1226</v>
      </c>
      <c r="E1246" s="16" t="s">
        <v>2102</v>
      </c>
      <c r="F1246" s="157">
        <v>30</v>
      </c>
      <c r="G1246" s="11">
        <f>F1246*34</f>
        <v>1020</v>
      </c>
    </row>
    <row r="1247" spans="1:7" ht="15.75">
      <c r="A1247" s="6" t="s">
        <v>1225</v>
      </c>
      <c r="B1247" s="3" t="s">
        <v>22</v>
      </c>
      <c r="C1247" s="28" t="s">
        <v>29</v>
      </c>
      <c r="D1247" s="4" t="s">
        <v>1227</v>
      </c>
      <c r="E1247" s="16" t="s">
        <v>2102</v>
      </c>
      <c r="F1247" s="158" t="s">
        <v>26</v>
      </c>
      <c r="G1247" s="11">
        <f>F1247*21</f>
        <v>0</v>
      </c>
    </row>
    <row r="1248" spans="1:7" ht="15.75">
      <c r="A1248" s="6" t="s">
        <v>1225</v>
      </c>
      <c r="B1248" s="3" t="s">
        <v>22</v>
      </c>
      <c r="C1248" s="28" t="s">
        <v>31</v>
      </c>
      <c r="D1248" s="4" t="s">
        <v>194</v>
      </c>
      <c r="E1248" s="16" t="s">
        <v>2102</v>
      </c>
      <c r="F1248" s="158" t="s">
        <v>26</v>
      </c>
      <c r="G1248" s="11">
        <f>F1248*5</f>
        <v>0</v>
      </c>
    </row>
    <row r="1249" spans="1:7" ht="15.75">
      <c r="A1249" s="22" t="s">
        <v>1228</v>
      </c>
      <c r="B1249" s="3" t="s">
        <v>22</v>
      </c>
      <c r="C1249" s="28" t="s">
        <v>27</v>
      </c>
      <c r="D1249" s="22">
        <v>4179</v>
      </c>
      <c r="E1249" s="16" t="s">
        <v>2102</v>
      </c>
      <c r="F1249" s="157">
        <v>14</v>
      </c>
      <c r="G1249" s="11">
        <f>F1249*34</f>
        <v>476</v>
      </c>
    </row>
    <row r="1250" spans="1:7" ht="15.75">
      <c r="A1250" s="22" t="s">
        <v>1228</v>
      </c>
      <c r="B1250" s="3" t="s">
        <v>22</v>
      </c>
      <c r="C1250" s="28" t="s">
        <v>29</v>
      </c>
      <c r="D1250" s="22">
        <v>1788</v>
      </c>
      <c r="E1250" s="16" t="s">
        <v>2102</v>
      </c>
      <c r="F1250" s="157">
        <v>46</v>
      </c>
      <c r="G1250" s="11">
        <f>F1250*21</f>
        <v>966</v>
      </c>
    </row>
    <row r="1251" spans="1:7" ht="15.75">
      <c r="A1251" s="22" t="s">
        <v>1228</v>
      </c>
      <c r="B1251" s="3" t="s">
        <v>22</v>
      </c>
      <c r="C1251" s="28" t="s">
        <v>31</v>
      </c>
      <c r="D1251" s="22">
        <v>1175</v>
      </c>
      <c r="E1251" s="16" t="s">
        <v>2102</v>
      </c>
      <c r="F1251" s="157">
        <v>51</v>
      </c>
      <c r="G1251" s="11">
        <f>F1251*5</f>
        <v>255</v>
      </c>
    </row>
    <row r="1252" spans="1:7" ht="15.75">
      <c r="A1252" s="6" t="s">
        <v>1229</v>
      </c>
      <c r="B1252" s="3" t="s">
        <v>22</v>
      </c>
      <c r="C1252" s="32" t="s">
        <v>27</v>
      </c>
      <c r="D1252" s="31" t="s">
        <v>1231</v>
      </c>
      <c r="E1252" s="16" t="s">
        <v>2102</v>
      </c>
      <c r="F1252" s="161">
        <v>10</v>
      </c>
      <c r="G1252" s="11">
        <f>F1252*34</f>
        <v>340</v>
      </c>
    </row>
    <row r="1253" spans="1:7" ht="15.75">
      <c r="A1253" s="6" t="s">
        <v>1229</v>
      </c>
      <c r="B1253" s="3" t="s">
        <v>22</v>
      </c>
      <c r="C1253" s="32" t="s">
        <v>29</v>
      </c>
      <c r="D1253" s="31" t="s">
        <v>1233</v>
      </c>
      <c r="E1253" s="16" t="s">
        <v>2102</v>
      </c>
      <c r="F1253" s="161">
        <v>5</v>
      </c>
      <c r="G1253" s="11">
        <f>F1253*21</f>
        <v>105</v>
      </c>
    </row>
    <row r="1254" spans="1:7" ht="15.75">
      <c r="A1254" s="6" t="s">
        <v>1229</v>
      </c>
      <c r="B1254" s="3" t="s">
        <v>22</v>
      </c>
      <c r="C1254" s="32" t="s">
        <v>31</v>
      </c>
      <c r="D1254" s="31" t="s">
        <v>1057</v>
      </c>
      <c r="E1254" s="16" t="s">
        <v>2102</v>
      </c>
      <c r="F1254" s="159" t="s">
        <v>26</v>
      </c>
      <c r="G1254" s="11">
        <f>F1254*5</f>
        <v>0</v>
      </c>
    </row>
    <row r="1255" spans="1:7" ht="15.75">
      <c r="A1255" s="6" t="s">
        <v>1229</v>
      </c>
      <c r="B1255" s="3" t="s">
        <v>22</v>
      </c>
      <c r="C1255" s="32" t="s">
        <v>27</v>
      </c>
      <c r="D1255" s="31" t="s">
        <v>1234</v>
      </c>
      <c r="E1255" s="16" t="s">
        <v>2102</v>
      </c>
      <c r="F1255" s="159" t="s">
        <v>26</v>
      </c>
      <c r="G1255" s="11">
        <f>F1255*34</f>
        <v>0</v>
      </c>
    </row>
    <row r="1256" spans="1:7" ht="15.75">
      <c r="A1256" s="6" t="s">
        <v>1229</v>
      </c>
      <c r="B1256" s="3" t="s">
        <v>22</v>
      </c>
      <c r="C1256" s="32" t="s">
        <v>29</v>
      </c>
      <c r="D1256" s="31" t="s">
        <v>793</v>
      </c>
      <c r="E1256" s="16" t="s">
        <v>2102</v>
      </c>
      <c r="F1256" s="159" t="s">
        <v>26</v>
      </c>
      <c r="G1256" s="11">
        <f>F1256*21</f>
        <v>0</v>
      </c>
    </row>
    <row r="1257" spans="1:7" ht="15.75">
      <c r="A1257" s="6" t="s">
        <v>1229</v>
      </c>
      <c r="B1257" s="3" t="s">
        <v>22</v>
      </c>
      <c r="C1257" s="32" t="s">
        <v>31</v>
      </c>
      <c r="D1257" s="31" t="s">
        <v>1235</v>
      </c>
      <c r="E1257" s="16" t="s">
        <v>2102</v>
      </c>
      <c r="F1257" s="159" t="s">
        <v>26</v>
      </c>
      <c r="G1257" s="11">
        <f>F1257*5</f>
        <v>0</v>
      </c>
    </row>
    <row r="1258" spans="1:7" ht="15.75">
      <c r="A1258" s="6" t="s">
        <v>1236</v>
      </c>
      <c r="B1258" s="3" t="s">
        <v>22</v>
      </c>
      <c r="C1258" s="32" t="s">
        <v>27</v>
      </c>
      <c r="D1258" s="31" t="s">
        <v>1073</v>
      </c>
      <c r="E1258" s="16" t="s">
        <v>2102</v>
      </c>
      <c r="F1258" s="162">
        <v>260</v>
      </c>
      <c r="G1258" s="11">
        <f>F1258*34</f>
        <v>8840</v>
      </c>
    </row>
    <row r="1259" spans="1:7" ht="15.75">
      <c r="A1259" s="6" t="s">
        <v>1236</v>
      </c>
      <c r="B1259" s="3" t="s">
        <v>22</v>
      </c>
      <c r="C1259" s="32" t="s">
        <v>29</v>
      </c>
      <c r="D1259" s="31" t="s">
        <v>1238</v>
      </c>
      <c r="E1259" s="16" t="s">
        <v>2102</v>
      </c>
      <c r="F1259" s="161">
        <v>165</v>
      </c>
      <c r="G1259" s="11">
        <f>F1259*21</f>
        <v>3465</v>
      </c>
    </row>
    <row r="1260" spans="1:7" ht="15.75">
      <c r="A1260" s="6" t="s">
        <v>1236</v>
      </c>
      <c r="B1260" s="3" t="s">
        <v>22</v>
      </c>
      <c r="C1260" s="32" t="s">
        <v>31</v>
      </c>
      <c r="D1260" s="31" t="s">
        <v>1239</v>
      </c>
      <c r="E1260" s="16" t="s">
        <v>2102</v>
      </c>
      <c r="F1260" s="161">
        <v>85</v>
      </c>
      <c r="G1260" s="11">
        <f>F1260*5</f>
        <v>425</v>
      </c>
    </row>
    <row r="1261" spans="1:7" ht="15.75">
      <c r="A1261" s="6" t="s">
        <v>1236</v>
      </c>
      <c r="B1261" s="3" t="s">
        <v>22</v>
      </c>
      <c r="C1261" s="32" t="s">
        <v>27</v>
      </c>
      <c r="D1261" s="31" t="s">
        <v>1240</v>
      </c>
      <c r="E1261" s="16" t="s">
        <v>2102</v>
      </c>
      <c r="F1261" s="159" t="s">
        <v>26</v>
      </c>
      <c r="G1261" s="11">
        <f>F1261*34</f>
        <v>0</v>
      </c>
    </row>
    <row r="1262" spans="1:7" ht="15.75">
      <c r="A1262" s="6" t="s">
        <v>1236</v>
      </c>
      <c r="B1262" s="3" t="s">
        <v>22</v>
      </c>
      <c r="C1262" s="32" t="s">
        <v>29</v>
      </c>
      <c r="D1262" s="31" t="s">
        <v>428</v>
      </c>
      <c r="E1262" s="16" t="s">
        <v>2102</v>
      </c>
      <c r="F1262" s="159" t="s">
        <v>26</v>
      </c>
      <c r="G1262" s="11">
        <f>F1262*21</f>
        <v>0</v>
      </c>
    </row>
    <row r="1263" spans="1:7" ht="15.75">
      <c r="A1263" s="6" t="s">
        <v>1236</v>
      </c>
      <c r="B1263" s="3" t="s">
        <v>22</v>
      </c>
      <c r="C1263" s="32" t="s">
        <v>31</v>
      </c>
      <c r="D1263" s="31" t="s">
        <v>1241</v>
      </c>
      <c r="E1263" s="16" t="s">
        <v>2102</v>
      </c>
      <c r="F1263" s="159" t="s">
        <v>26</v>
      </c>
      <c r="G1263" s="11">
        <f>F1263*5</f>
        <v>0</v>
      </c>
    </row>
    <row r="1264" spans="1:7" ht="15.75">
      <c r="A1264" s="6" t="s">
        <v>1242</v>
      </c>
      <c r="B1264" s="3" t="s">
        <v>22</v>
      </c>
      <c r="C1264" s="32" t="s">
        <v>27</v>
      </c>
      <c r="D1264" s="31" t="s">
        <v>1244</v>
      </c>
      <c r="E1264" s="16" t="s">
        <v>2102</v>
      </c>
      <c r="F1264" s="162">
        <v>400</v>
      </c>
      <c r="G1264" s="11">
        <f>F1264*34</f>
        <v>13600</v>
      </c>
    </row>
    <row r="1265" spans="1:7" ht="15.75">
      <c r="A1265" s="6" t="s">
        <v>1242</v>
      </c>
      <c r="B1265" s="3" t="s">
        <v>22</v>
      </c>
      <c r="C1265" s="32" t="s">
        <v>29</v>
      </c>
      <c r="D1265" s="31" t="s">
        <v>251</v>
      </c>
      <c r="E1265" s="16" t="s">
        <v>2102</v>
      </c>
      <c r="F1265" s="161">
        <v>340</v>
      </c>
      <c r="G1265" s="11">
        <f>F1265*21</f>
        <v>7140</v>
      </c>
    </row>
    <row r="1266" spans="1:7" ht="15.75">
      <c r="A1266" s="6" t="s">
        <v>1242</v>
      </c>
      <c r="B1266" s="3" t="s">
        <v>22</v>
      </c>
      <c r="C1266" s="32" t="s">
        <v>31</v>
      </c>
      <c r="D1266" s="31" t="s">
        <v>1245</v>
      </c>
      <c r="E1266" s="16" t="s">
        <v>2102</v>
      </c>
      <c r="F1266" s="161">
        <v>116</v>
      </c>
      <c r="G1266" s="11">
        <f>F1266*5</f>
        <v>580</v>
      </c>
    </row>
    <row r="1267" spans="1:7" ht="15.75">
      <c r="A1267" s="6" t="s">
        <v>1242</v>
      </c>
      <c r="B1267" s="3" t="s">
        <v>22</v>
      </c>
      <c r="C1267" s="32" t="s">
        <v>27</v>
      </c>
      <c r="D1267" s="31" t="s">
        <v>1246</v>
      </c>
      <c r="E1267" s="16" t="s">
        <v>2102</v>
      </c>
      <c r="F1267" s="159" t="s">
        <v>26</v>
      </c>
      <c r="G1267" s="11">
        <f>F1267*34</f>
        <v>0</v>
      </c>
    </row>
    <row r="1268" spans="1:7" ht="15.75">
      <c r="A1268" s="6" t="s">
        <v>1242</v>
      </c>
      <c r="B1268" s="3" t="s">
        <v>22</v>
      </c>
      <c r="C1268" s="32" t="s">
        <v>29</v>
      </c>
      <c r="D1268" s="31" t="s">
        <v>1247</v>
      </c>
      <c r="E1268" s="16" t="s">
        <v>2102</v>
      </c>
      <c r="F1268" s="159" t="s">
        <v>26</v>
      </c>
      <c r="G1268" s="11">
        <f>F1268*21</f>
        <v>0</v>
      </c>
    </row>
    <row r="1269" spans="1:7" ht="15.75">
      <c r="A1269" s="6" t="s">
        <v>1242</v>
      </c>
      <c r="B1269" s="3" t="s">
        <v>22</v>
      </c>
      <c r="C1269" s="32" t="s">
        <v>31</v>
      </c>
      <c r="D1269" s="31" t="s">
        <v>1248</v>
      </c>
      <c r="E1269" s="16" t="s">
        <v>2102</v>
      </c>
      <c r="F1269" s="159" t="s">
        <v>26</v>
      </c>
      <c r="G1269" s="11">
        <f>F1269*5</f>
        <v>0</v>
      </c>
    </row>
    <row r="1270" spans="1:7" ht="15.75">
      <c r="A1270" s="6" t="s">
        <v>1242</v>
      </c>
      <c r="B1270" s="3" t="s">
        <v>22</v>
      </c>
      <c r="C1270" s="32" t="s">
        <v>27</v>
      </c>
      <c r="D1270" s="31" t="s">
        <v>1249</v>
      </c>
      <c r="E1270" s="16" t="s">
        <v>2102</v>
      </c>
      <c r="F1270" s="159" t="s">
        <v>26</v>
      </c>
      <c r="G1270" s="11">
        <f>F1270*34</f>
        <v>0</v>
      </c>
    </row>
    <row r="1271" spans="1:7" ht="15.75">
      <c r="A1271" s="6" t="s">
        <v>1242</v>
      </c>
      <c r="B1271" s="3" t="s">
        <v>22</v>
      </c>
      <c r="C1271" s="32" t="s">
        <v>29</v>
      </c>
      <c r="D1271" s="31" t="s">
        <v>1250</v>
      </c>
      <c r="E1271" s="16" t="s">
        <v>2102</v>
      </c>
      <c r="F1271" s="159" t="s">
        <v>26</v>
      </c>
      <c r="G1271" s="11">
        <f>F1271*21</f>
        <v>0</v>
      </c>
    </row>
    <row r="1272" spans="1:7" ht="15.75">
      <c r="A1272" s="6" t="s">
        <v>1242</v>
      </c>
      <c r="B1272" s="3" t="s">
        <v>22</v>
      </c>
      <c r="C1272" s="32" t="s">
        <v>31</v>
      </c>
      <c r="D1272" s="31" t="s">
        <v>1251</v>
      </c>
      <c r="E1272" s="16" t="s">
        <v>2102</v>
      </c>
      <c r="F1272" s="159" t="s">
        <v>26</v>
      </c>
      <c r="G1272" s="11">
        <f>F1272*5</f>
        <v>0</v>
      </c>
    </row>
    <row r="1273" spans="1:7" ht="15.75">
      <c r="A1273" s="6" t="s">
        <v>1252</v>
      </c>
      <c r="B1273" s="3" t="s">
        <v>22</v>
      </c>
      <c r="C1273" s="32" t="s">
        <v>27</v>
      </c>
      <c r="D1273" s="31" t="s">
        <v>1253</v>
      </c>
      <c r="E1273" s="16" t="s">
        <v>2102</v>
      </c>
      <c r="F1273" s="162">
        <v>394</v>
      </c>
      <c r="G1273" s="11">
        <f>F1273*34</f>
        <v>13396</v>
      </c>
    </row>
    <row r="1274" spans="1:7" ht="15.75">
      <c r="A1274" s="6" t="s">
        <v>1252</v>
      </c>
      <c r="B1274" s="3" t="s">
        <v>22</v>
      </c>
      <c r="C1274" s="32" t="s">
        <v>29</v>
      </c>
      <c r="D1274" s="31" t="s">
        <v>1254</v>
      </c>
      <c r="E1274" s="16" t="s">
        <v>2102</v>
      </c>
      <c r="F1274" s="161">
        <v>246</v>
      </c>
      <c r="G1274" s="11">
        <f>F1274*21</f>
        <v>5166</v>
      </c>
    </row>
    <row r="1275" spans="1:7" ht="15.75">
      <c r="A1275" s="6" t="s">
        <v>1252</v>
      </c>
      <c r="B1275" s="3" t="s">
        <v>22</v>
      </c>
      <c r="C1275" s="32" t="s">
        <v>31</v>
      </c>
      <c r="D1275" s="31" t="s">
        <v>1255</v>
      </c>
      <c r="E1275" s="16" t="s">
        <v>2102</v>
      </c>
      <c r="F1275" s="161">
        <v>70</v>
      </c>
      <c r="G1275" s="11">
        <f>F1275*5</f>
        <v>350</v>
      </c>
    </row>
    <row r="1276" spans="1:7" ht="15.75">
      <c r="A1276" s="6" t="s">
        <v>1252</v>
      </c>
      <c r="B1276" s="3" t="s">
        <v>22</v>
      </c>
      <c r="C1276" s="32" t="s">
        <v>27</v>
      </c>
      <c r="D1276" s="31" t="s">
        <v>1256</v>
      </c>
      <c r="E1276" s="16" t="s">
        <v>2102</v>
      </c>
      <c r="F1276" s="159" t="s">
        <v>26</v>
      </c>
      <c r="G1276" s="11">
        <f>F1276*34</f>
        <v>0</v>
      </c>
    </row>
    <row r="1277" spans="1:7" ht="15.75">
      <c r="A1277" s="6" t="s">
        <v>1252</v>
      </c>
      <c r="B1277" s="3" t="s">
        <v>22</v>
      </c>
      <c r="C1277" s="32" t="s">
        <v>29</v>
      </c>
      <c r="D1277" s="31" t="s">
        <v>208</v>
      </c>
      <c r="E1277" s="16" t="s">
        <v>2102</v>
      </c>
      <c r="F1277" s="159" t="s">
        <v>26</v>
      </c>
      <c r="G1277" s="11">
        <f>F1277*21</f>
        <v>0</v>
      </c>
    </row>
    <row r="1278" spans="1:7" ht="15.75">
      <c r="A1278" s="6" t="s">
        <v>1252</v>
      </c>
      <c r="B1278" s="3" t="s">
        <v>22</v>
      </c>
      <c r="C1278" s="32" t="s">
        <v>31</v>
      </c>
      <c r="D1278" s="31" t="s">
        <v>1257</v>
      </c>
      <c r="E1278" s="16" t="s">
        <v>2102</v>
      </c>
      <c r="F1278" s="159" t="s">
        <v>26</v>
      </c>
      <c r="G1278" s="11">
        <f>F1278*5</f>
        <v>0</v>
      </c>
    </row>
    <row r="1279" spans="1:7" ht="15.75">
      <c r="A1279" s="6" t="s">
        <v>1258</v>
      </c>
      <c r="B1279" s="3" t="s">
        <v>22</v>
      </c>
      <c r="C1279" s="32" t="s">
        <v>27</v>
      </c>
      <c r="D1279" s="31" t="s">
        <v>229</v>
      </c>
      <c r="E1279" s="16" t="s">
        <v>2102</v>
      </c>
      <c r="F1279" s="162">
        <v>445</v>
      </c>
      <c r="G1279" s="11">
        <f>F1279*34</f>
        <v>15130</v>
      </c>
    </row>
    <row r="1280" spans="1:7" ht="15.75">
      <c r="A1280" s="6" t="s">
        <v>1258</v>
      </c>
      <c r="B1280" s="3" t="s">
        <v>22</v>
      </c>
      <c r="C1280" s="32" t="s">
        <v>29</v>
      </c>
      <c r="D1280" s="31" t="s">
        <v>1259</v>
      </c>
      <c r="E1280" s="16" t="s">
        <v>2102</v>
      </c>
      <c r="F1280" s="161">
        <v>395</v>
      </c>
      <c r="G1280" s="11">
        <f>F1280*21</f>
        <v>8295</v>
      </c>
    </row>
    <row r="1281" spans="1:7" ht="15.75">
      <c r="A1281" s="6" t="s">
        <v>1258</v>
      </c>
      <c r="B1281" s="3" t="s">
        <v>22</v>
      </c>
      <c r="C1281" s="32" t="s">
        <v>31</v>
      </c>
      <c r="D1281" s="31" t="s">
        <v>862</v>
      </c>
      <c r="E1281" s="16" t="s">
        <v>2102</v>
      </c>
      <c r="F1281" s="161">
        <v>96</v>
      </c>
      <c r="G1281" s="11">
        <f>F1281*5</f>
        <v>480</v>
      </c>
    </row>
    <row r="1282" spans="1:7" ht="15.75">
      <c r="A1282" s="6" t="s">
        <v>1258</v>
      </c>
      <c r="B1282" s="3" t="s">
        <v>22</v>
      </c>
      <c r="C1282" s="32" t="s">
        <v>27</v>
      </c>
      <c r="D1282" s="31" t="s">
        <v>1260</v>
      </c>
      <c r="E1282" s="16" t="s">
        <v>2102</v>
      </c>
      <c r="F1282" s="159" t="s">
        <v>26</v>
      </c>
      <c r="G1282" s="11">
        <f>F1282*34</f>
        <v>0</v>
      </c>
    </row>
    <row r="1283" spans="1:7" ht="15.75">
      <c r="A1283" s="6" t="s">
        <v>1258</v>
      </c>
      <c r="B1283" s="3" t="s">
        <v>22</v>
      </c>
      <c r="C1283" s="32" t="s">
        <v>29</v>
      </c>
      <c r="D1283" s="31" t="s">
        <v>1261</v>
      </c>
      <c r="E1283" s="16" t="s">
        <v>2102</v>
      </c>
      <c r="F1283" s="159" t="s">
        <v>26</v>
      </c>
      <c r="G1283" s="11">
        <f>F1283*21</f>
        <v>0</v>
      </c>
    </row>
    <row r="1284" spans="1:7" ht="15.75">
      <c r="A1284" s="6" t="s">
        <v>1258</v>
      </c>
      <c r="B1284" s="3" t="s">
        <v>22</v>
      </c>
      <c r="C1284" s="32" t="s">
        <v>31</v>
      </c>
      <c r="D1284" s="31" t="s">
        <v>1262</v>
      </c>
      <c r="E1284" s="16" t="s">
        <v>2102</v>
      </c>
      <c r="F1284" s="159" t="s">
        <v>26</v>
      </c>
      <c r="G1284" s="11">
        <f>F1284*5</f>
        <v>0</v>
      </c>
    </row>
    <row r="1285" spans="1:7" ht="15.75">
      <c r="A1285" s="6" t="s">
        <v>1258</v>
      </c>
      <c r="B1285" s="3" t="s">
        <v>22</v>
      </c>
      <c r="C1285" s="32" t="s">
        <v>27</v>
      </c>
      <c r="D1285" s="31" t="s">
        <v>1480</v>
      </c>
      <c r="E1285" s="16" t="s">
        <v>2102</v>
      </c>
      <c r="F1285" s="159" t="s">
        <v>26</v>
      </c>
      <c r="G1285" s="11">
        <f>F1285*34</f>
        <v>0</v>
      </c>
    </row>
    <row r="1286" spans="1:7" ht="15.75">
      <c r="A1286" s="6" t="s">
        <v>1258</v>
      </c>
      <c r="B1286" s="3" t="s">
        <v>22</v>
      </c>
      <c r="C1286" s="32" t="s">
        <v>29</v>
      </c>
      <c r="D1286" s="31" t="s">
        <v>1481</v>
      </c>
      <c r="E1286" s="16" t="s">
        <v>2102</v>
      </c>
      <c r="F1286" s="159" t="s">
        <v>26</v>
      </c>
      <c r="G1286" s="11">
        <f>F1286*21</f>
        <v>0</v>
      </c>
    </row>
    <row r="1287" spans="1:7" ht="15.75">
      <c r="A1287" s="6" t="s">
        <v>1258</v>
      </c>
      <c r="B1287" s="3" t="s">
        <v>22</v>
      </c>
      <c r="C1287" s="32" t="s">
        <v>31</v>
      </c>
      <c r="D1287" s="31" t="s">
        <v>1264</v>
      </c>
      <c r="E1287" s="16" t="s">
        <v>2102</v>
      </c>
      <c r="F1287" s="159" t="s">
        <v>26</v>
      </c>
      <c r="G1287" s="11">
        <f>F1287*5</f>
        <v>0</v>
      </c>
    </row>
    <row r="1288" spans="1:7" ht="15.75">
      <c r="A1288" s="6" t="s">
        <v>1258</v>
      </c>
      <c r="B1288" s="3" t="s">
        <v>22</v>
      </c>
      <c r="C1288" s="32" t="s">
        <v>27</v>
      </c>
      <c r="D1288" s="31" t="s">
        <v>1265</v>
      </c>
      <c r="E1288" s="16" t="s">
        <v>2102</v>
      </c>
      <c r="F1288" s="159" t="s">
        <v>26</v>
      </c>
      <c r="G1288" s="11">
        <f>F1288*34</f>
        <v>0</v>
      </c>
    </row>
    <row r="1289" spans="1:7" ht="15.75">
      <c r="A1289" s="6" t="s">
        <v>1258</v>
      </c>
      <c r="B1289" s="3" t="s">
        <v>22</v>
      </c>
      <c r="C1289" s="32" t="s">
        <v>29</v>
      </c>
      <c r="D1289" s="31" t="s">
        <v>1266</v>
      </c>
      <c r="E1289" s="16" t="s">
        <v>2102</v>
      </c>
      <c r="F1289" s="159" t="s">
        <v>26</v>
      </c>
      <c r="G1289" s="11">
        <f>F1289*21</f>
        <v>0</v>
      </c>
    </row>
    <row r="1290" spans="1:7" ht="15.75">
      <c r="A1290" s="6" t="s">
        <v>1258</v>
      </c>
      <c r="B1290" s="3" t="s">
        <v>22</v>
      </c>
      <c r="C1290" s="32" t="s">
        <v>31</v>
      </c>
      <c r="D1290" s="31" t="s">
        <v>1267</v>
      </c>
      <c r="E1290" s="16" t="s">
        <v>2102</v>
      </c>
      <c r="F1290" s="159" t="s">
        <v>26</v>
      </c>
      <c r="G1290" s="11">
        <f>F1290*5</f>
        <v>0</v>
      </c>
    </row>
    <row r="1291" spans="1:7" ht="15.75">
      <c r="A1291" s="6" t="s">
        <v>1268</v>
      </c>
      <c r="B1291" s="3" t="s">
        <v>22</v>
      </c>
      <c r="C1291" s="32" t="s">
        <v>27</v>
      </c>
      <c r="D1291" s="31" t="s">
        <v>1269</v>
      </c>
      <c r="E1291" s="16" t="s">
        <v>2102</v>
      </c>
      <c r="F1291" s="162">
        <v>153</v>
      </c>
      <c r="G1291" s="11">
        <f>F1291*34</f>
        <v>5202</v>
      </c>
    </row>
    <row r="1292" spans="1:7" ht="15.75">
      <c r="A1292" s="6" t="s">
        <v>1268</v>
      </c>
      <c r="B1292" s="3" t="s">
        <v>22</v>
      </c>
      <c r="C1292" s="32" t="s">
        <v>29</v>
      </c>
      <c r="D1292" s="31" t="s">
        <v>1270</v>
      </c>
      <c r="E1292" s="16" t="s">
        <v>2102</v>
      </c>
      <c r="F1292" s="161">
        <v>20</v>
      </c>
      <c r="G1292" s="11">
        <f>F1292*21</f>
        <v>420</v>
      </c>
    </row>
    <row r="1293" spans="1:7" ht="15.75">
      <c r="A1293" s="6" t="s">
        <v>1268</v>
      </c>
      <c r="B1293" s="3" t="s">
        <v>22</v>
      </c>
      <c r="C1293" s="32" t="s">
        <v>31</v>
      </c>
      <c r="D1293" s="31" t="s">
        <v>1271</v>
      </c>
      <c r="E1293" s="16" t="s">
        <v>2102</v>
      </c>
      <c r="F1293" s="161">
        <v>25</v>
      </c>
      <c r="G1293" s="11">
        <f>F1293*5</f>
        <v>125</v>
      </c>
    </row>
    <row r="1294" spans="1:7" ht="15.75">
      <c r="A1294" s="6" t="s">
        <v>1268</v>
      </c>
      <c r="B1294" s="3" t="s">
        <v>22</v>
      </c>
      <c r="C1294" s="32" t="s">
        <v>27</v>
      </c>
      <c r="D1294" s="31" t="s">
        <v>1482</v>
      </c>
      <c r="E1294" s="16" t="s">
        <v>2102</v>
      </c>
      <c r="F1294" s="159" t="s">
        <v>26</v>
      </c>
      <c r="G1294" s="11">
        <f>F1294*34</f>
        <v>0</v>
      </c>
    </row>
    <row r="1295" spans="1:7" ht="15.75">
      <c r="A1295" s="6" t="s">
        <v>1268</v>
      </c>
      <c r="B1295" s="3" t="s">
        <v>22</v>
      </c>
      <c r="C1295" s="32" t="s">
        <v>29</v>
      </c>
      <c r="D1295" s="31" t="s">
        <v>1483</v>
      </c>
      <c r="E1295" s="16" t="s">
        <v>2102</v>
      </c>
      <c r="F1295" s="159" t="s">
        <v>26</v>
      </c>
      <c r="G1295" s="11">
        <f>F1295*21</f>
        <v>0</v>
      </c>
    </row>
    <row r="1296" spans="1:7" ht="15.75">
      <c r="A1296" s="6" t="s">
        <v>1272</v>
      </c>
      <c r="B1296" s="3" t="s">
        <v>22</v>
      </c>
      <c r="C1296" s="32" t="s">
        <v>27</v>
      </c>
      <c r="D1296" s="31" t="s">
        <v>1273</v>
      </c>
      <c r="E1296" s="16" t="s">
        <v>2102</v>
      </c>
      <c r="F1296" s="162">
        <v>458</v>
      </c>
      <c r="G1296" s="11">
        <f>F1296*34</f>
        <v>15572</v>
      </c>
    </row>
    <row r="1297" spans="1:7" ht="15.75">
      <c r="A1297" s="6" t="s">
        <v>1272</v>
      </c>
      <c r="B1297" s="3" t="s">
        <v>22</v>
      </c>
      <c r="C1297" s="32" t="s">
        <v>29</v>
      </c>
      <c r="D1297" s="31" t="s">
        <v>1274</v>
      </c>
      <c r="E1297" s="16" t="s">
        <v>2102</v>
      </c>
      <c r="F1297" s="161">
        <v>384</v>
      </c>
      <c r="G1297" s="11">
        <f>F1297*21</f>
        <v>8064</v>
      </c>
    </row>
    <row r="1298" spans="1:7" ht="15.75">
      <c r="A1298" s="6" t="s">
        <v>1272</v>
      </c>
      <c r="B1298" s="3" t="s">
        <v>22</v>
      </c>
      <c r="C1298" s="32" t="s">
        <v>31</v>
      </c>
      <c r="D1298" s="31" t="s">
        <v>1275</v>
      </c>
      <c r="E1298" s="16" t="s">
        <v>2102</v>
      </c>
      <c r="F1298" s="161">
        <v>73</v>
      </c>
      <c r="G1298" s="11">
        <f>F1298*5</f>
        <v>365</v>
      </c>
    </row>
    <row r="1299" spans="1:7" ht="15.75">
      <c r="A1299" s="6" t="s">
        <v>1272</v>
      </c>
      <c r="B1299" s="3" t="s">
        <v>22</v>
      </c>
      <c r="C1299" s="32" t="s">
        <v>27</v>
      </c>
      <c r="D1299" s="31" t="s">
        <v>1277</v>
      </c>
      <c r="E1299" s="16" t="s">
        <v>2102</v>
      </c>
      <c r="F1299" s="159" t="s">
        <v>26</v>
      </c>
      <c r="G1299" s="11">
        <f>F1299*34</f>
        <v>0</v>
      </c>
    </row>
    <row r="1300" spans="1:7" ht="15.75">
      <c r="A1300" s="6" t="s">
        <v>1272</v>
      </c>
      <c r="B1300" s="3" t="s">
        <v>22</v>
      </c>
      <c r="C1300" s="32" t="s">
        <v>29</v>
      </c>
      <c r="D1300" s="31" t="s">
        <v>1278</v>
      </c>
      <c r="E1300" s="16" t="s">
        <v>2102</v>
      </c>
      <c r="F1300" s="159" t="s">
        <v>26</v>
      </c>
      <c r="G1300" s="11">
        <f>F1300*21</f>
        <v>0</v>
      </c>
    </row>
    <row r="1301" spans="1:7" ht="15.75">
      <c r="A1301" s="6" t="s">
        <v>1272</v>
      </c>
      <c r="B1301" s="3" t="s">
        <v>22</v>
      </c>
      <c r="C1301" s="32" t="s">
        <v>31</v>
      </c>
      <c r="D1301" s="31" t="s">
        <v>1279</v>
      </c>
      <c r="E1301" s="16" t="s">
        <v>2102</v>
      </c>
      <c r="F1301" s="159" t="s">
        <v>26</v>
      </c>
      <c r="G1301" s="11">
        <f>F1301*5</f>
        <v>0</v>
      </c>
    </row>
    <row r="1302" spans="1:7" ht="15.75">
      <c r="A1302" s="6" t="s">
        <v>1272</v>
      </c>
      <c r="B1302" s="3" t="s">
        <v>22</v>
      </c>
      <c r="C1302" s="32" t="s">
        <v>27</v>
      </c>
      <c r="D1302" s="31" t="s">
        <v>1280</v>
      </c>
      <c r="E1302" s="16" t="s">
        <v>2102</v>
      </c>
      <c r="F1302" s="159" t="s">
        <v>26</v>
      </c>
      <c r="G1302" s="11">
        <f>F1302*34</f>
        <v>0</v>
      </c>
    </row>
    <row r="1303" spans="1:7" ht="15.75">
      <c r="A1303" s="6" t="s">
        <v>1272</v>
      </c>
      <c r="B1303" s="3" t="s">
        <v>22</v>
      </c>
      <c r="C1303" s="32" t="s">
        <v>29</v>
      </c>
      <c r="D1303" s="31" t="s">
        <v>1281</v>
      </c>
      <c r="E1303" s="16" t="s">
        <v>2102</v>
      </c>
      <c r="F1303" s="159" t="s">
        <v>26</v>
      </c>
      <c r="G1303" s="11">
        <f>F1303*21</f>
        <v>0</v>
      </c>
    </row>
    <row r="1304" spans="1:7" ht="15.75">
      <c r="A1304" s="6" t="s">
        <v>1272</v>
      </c>
      <c r="B1304" s="3" t="s">
        <v>22</v>
      </c>
      <c r="C1304" s="32" t="s">
        <v>27</v>
      </c>
      <c r="D1304" s="31" t="s">
        <v>1282</v>
      </c>
      <c r="E1304" s="16" t="s">
        <v>2102</v>
      </c>
      <c r="F1304" s="159" t="s">
        <v>26</v>
      </c>
      <c r="G1304" s="11">
        <f>F1304*34</f>
        <v>0</v>
      </c>
    </row>
    <row r="1305" spans="1:7" ht="15.75">
      <c r="A1305" s="6" t="s">
        <v>1272</v>
      </c>
      <c r="B1305" s="3" t="s">
        <v>22</v>
      </c>
      <c r="C1305" s="32" t="s">
        <v>29</v>
      </c>
      <c r="D1305" s="31" t="s">
        <v>438</v>
      </c>
      <c r="E1305" s="16" t="s">
        <v>2102</v>
      </c>
      <c r="F1305" s="159" t="s">
        <v>26</v>
      </c>
      <c r="G1305" s="11">
        <f>F1305*21</f>
        <v>0</v>
      </c>
    </row>
    <row r="1306" spans="1:7" ht="15.75">
      <c r="A1306" s="6" t="s">
        <v>1272</v>
      </c>
      <c r="B1306" s="3" t="s">
        <v>22</v>
      </c>
      <c r="C1306" s="32" t="s">
        <v>31</v>
      </c>
      <c r="D1306" s="31" t="s">
        <v>1283</v>
      </c>
      <c r="E1306" s="16" t="s">
        <v>2102</v>
      </c>
      <c r="F1306" s="159" t="s">
        <v>26</v>
      </c>
      <c r="G1306" s="11">
        <f>F1306*5</f>
        <v>0</v>
      </c>
    </row>
    <row r="1307" spans="1:7" ht="15.75">
      <c r="A1307" s="6" t="s">
        <v>1284</v>
      </c>
      <c r="B1307" s="3" t="s">
        <v>22</v>
      </c>
      <c r="C1307" s="32" t="s">
        <v>27</v>
      </c>
      <c r="D1307" s="31" t="s">
        <v>1286</v>
      </c>
      <c r="E1307" s="16" t="s">
        <v>2102</v>
      </c>
      <c r="F1307" s="162">
        <v>245</v>
      </c>
      <c r="G1307" s="11">
        <f>F1307*34</f>
        <v>8330</v>
      </c>
    </row>
    <row r="1308" spans="1:7" ht="15.75">
      <c r="A1308" s="6" t="s">
        <v>1284</v>
      </c>
      <c r="B1308" s="3" t="s">
        <v>22</v>
      </c>
      <c r="C1308" s="32" t="s">
        <v>29</v>
      </c>
      <c r="D1308" s="31" t="s">
        <v>1287</v>
      </c>
      <c r="E1308" s="16" t="s">
        <v>2102</v>
      </c>
      <c r="F1308" s="161">
        <v>292</v>
      </c>
      <c r="G1308" s="11">
        <f>F1308*21</f>
        <v>6132</v>
      </c>
    </row>
    <row r="1309" spans="1:7" ht="15.75">
      <c r="A1309" s="6" t="s">
        <v>1284</v>
      </c>
      <c r="B1309" s="3" t="s">
        <v>22</v>
      </c>
      <c r="C1309" s="32" t="s">
        <v>31</v>
      </c>
      <c r="D1309" s="31" t="s">
        <v>1067</v>
      </c>
      <c r="E1309" s="16" t="s">
        <v>2102</v>
      </c>
      <c r="F1309" s="161">
        <v>35</v>
      </c>
      <c r="G1309" s="11">
        <f>F1309*5</f>
        <v>175</v>
      </c>
    </row>
    <row r="1310" spans="1:7" ht="15.75">
      <c r="A1310" s="6" t="s">
        <v>1284</v>
      </c>
      <c r="B1310" s="3" t="s">
        <v>22</v>
      </c>
      <c r="C1310" s="32" t="s">
        <v>27</v>
      </c>
      <c r="D1310" s="31" t="s">
        <v>1288</v>
      </c>
      <c r="E1310" s="16" t="s">
        <v>2102</v>
      </c>
      <c r="F1310" s="159" t="s">
        <v>26</v>
      </c>
      <c r="G1310" s="11">
        <f>F1310*34</f>
        <v>0</v>
      </c>
    </row>
    <row r="1311" spans="1:7" ht="15.75">
      <c r="A1311" s="6" t="s">
        <v>1284</v>
      </c>
      <c r="B1311" s="3" t="s">
        <v>22</v>
      </c>
      <c r="C1311" s="32" t="s">
        <v>29</v>
      </c>
      <c r="D1311" s="31" t="s">
        <v>1289</v>
      </c>
      <c r="E1311" s="16" t="s">
        <v>2102</v>
      </c>
      <c r="F1311" s="159" t="s">
        <v>26</v>
      </c>
      <c r="G1311" s="11">
        <f>F1311*21</f>
        <v>0</v>
      </c>
    </row>
    <row r="1312" spans="1:7" ht="15.75">
      <c r="A1312" s="6" t="s">
        <v>1284</v>
      </c>
      <c r="B1312" s="3" t="s">
        <v>22</v>
      </c>
      <c r="C1312" s="32" t="s">
        <v>31</v>
      </c>
      <c r="D1312" s="31" t="s">
        <v>1290</v>
      </c>
      <c r="E1312" s="16" t="s">
        <v>2102</v>
      </c>
      <c r="F1312" s="159" t="s">
        <v>26</v>
      </c>
      <c r="G1312" s="11">
        <f>F1312*5</f>
        <v>0</v>
      </c>
    </row>
    <row r="1313" spans="1:7" ht="15.75">
      <c r="A1313" s="6" t="s">
        <v>1291</v>
      </c>
      <c r="B1313" s="3" t="s">
        <v>22</v>
      </c>
      <c r="C1313" s="32" t="s">
        <v>27</v>
      </c>
      <c r="D1313" s="31" t="s">
        <v>1292</v>
      </c>
      <c r="E1313" s="16" t="s">
        <v>2102</v>
      </c>
      <c r="F1313" s="162">
        <v>245</v>
      </c>
      <c r="G1313" s="11">
        <f>F1313*34</f>
        <v>8330</v>
      </c>
    </row>
    <row r="1314" spans="1:7" ht="15.75">
      <c r="A1314" s="6" t="s">
        <v>1291</v>
      </c>
      <c r="B1314" s="3" t="s">
        <v>22</v>
      </c>
      <c r="C1314" s="32" t="s">
        <v>29</v>
      </c>
      <c r="D1314" s="31" t="s">
        <v>1189</v>
      </c>
      <c r="E1314" s="16" t="s">
        <v>2102</v>
      </c>
      <c r="F1314" s="161">
        <v>285</v>
      </c>
      <c r="G1314" s="11">
        <f>F1314*21</f>
        <v>5985</v>
      </c>
    </row>
    <row r="1315" spans="1:7" ht="15.75">
      <c r="A1315" s="6" t="s">
        <v>1291</v>
      </c>
      <c r="B1315" s="3" t="s">
        <v>22</v>
      </c>
      <c r="C1315" s="32" t="s">
        <v>31</v>
      </c>
      <c r="D1315" s="31" t="s">
        <v>1293</v>
      </c>
      <c r="E1315" s="16" t="s">
        <v>2102</v>
      </c>
      <c r="F1315" s="161">
        <v>66</v>
      </c>
      <c r="G1315" s="11">
        <f>F1315*5</f>
        <v>330</v>
      </c>
    </row>
    <row r="1316" spans="1:7" ht="15.75">
      <c r="A1316" s="6" t="s">
        <v>1291</v>
      </c>
      <c r="B1316" s="3" t="s">
        <v>22</v>
      </c>
      <c r="C1316" s="32" t="s">
        <v>27</v>
      </c>
      <c r="D1316" s="31" t="s">
        <v>1295</v>
      </c>
      <c r="E1316" s="16" t="s">
        <v>2102</v>
      </c>
      <c r="F1316" s="159" t="s">
        <v>26</v>
      </c>
      <c r="G1316" s="11">
        <f>F1316*34</f>
        <v>0</v>
      </c>
    </row>
    <row r="1317" spans="1:7" ht="15.75">
      <c r="A1317" s="6" t="s">
        <v>1291</v>
      </c>
      <c r="B1317" s="3" t="s">
        <v>22</v>
      </c>
      <c r="C1317" s="32" t="s">
        <v>29</v>
      </c>
      <c r="D1317" s="31" t="s">
        <v>121</v>
      </c>
      <c r="E1317" s="16" t="s">
        <v>2102</v>
      </c>
      <c r="F1317" s="159" t="s">
        <v>26</v>
      </c>
      <c r="G1317" s="11">
        <f>F1317*21</f>
        <v>0</v>
      </c>
    </row>
    <row r="1318" spans="1:7" ht="15.75">
      <c r="A1318" s="6" t="s">
        <v>1291</v>
      </c>
      <c r="B1318" s="3" t="s">
        <v>22</v>
      </c>
      <c r="C1318" s="32" t="s">
        <v>31</v>
      </c>
      <c r="D1318" s="31" t="s">
        <v>1126</v>
      </c>
      <c r="E1318" s="16" t="s">
        <v>2102</v>
      </c>
      <c r="F1318" s="159" t="s">
        <v>26</v>
      </c>
      <c r="G1318" s="11">
        <f>F1318*5</f>
        <v>0</v>
      </c>
    </row>
    <row r="1319" spans="1:7" ht="15.75">
      <c r="A1319" s="6" t="s">
        <v>1296</v>
      </c>
      <c r="B1319" s="3" t="s">
        <v>22</v>
      </c>
      <c r="C1319" s="32" t="s">
        <v>27</v>
      </c>
      <c r="D1319" s="31" t="s">
        <v>1297</v>
      </c>
      <c r="E1319" s="16" t="s">
        <v>2102</v>
      </c>
      <c r="F1319" s="159" t="s">
        <v>26</v>
      </c>
      <c r="G1319" s="11">
        <f>F1319*34</f>
        <v>0</v>
      </c>
    </row>
    <row r="1320" spans="1:7" ht="15.75">
      <c r="A1320" s="6" t="s">
        <v>1296</v>
      </c>
      <c r="B1320" s="3" t="s">
        <v>22</v>
      </c>
      <c r="C1320" s="32" t="s">
        <v>29</v>
      </c>
      <c r="D1320" s="31" t="s">
        <v>1298</v>
      </c>
      <c r="E1320" s="16" t="s">
        <v>2102</v>
      </c>
      <c r="F1320" s="159" t="s">
        <v>26</v>
      </c>
      <c r="G1320" s="11">
        <f>F1320*21</f>
        <v>0</v>
      </c>
    </row>
    <row r="1321" spans="1:7" ht="15.75">
      <c r="A1321" s="6" t="s">
        <v>1296</v>
      </c>
      <c r="B1321" s="3" t="s">
        <v>22</v>
      </c>
      <c r="C1321" s="32" t="s">
        <v>31</v>
      </c>
      <c r="D1321" s="31" t="s">
        <v>1299</v>
      </c>
      <c r="E1321" s="16" t="s">
        <v>2102</v>
      </c>
      <c r="F1321" s="159" t="s">
        <v>26</v>
      </c>
      <c r="G1321" s="11">
        <f>F1321*5</f>
        <v>0</v>
      </c>
    </row>
    <row r="1322" spans="1:7" ht="15.75">
      <c r="A1322" s="6" t="s">
        <v>1296</v>
      </c>
      <c r="B1322" s="3" t="s">
        <v>22</v>
      </c>
      <c r="C1322" s="32" t="s">
        <v>27</v>
      </c>
      <c r="D1322" s="31" t="s">
        <v>1300</v>
      </c>
      <c r="E1322" s="16" t="s">
        <v>2102</v>
      </c>
      <c r="F1322" s="162">
        <v>305</v>
      </c>
      <c r="G1322" s="11">
        <f>F1322*34</f>
        <v>10370</v>
      </c>
    </row>
    <row r="1323" spans="1:7" ht="15.75">
      <c r="A1323" s="6" t="s">
        <v>1296</v>
      </c>
      <c r="B1323" s="3" t="s">
        <v>22</v>
      </c>
      <c r="C1323" s="32" t="s">
        <v>29</v>
      </c>
      <c r="D1323" s="31" t="s">
        <v>726</v>
      </c>
      <c r="E1323" s="16" t="s">
        <v>2102</v>
      </c>
      <c r="F1323" s="161">
        <v>229</v>
      </c>
      <c r="G1323" s="11">
        <f>F1323*21</f>
        <v>4809</v>
      </c>
    </row>
    <row r="1324" spans="1:7" ht="15.75">
      <c r="A1324" s="6" t="s">
        <v>1296</v>
      </c>
      <c r="B1324" s="3" t="s">
        <v>22</v>
      </c>
      <c r="C1324" s="32" t="s">
        <v>31</v>
      </c>
      <c r="D1324" s="31" t="s">
        <v>1301</v>
      </c>
      <c r="E1324" s="16" t="s">
        <v>2102</v>
      </c>
      <c r="F1324" s="161">
        <v>94</v>
      </c>
      <c r="G1324" s="11">
        <f>F1324*5</f>
        <v>470</v>
      </c>
    </row>
    <row r="1325" spans="1:7" ht="15.75">
      <c r="A1325" s="6" t="s">
        <v>1296</v>
      </c>
      <c r="B1325" s="3" t="s">
        <v>22</v>
      </c>
      <c r="C1325" s="32" t="s">
        <v>27</v>
      </c>
      <c r="D1325" s="31" t="s">
        <v>1302</v>
      </c>
      <c r="E1325" s="16" t="s">
        <v>2102</v>
      </c>
      <c r="F1325" s="159" t="s">
        <v>26</v>
      </c>
      <c r="G1325" s="11">
        <f>F1325*34</f>
        <v>0</v>
      </c>
    </row>
    <row r="1326" spans="1:7" ht="15.75">
      <c r="A1326" s="6" t="s">
        <v>1296</v>
      </c>
      <c r="B1326" s="3" t="s">
        <v>22</v>
      </c>
      <c r="C1326" s="32" t="s">
        <v>29</v>
      </c>
      <c r="D1326" s="31" t="s">
        <v>1303</v>
      </c>
      <c r="E1326" s="16" t="s">
        <v>2102</v>
      </c>
      <c r="F1326" s="159" t="s">
        <v>26</v>
      </c>
      <c r="G1326" s="11">
        <f>F1326*21</f>
        <v>0</v>
      </c>
    </row>
    <row r="1327" spans="1:7" ht="15.75">
      <c r="A1327" s="6" t="s">
        <v>1296</v>
      </c>
      <c r="B1327" s="3" t="s">
        <v>22</v>
      </c>
      <c r="C1327" s="32" t="s">
        <v>31</v>
      </c>
      <c r="D1327" s="31" t="s">
        <v>1304</v>
      </c>
      <c r="E1327" s="16" t="s">
        <v>2102</v>
      </c>
      <c r="F1327" s="159" t="s">
        <v>26</v>
      </c>
      <c r="G1327" s="11">
        <f>F1327*5</f>
        <v>0</v>
      </c>
    </row>
    <row r="1328" spans="1:7" ht="15.75">
      <c r="A1328" s="6" t="s">
        <v>1305</v>
      </c>
      <c r="B1328" s="3" t="s">
        <v>22</v>
      </c>
      <c r="C1328" s="32" t="s">
        <v>27</v>
      </c>
      <c r="D1328" s="31" t="s">
        <v>1306</v>
      </c>
      <c r="E1328" s="16" t="s">
        <v>2102</v>
      </c>
      <c r="F1328" s="162">
        <v>285</v>
      </c>
      <c r="G1328" s="11">
        <f>F1328*34</f>
        <v>9690</v>
      </c>
    </row>
    <row r="1329" spans="1:7" ht="15.75">
      <c r="A1329" s="6" t="s">
        <v>1305</v>
      </c>
      <c r="B1329" s="3" t="s">
        <v>22</v>
      </c>
      <c r="C1329" s="32" t="s">
        <v>29</v>
      </c>
      <c r="D1329" s="31" t="s">
        <v>1307</v>
      </c>
      <c r="E1329" s="16" t="s">
        <v>2102</v>
      </c>
      <c r="F1329" s="161">
        <v>292</v>
      </c>
      <c r="G1329" s="11">
        <f>F1329*21</f>
        <v>6132</v>
      </c>
    </row>
    <row r="1330" spans="1:7" ht="15.75">
      <c r="A1330" s="6" t="s">
        <v>1305</v>
      </c>
      <c r="B1330" s="3" t="s">
        <v>22</v>
      </c>
      <c r="C1330" s="32" t="s">
        <v>31</v>
      </c>
      <c r="D1330" s="31" t="s">
        <v>881</v>
      </c>
      <c r="E1330" s="16" t="s">
        <v>2102</v>
      </c>
      <c r="F1330" s="161">
        <v>29</v>
      </c>
      <c r="G1330" s="11">
        <f>F1330*5</f>
        <v>145</v>
      </c>
    </row>
    <row r="1331" spans="1:7" ht="15.75">
      <c r="A1331" s="6" t="s">
        <v>1308</v>
      </c>
      <c r="B1331" s="3" t="s">
        <v>22</v>
      </c>
      <c r="C1331" s="32" t="s">
        <v>27</v>
      </c>
      <c r="D1331" s="31" t="s">
        <v>1310</v>
      </c>
      <c r="E1331" s="16" t="s">
        <v>2102</v>
      </c>
      <c r="F1331" s="159" t="s">
        <v>26</v>
      </c>
      <c r="G1331" s="11">
        <f>F1331*34</f>
        <v>0</v>
      </c>
    </row>
    <row r="1332" spans="1:7" ht="15.75">
      <c r="A1332" s="6" t="s">
        <v>1308</v>
      </c>
      <c r="B1332" s="3" t="s">
        <v>22</v>
      </c>
      <c r="C1332" s="32" t="s">
        <v>29</v>
      </c>
      <c r="D1332" s="31" t="s">
        <v>1311</v>
      </c>
      <c r="E1332" s="16" t="s">
        <v>2102</v>
      </c>
      <c r="F1332" s="159" t="s">
        <v>26</v>
      </c>
      <c r="G1332" s="11">
        <f>F1332*21</f>
        <v>0</v>
      </c>
    </row>
    <row r="1333" spans="1:7" ht="15.75">
      <c r="A1333" s="6" t="s">
        <v>1308</v>
      </c>
      <c r="B1333" s="3" t="s">
        <v>22</v>
      </c>
      <c r="C1333" s="32" t="s">
        <v>31</v>
      </c>
      <c r="D1333" s="31" t="s">
        <v>1312</v>
      </c>
      <c r="E1333" s="16" t="s">
        <v>2102</v>
      </c>
      <c r="F1333" s="159" t="s">
        <v>26</v>
      </c>
      <c r="G1333" s="11">
        <f>F1333*5</f>
        <v>0</v>
      </c>
    </row>
    <row r="1334" spans="1:7" ht="15.75">
      <c r="A1334" s="6" t="s">
        <v>1308</v>
      </c>
      <c r="B1334" s="3" t="s">
        <v>22</v>
      </c>
      <c r="C1334" s="32" t="s">
        <v>27</v>
      </c>
      <c r="D1334" s="31" t="s">
        <v>1313</v>
      </c>
      <c r="E1334" s="16" t="s">
        <v>2102</v>
      </c>
      <c r="F1334" s="162">
        <v>395</v>
      </c>
      <c r="G1334" s="11">
        <f>F1334*34</f>
        <v>13430</v>
      </c>
    </row>
    <row r="1335" spans="1:7" ht="15.75">
      <c r="A1335" s="6" t="s">
        <v>1308</v>
      </c>
      <c r="B1335" s="3" t="s">
        <v>22</v>
      </c>
      <c r="C1335" s="32" t="s">
        <v>29</v>
      </c>
      <c r="D1335" s="31" t="s">
        <v>1314</v>
      </c>
      <c r="E1335" s="16" t="s">
        <v>2102</v>
      </c>
      <c r="F1335" s="161">
        <v>132</v>
      </c>
      <c r="G1335" s="11">
        <f>F1335*21</f>
        <v>2772</v>
      </c>
    </row>
    <row r="1336" spans="1:7" ht="15.75">
      <c r="A1336" s="6" t="s">
        <v>1308</v>
      </c>
      <c r="B1336" s="3" t="s">
        <v>22</v>
      </c>
      <c r="C1336" s="32" t="s">
        <v>31</v>
      </c>
      <c r="D1336" s="31" t="s">
        <v>206</v>
      </c>
      <c r="E1336" s="16" t="s">
        <v>2102</v>
      </c>
      <c r="F1336" s="161">
        <v>120</v>
      </c>
      <c r="G1336" s="11">
        <f>F1336*5</f>
        <v>600</v>
      </c>
    </row>
    <row r="1337" spans="1:7" ht="15.75">
      <c r="A1337" s="6" t="s">
        <v>1308</v>
      </c>
      <c r="B1337" s="3" t="s">
        <v>22</v>
      </c>
      <c r="C1337" s="32" t="s">
        <v>27</v>
      </c>
      <c r="D1337" s="31" t="s">
        <v>201</v>
      </c>
      <c r="E1337" s="16" t="s">
        <v>2102</v>
      </c>
      <c r="F1337" s="159" t="s">
        <v>26</v>
      </c>
      <c r="G1337" s="11">
        <f>F1337*34</f>
        <v>0</v>
      </c>
    </row>
    <row r="1338" spans="1:7" ht="15.75">
      <c r="A1338" s="6" t="s">
        <v>1308</v>
      </c>
      <c r="B1338" s="3" t="s">
        <v>22</v>
      </c>
      <c r="C1338" s="32" t="s">
        <v>29</v>
      </c>
      <c r="D1338" s="31" t="s">
        <v>976</v>
      </c>
      <c r="E1338" s="16" t="s">
        <v>2102</v>
      </c>
      <c r="F1338" s="159" t="s">
        <v>26</v>
      </c>
      <c r="G1338" s="11">
        <f>F1338*21</f>
        <v>0</v>
      </c>
    </row>
    <row r="1339" spans="1:7" ht="15.75">
      <c r="A1339" s="6" t="s">
        <v>1308</v>
      </c>
      <c r="B1339" s="3" t="s">
        <v>22</v>
      </c>
      <c r="C1339" s="32" t="s">
        <v>31</v>
      </c>
      <c r="D1339" s="31" t="s">
        <v>1315</v>
      </c>
      <c r="E1339" s="16" t="s">
        <v>2102</v>
      </c>
      <c r="F1339" s="159" t="s">
        <v>26</v>
      </c>
      <c r="G1339" s="11">
        <f>F1339*5</f>
        <v>0</v>
      </c>
    </row>
    <row r="1340" spans="1:7" ht="15.75">
      <c r="A1340" s="6" t="s">
        <v>1308</v>
      </c>
      <c r="B1340" s="3" t="s">
        <v>22</v>
      </c>
      <c r="C1340" s="32" t="s">
        <v>27</v>
      </c>
      <c r="D1340" s="31" t="s">
        <v>1316</v>
      </c>
      <c r="E1340" s="16" t="s">
        <v>2102</v>
      </c>
      <c r="F1340" s="159" t="s">
        <v>26</v>
      </c>
      <c r="G1340" s="11">
        <f>F1340*34</f>
        <v>0</v>
      </c>
    </row>
    <row r="1341" spans="1:7" ht="15.75">
      <c r="A1341" s="6" t="s">
        <v>1308</v>
      </c>
      <c r="B1341" s="3" t="s">
        <v>22</v>
      </c>
      <c r="C1341" s="32" t="s">
        <v>29</v>
      </c>
      <c r="D1341" s="31" t="s">
        <v>1317</v>
      </c>
      <c r="E1341" s="16" t="s">
        <v>2102</v>
      </c>
      <c r="F1341" s="159" t="s">
        <v>26</v>
      </c>
      <c r="G1341" s="11">
        <f>F1341*21</f>
        <v>0</v>
      </c>
    </row>
    <row r="1342" spans="1:7" ht="15.75">
      <c r="A1342" s="6" t="s">
        <v>1308</v>
      </c>
      <c r="B1342" s="3" t="s">
        <v>22</v>
      </c>
      <c r="C1342" s="32" t="s">
        <v>31</v>
      </c>
      <c r="D1342" s="31" t="s">
        <v>1318</v>
      </c>
      <c r="E1342" s="16" t="s">
        <v>2102</v>
      </c>
      <c r="F1342" s="159" t="s">
        <v>26</v>
      </c>
      <c r="G1342" s="11">
        <f>F1342*5</f>
        <v>0</v>
      </c>
    </row>
    <row r="1343" spans="1:7" ht="15.75">
      <c r="A1343" s="6" t="s">
        <v>1319</v>
      </c>
      <c r="B1343" s="3" t="s">
        <v>22</v>
      </c>
      <c r="C1343" s="32" t="s">
        <v>27</v>
      </c>
      <c r="D1343" s="31" t="s">
        <v>1320</v>
      </c>
      <c r="E1343" s="16" t="s">
        <v>2102</v>
      </c>
      <c r="F1343" s="162">
        <v>344</v>
      </c>
      <c r="G1343" s="11">
        <f>F1343*34</f>
        <v>11696</v>
      </c>
    </row>
    <row r="1344" spans="1:7" ht="15.75">
      <c r="A1344" s="6" t="s">
        <v>1319</v>
      </c>
      <c r="B1344" s="3" t="s">
        <v>22</v>
      </c>
      <c r="C1344" s="32" t="s">
        <v>29</v>
      </c>
      <c r="D1344" s="31" t="s">
        <v>1321</v>
      </c>
      <c r="E1344" s="16" t="s">
        <v>2102</v>
      </c>
      <c r="F1344" s="161">
        <v>100</v>
      </c>
      <c r="G1344" s="11">
        <f>F1344*21</f>
        <v>2100</v>
      </c>
    </row>
    <row r="1345" spans="1:7" ht="15.75">
      <c r="A1345" s="6" t="s">
        <v>1319</v>
      </c>
      <c r="B1345" s="3" t="s">
        <v>22</v>
      </c>
      <c r="C1345" s="32" t="s">
        <v>31</v>
      </c>
      <c r="D1345" s="31" t="s">
        <v>1322</v>
      </c>
      <c r="E1345" s="16" t="s">
        <v>2102</v>
      </c>
      <c r="F1345" s="161">
        <v>120</v>
      </c>
      <c r="G1345" s="11">
        <f>F1345*5</f>
        <v>600</v>
      </c>
    </row>
    <row r="1346" spans="1:7" ht="15.75">
      <c r="A1346" s="6" t="s">
        <v>1319</v>
      </c>
      <c r="B1346" s="3" t="s">
        <v>22</v>
      </c>
      <c r="C1346" s="32" t="s">
        <v>27</v>
      </c>
      <c r="D1346" s="31" t="s">
        <v>1075</v>
      </c>
      <c r="E1346" s="16" t="s">
        <v>2102</v>
      </c>
      <c r="F1346" s="159" t="s">
        <v>26</v>
      </c>
      <c r="G1346" s="11">
        <f>F1346*34</f>
        <v>0</v>
      </c>
    </row>
    <row r="1347" spans="1:7" ht="15.75">
      <c r="A1347" s="6" t="s">
        <v>1319</v>
      </c>
      <c r="B1347" s="3" t="s">
        <v>22</v>
      </c>
      <c r="C1347" s="32" t="s">
        <v>29</v>
      </c>
      <c r="D1347" s="31" t="s">
        <v>1323</v>
      </c>
      <c r="E1347" s="16" t="s">
        <v>2102</v>
      </c>
      <c r="F1347" s="159" t="s">
        <v>26</v>
      </c>
      <c r="G1347" s="11">
        <f>F1347*21</f>
        <v>0</v>
      </c>
    </row>
    <row r="1348" spans="1:7" ht="15.75">
      <c r="A1348" s="6" t="s">
        <v>1319</v>
      </c>
      <c r="B1348" s="3" t="s">
        <v>22</v>
      </c>
      <c r="C1348" s="32" t="s">
        <v>31</v>
      </c>
      <c r="D1348" s="31" t="s">
        <v>1324</v>
      </c>
      <c r="E1348" s="16" t="s">
        <v>2102</v>
      </c>
      <c r="F1348" s="159" t="s">
        <v>26</v>
      </c>
      <c r="G1348" s="11">
        <f>F1348*5</f>
        <v>0</v>
      </c>
    </row>
    <row r="1349" spans="1:7" ht="15.75">
      <c r="A1349" s="6" t="s">
        <v>1319</v>
      </c>
      <c r="B1349" s="3" t="s">
        <v>22</v>
      </c>
      <c r="C1349" s="32" t="s">
        <v>27</v>
      </c>
      <c r="D1349" s="31" t="s">
        <v>1326</v>
      </c>
      <c r="E1349" s="16" t="s">
        <v>2102</v>
      </c>
      <c r="F1349" s="159" t="s">
        <v>26</v>
      </c>
      <c r="G1349" s="11">
        <f>F1349*34</f>
        <v>0</v>
      </c>
    </row>
    <row r="1350" spans="1:7" ht="15.75">
      <c r="A1350" s="6" t="s">
        <v>1319</v>
      </c>
      <c r="B1350" s="3" t="s">
        <v>22</v>
      </c>
      <c r="C1350" s="32" t="s">
        <v>29</v>
      </c>
      <c r="D1350" s="31" t="s">
        <v>1327</v>
      </c>
      <c r="E1350" s="16" t="s">
        <v>2102</v>
      </c>
      <c r="F1350" s="159" t="s">
        <v>26</v>
      </c>
      <c r="G1350" s="11">
        <f>F1350*21</f>
        <v>0</v>
      </c>
    </row>
    <row r="1351" spans="1:7" ht="15.75">
      <c r="A1351" s="6" t="s">
        <v>1319</v>
      </c>
      <c r="B1351" s="3" t="s">
        <v>22</v>
      </c>
      <c r="C1351" s="32" t="s">
        <v>31</v>
      </c>
      <c r="D1351" s="31" t="s">
        <v>1328</v>
      </c>
      <c r="E1351" s="16" t="s">
        <v>2102</v>
      </c>
      <c r="F1351" s="159" t="s">
        <v>26</v>
      </c>
      <c r="G1351" s="11">
        <f>F1351*5</f>
        <v>0</v>
      </c>
    </row>
    <row r="1352" spans="1:7" ht="15.75">
      <c r="A1352" s="6" t="s">
        <v>1319</v>
      </c>
      <c r="B1352" s="3" t="s">
        <v>22</v>
      </c>
      <c r="C1352" s="32" t="s">
        <v>27</v>
      </c>
      <c r="D1352" s="31" t="s">
        <v>1330</v>
      </c>
      <c r="E1352" s="16" t="s">
        <v>2102</v>
      </c>
      <c r="F1352" s="159" t="s">
        <v>26</v>
      </c>
      <c r="G1352" s="11">
        <f>F1352*34</f>
        <v>0</v>
      </c>
    </row>
    <row r="1353" spans="1:7" ht="15.75">
      <c r="A1353" s="6" t="s">
        <v>1319</v>
      </c>
      <c r="B1353" s="3" t="s">
        <v>22</v>
      </c>
      <c r="C1353" s="32" t="s">
        <v>29</v>
      </c>
      <c r="D1353" s="31" t="s">
        <v>1331</v>
      </c>
      <c r="E1353" s="16" t="s">
        <v>2102</v>
      </c>
      <c r="F1353" s="159" t="s">
        <v>26</v>
      </c>
      <c r="G1353" s="11">
        <f>F1353*21</f>
        <v>0</v>
      </c>
    </row>
    <row r="1354" spans="1:7" ht="15.75">
      <c r="A1354" s="6" t="s">
        <v>1319</v>
      </c>
      <c r="B1354" s="3" t="s">
        <v>22</v>
      </c>
      <c r="C1354" s="32" t="s">
        <v>31</v>
      </c>
      <c r="D1354" s="31" t="s">
        <v>1332</v>
      </c>
      <c r="E1354" s="16" t="s">
        <v>2102</v>
      </c>
      <c r="F1354" s="159" t="s">
        <v>26</v>
      </c>
      <c r="G1354" s="11">
        <f>F1354*5</f>
        <v>0</v>
      </c>
    </row>
    <row r="1355" spans="1:7" ht="15.75">
      <c r="A1355" s="6" t="s">
        <v>1333</v>
      </c>
      <c r="B1355" s="3" t="s">
        <v>22</v>
      </c>
      <c r="C1355" s="32" t="s">
        <v>27</v>
      </c>
      <c r="D1355" s="31" t="s">
        <v>1334</v>
      </c>
      <c r="E1355" s="16" t="s">
        <v>2102</v>
      </c>
      <c r="F1355" s="162">
        <v>125</v>
      </c>
      <c r="G1355" s="11">
        <f>F1355*34</f>
        <v>4250</v>
      </c>
    </row>
    <row r="1356" spans="1:7" ht="15.75">
      <c r="A1356" s="6" t="s">
        <v>1333</v>
      </c>
      <c r="B1356" s="3" t="s">
        <v>22</v>
      </c>
      <c r="C1356" s="32" t="s">
        <v>29</v>
      </c>
      <c r="D1356" s="31" t="s">
        <v>1335</v>
      </c>
      <c r="E1356" s="16" t="s">
        <v>2102</v>
      </c>
      <c r="F1356" s="161">
        <v>185</v>
      </c>
      <c r="G1356" s="11">
        <f>F1356*21</f>
        <v>3885</v>
      </c>
    </row>
    <row r="1357" spans="1:7" ht="15.75">
      <c r="A1357" s="6" t="s">
        <v>1333</v>
      </c>
      <c r="B1357" s="3" t="s">
        <v>22</v>
      </c>
      <c r="C1357" s="32" t="s">
        <v>31</v>
      </c>
      <c r="D1357" s="31" t="s">
        <v>386</v>
      </c>
      <c r="E1357" s="16" t="s">
        <v>2102</v>
      </c>
      <c r="F1357" s="161">
        <v>50</v>
      </c>
      <c r="G1357" s="11">
        <f>F1357*5</f>
        <v>250</v>
      </c>
    </row>
    <row r="1358" spans="1:7" ht="15.75">
      <c r="A1358" s="6" t="s">
        <v>1333</v>
      </c>
      <c r="B1358" s="3" t="s">
        <v>22</v>
      </c>
      <c r="C1358" s="32" t="s">
        <v>27</v>
      </c>
      <c r="D1358" s="31" t="s">
        <v>1336</v>
      </c>
      <c r="E1358" s="16" t="s">
        <v>2102</v>
      </c>
      <c r="F1358" s="159" t="s">
        <v>26</v>
      </c>
      <c r="G1358" s="11">
        <f>F1358*34</f>
        <v>0</v>
      </c>
    </row>
    <row r="1359" spans="1:7" ht="15.75">
      <c r="A1359" s="6" t="s">
        <v>1333</v>
      </c>
      <c r="B1359" s="3" t="s">
        <v>22</v>
      </c>
      <c r="C1359" s="32" t="s">
        <v>29</v>
      </c>
      <c r="D1359" s="31" t="s">
        <v>1337</v>
      </c>
      <c r="E1359" s="16" t="s">
        <v>2102</v>
      </c>
      <c r="F1359" s="159" t="s">
        <v>26</v>
      </c>
      <c r="G1359" s="11">
        <f>F1359*21</f>
        <v>0</v>
      </c>
    </row>
    <row r="1360" spans="1:7" ht="15.75">
      <c r="A1360" s="6" t="s">
        <v>1333</v>
      </c>
      <c r="B1360" s="3" t="s">
        <v>22</v>
      </c>
      <c r="C1360" s="32" t="s">
        <v>31</v>
      </c>
      <c r="D1360" s="31" t="s">
        <v>1213</v>
      </c>
      <c r="E1360" s="16" t="s">
        <v>2102</v>
      </c>
      <c r="F1360" s="159" t="s">
        <v>26</v>
      </c>
      <c r="G1360" s="11">
        <f>F1360*5</f>
        <v>0</v>
      </c>
    </row>
    <row r="1361" spans="1:7" ht="15.75">
      <c r="A1361" s="6" t="s">
        <v>1333</v>
      </c>
      <c r="B1361" s="3" t="s">
        <v>22</v>
      </c>
      <c r="C1361" s="32" t="s">
        <v>27</v>
      </c>
      <c r="D1361" s="31" t="s">
        <v>235</v>
      </c>
      <c r="E1361" s="16" t="s">
        <v>2102</v>
      </c>
      <c r="F1361" s="159" t="s">
        <v>26</v>
      </c>
      <c r="G1361" s="11">
        <f>F1361*34</f>
        <v>0</v>
      </c>
    </row>
    <row r="1362" spans="1:7" ht="15.75">
      <c r="A1362" s="6" t="s">
        <v>1333</v>
      </c>
      <c r="B1362" s="3" t="s">
        <v>22</v>
      </c>
      <c r="C1362" s="32" t="s">
        <v>29</v>
      </c>
      <c r="D1362" s="31" t="s">
        <v>1338</v>
      </c>
      <c r="E1362" s="16" t="s">
        <v>2102</v>
      </c>
      <c r="F1362" s="159" t="s">
        <v>26</v>
      </c>
      <c r="G1362" s="11">
        <f>F1362*21</f>
        <v>0</v>
      </c>
    </row>
    <row r="1363" spans="1:7" ht="15.75">
      <c r="A1363" s="6" t="s">
        <v>1333</v>
      </c>
      <c r="B1363" s="3" t="s">
        <v>22</v>
      </c>
      <c r="C1363" s="32" t="s">
        <v>31</v>
      </c>
      <c r="D1363" s="31" t="s">
        <v>1339</v>
      </c>
      <c r="E1363" s="16" t="s">
        <v>2102</v>
      </c>
      <c r="F1363" s="159" t="s">
        <v>26</v>
      </c>
      <c r="G1363" s="11">
        <f>F1363*5</f>
        <v>0</v>
      </c>
    </row>
    <row r="1364" spans="1:7" ht="15.75">
      <c r="A1364" s="6" t="s">
        <v>1333</v>
      </c>
      <c r="B1364" s="3" t="s">
        <v>22</v>
      </c>
      <c r="C1364" s="32" t="s">
        <v>27</v>
      </c>
      <c r="D1364" s="31" t="s">
        <v>649</v>
      </c>
      <c r="E1364" s="16" t="s">
        <v>2102</v>
      </c>
      <c r="F1364" s="159" t="s">
        <v>26</v>
      </c>
      <c r="G1364" s="11">
        <f>F1364*34</f>
        <v>0</v>
      </c>
    </row>
    <row r="1365" spans="1:7" ht="15.75">
      <c r="A1365" s="6" t="s">
        <v>1333</v>
      </c>
      <c r="B1365" s="3" t="s">
        <v>22</v>
      </c>
      <c r="C1365" s="32" t="s">
        <v>29</v>
      </c>
      <c r="D1365" s="31" t="s">
        <v>1342</v>
      </c>
      <c r="E1365" s="16" t="s">
        <v>2102</v>
      </c>
      <c r="F1365" s="159" t="s">
        <v>26</v>
      </c>
      <c r="G1365" s="11">
        <f>F1365*21</f>
        <v>0</v>
      </c>
    </row>
    <row r="1366" spans="1:7" ht="15.75">
      <c r="A1366" s="6" t="s">
        <v>1333</v>
      </c>
      <c r="B1366" s="3" t="s">
        <v>22</v>
      </c>
      <c r="C1366" s="32" t="s">
        <v>31</v>
      </c>
      <c r="D1366" s="31" t="s">
        <v>1152</v>
      </c>
      <c r="E1366" s="16" t="s">
        <v>2102</v>
      </c>
      <c r="F1366" s="159" t="s">
        <v>26</v>
      </c>
      <c r="G1366" s="11">
        <f>F1366*5</f>
        <v>0</v>
      </c>
    </row>
    <row r="1367" spans="1:7" ht="15.75">
      <c r="A1367" s="6" t="s">
        <v>1343</v>
      </c>
      <c r="B1367" s="3" t="s">
        <v>22</v>
      </c>
      <c r="C1367" s="32" t="s">
        <v>27</v>
      </c>
      <c r="D1367" s="31" t="s">
        <v>1345</v>
      </c>
      <c r="E1367" s="16" t="s">
        <v>2102</v>
      </c>
      <c r="F1367" s="162">
        <v>41</v>
      </c>
      <c r="G1367" s="11">
        <f>F1367*34</f>
        <v>1394</v>
      </c>
    </row>
    <row r="1368" spans="1:7" ht="15.75">
      <c r="A1368" s="6" t="s">
        <v>1343</v>
      </c>
      <c r="B1368" s="3" t="s">
        <v>22</v>
      </c>
      <c r="C1368" s="32" t="s">
        <v>29</v>
      </c>
      <c r="D1368" s="31" t="s">
        <v>776</v>
      </c>
      <c r="E1368" s="16" t="s">
        <v>2102</v>
      </c>
      <c r="F1368" s="161">
        <v>72</v>
      </c>
      <c r="G1368" s="11">
        <f>F1368*21</f>
        <v>1512</v>
      </c>
    </row>
    <row r="1369" spans="1:7" ht="15.75">
      <c r="A1369" s="6" t="s">
        <v>1343</v>
      </c>
      <c r="B1369" s="3" t="s">
        <v>22</v>
      </c>
      <c r="C1369" s="32" t="s">
        <v>31</v>
      </c>
      <c r="D1369" s="31" t="s">
        <v>1346</v>
      </c>
      <c r="E1369" s="16" t="s">
        <v>2102</v>
      </c>
      <c r="F1369" s="161">
        <v>85</v>
      </c>
      <c r="G1369" s="11">
        <f>F1369*5</f>
        <v>425</v>
      </c>
    </row>
    <row r="1370" spans="1:7" ht="15.75">
      <c r="A1370" s="6" t="s">
        <v>1343</v>
      </c>
      <c r="B1370" s="3" t="s">
        <v>22</v>
      </c>
      <c r="C1370" s="32" t="s">
        <v>27</v>
      </c>
      <c r="D1370" s="31" t="s">
        <v>1347</v>
      </c>
      <c r="E1370" s="16" t="s">
        <v>2102</v>
      </c>
      <c r="F1370" s="159" t="s">
        <v>26</v>
      </c>
      <c r="G1370" s="11">
        <f>F1370*34</f>
        <v>0</v>
      </c>
    </row>
    <row r="1371" spans="1:7" ht="15.75">
      <c r="A1371" s="6" t="s">
        <v>1343</v>
      </c>
      <c r="B1371" s="3" t="s">
        <v>22</v>
      </c>
      <c r="C1371" s="32" t="s">
        <v>29</v>
      </c>
      <c r="D1371" s="31" t="s">
        <v>1348</v>
      </c>
      <c r="E1371" s="16" t="s">
        <v>2102</v>
      </c>
      <c r="F1371" s="159" t="s">
        <v>26</v>
      </c>
      <c r="G1371" s="11">
        <f>F1371*21</f>
        <v>0</v>
      </c>
    </row>
    <row r="1372" spans="1:7" ht="15.75">
      <c r="A1372" s="6" t="s">
        <v>1343</v>
      </c>
      <c r="B1372" s="3" t="s">
        <v>22</v>
      </c>
      <c r="C1372" s="32" t="s">
        <v>31</v>
      </c>
      <c r="D1372" s="31" t="s">
        <v>1349</v>
      </c>
      <c r="E1372" s="16" t="s">
        <v>2102</v>
      </c>
      <c r="F1372" s="159" t="s">
        <v>26</v>
      </c>
      <c r="G1372" s="11">
        <f>F1372*5</f>
        <v>0</v>
      </c>
    </row>
    <row r="1373" spans="1:7" ht="15.75">
      <c r="A1373" s="6" t="s">
        <v>1350</v>
      </c>
      <c r="B1373" s="3" t="s">
        <v>22</v>
      </c>
      <c r="C1373" s="32" t="s">
        <v>27</v>
      </c>
      <c r="D1373" s="31" t="s">
        <v>1351</v>
      </c>
      <c r="E1373" s="16" t="s">
        <v>2102</v>
      </c>
      <c r="F1373" s="162">
        <v>305</v>
      </c>
      <c r="G1373" s="11">
        <f>F1373*34</f>
        <v>10370</v>
      </c>
    </row>
    <row r="1374" spans="1:7" ht="15.75">
      <c r="A1374" s="6" t="s">
        <v>1350</v>
      </c>
      <c r="B1374" s="3" t="s">
        <v>22</v>
      </c>
      <c r="C1374" s="32" t="s">
        <v>29</v>
      </c>
      <c r="D1374" s="31" t="s">
        <v>1352</v>
      </c>
      <c r="E1374" s="16" t="s">
        <v>2102</v>
      </c>
      <c r="F1374" s="161">
        <v>215</v>
      </c>
      <c r="G1374" s="11">
        <f>F1374*21</f>
        <v>4515</v>
      </c>
    </row>
    <row r="1375" spans="1:7" ht="15.75">
      <c r="A1375" s="6" t="s">
        <v>1350</v>
      </c>
      <c r="B1375" s="3" t="s">
        <v>22</v>
      </c>
      <c r="C1375" s="32" t="s">
        <v>31</v>
      </c>
      <c r="D1375" s="31" t="s">
        <v>1353</v>
      </c>
      <c r="E1375" s="16" t="s">
        <v>2102</v>
      </c>
      <c r="F1375" s="161">
        <v>15</v>
      </c>
      <c r="G1375" s="11">
        <f>F1375*5</f>
        <v>75</v>
      </c>
    </row>
    <row r="1376" spans="1:7" ht="15.75">
      <c r="A1376" s="6" t="s">
        <v>1350</v>
      </c>
      <c r="B1376" s="3" t="s">
        <v>22</v>
      </c>
      <c r="C1376" s="32" t="s">
        <v>27</v>
      </c>
      <c r="D1376" s="31" t="s">
        <v>1354</v>
      </c>
      <c r="E1376" s="16" t="s">
        <v>2102</v>
      </c>
      <c r="F1376" s="159" t="s">
        <v>26</v>
      </c>
      <c r="G1376" s="11">
        <f>F1376*34</f>
        <v>0</v>
      </c>
    </row>
    <row r="1377" spans="1:7" ht="15.75">
      <c r="A1377" s="6" t="s">
        <v>1350</v>
      </c>
      <c r="B1377" s="3" t="s">
        <v>22</v>
      </c>
      <c r="C1377" s="32" t="s">
        <v>29</v>
      </c>
      <c r="D1377" s="31" t="s">
        <v>1355</v>
      </c>
      <c r="E1377" s="16" t="s">
        <v>2102</v>
      </c>
      <c r="F1377" s="159" t="s">
        <v>26</v>
      </c>
      <c r="G1377" s="11">
        <f>F1377*21</f>
        <v>0</v>
      </c>
    </row>
    <row r="1378" spans="1:7" ht="15.75">
      <c r="A1378" s="6" t="s">
        <v>1350</v>
      </c>
      <c r="B1378" s="3" t="s">
        <v>22</v>
      </c>
      <c r="C1378" s="32" t="s">
        <v>31</v>
      </c>
      <c r="D1378" s="31" t="s">
        <v>1356</v>
      </c>
      <c r="E1378" s="16" t="s">
        <v>2102</v>
      </c>
      <c r="F1378" s="159" t="s">
        <v>26</v>
      </c>
      <c r="G1378" s="11">
        <f>F1378*5</f>
        <v>0</v>
      </c>
    </row>
    <row r="1379" spans="1:7" ht="15.75">
      <c r="A1379" s="6" t="s">
        <v>1350</v>
      </c>
      <c r="B1379" s="3" t="s">
        <v>22</v>
      </c>
      <c r="C1379" s="30" t="s">
        <v>131</v>
      </c>
      <c r="D1379" s="31" t="s">
        <v>949</v>
      </c>
      <c r="E1379" s="16" t="s">
        <v>2102</v>
      </c>
      <c r="F1379" s="159" t="s">
        <v>26</v>
      </c>
      <c r="G1379" s="11">
        <f>F1379*10</f>
        <v>0</v>
      </c>
    </row>
    <row r="1380" spans="1:7" ht="15.75">
      <c r="A1380" s="6" t="s">
        <v>1357</v>
      </c>
      <c r="B1380" s="3" t="s">
        <v>22</v>
      </c>
      <c r="C1380" s="32" t="s">
        <v>27</v>
      </c>
      <c r="D1380" s="31" t="s">
        <v>1358</v>
      </c>
      <c r="E1380" s="16" t="s">
        <v>2102</v>
      </c>
      <c r="F1380" s="162">
        <v>215</v>
      </c>
      <c r="G1380" s="11">
        <f>F1380*34</f>
        <v>7310</v>
      </c>
    </row>
    <row r="1381" spans="1:7" ht="15.75">
      <c r="A1381" s="6" t="s">
        <v>1357</v>
      </c>
      <c r="B1381" s="3" t="s">
        <v>22</v>
      </c>
      <c r="C1381" s="32" t="s">
        <v>29</v>
      </c>
      <c r="D1381" s="31" t="s">
        <v>1359</v>
      </c>
      <c r="E1381" s="16" t="s">
        <v>2102</v>
      </c>
      <c r="F1381" s="161">
        <v>84</v>
      </c>
      <c r="G1381" s="11">
        <f>F1381*21</f>
        <v>1764</v>
      </c>
    </row>
    <row r="1382" spans="1:7" ht="15.75">
      <c r="A1382" s="6" t="s">
        <v>1357</v>
      </c>
      <c r="B1382" s="3" t="s">
        <v>22</v>
      </c>
      <c r="C1382" s="32" t="s">
        <v>31</v>
      </c>
      <c r="D1382" s="31" t="s">
        <v>135</v>
      </c>
      <c r="E1382" s="16" t="s">
        <v>2102</v>
      </c>
      <c r="F1382" s="161">
        <v>21</v>
      </c>
      <c r="G1382" s="11">
        <f>F1382*5</f>
        <v>105</v>
      </c>
    </row>
    <row r="1383" spans="1:7" ht="15.75">
      <c r="A1383" s="6" t="s">
        <v>1357</v>
      </c>
      <c r="B1383" s="3" t="s">
        <v>22</v>
      </c>
      <c r="C1383" s="32" t="s">
        <v>27</v>
      </c>
      <c r="D1383" s="30">
        <v>3296</v>
      </c>
      <c r="E1383" s="16" t="s">
        <v>2102</v>
      </c>
      <c r="F1383" s="159" t="s">
        <v>26</v>
      </c>
      <c r="G1383" s="11">
        <f>F1383*34</f>
        <v>0</v>
      </c>
    </row>
    <row r="1384" spans="1:7" ht="15.75">
      <c r="A1384" s="6" t="s">
        <v>1357</v>
      </c>
      <c r="B1384" s="3" t="s">
        <v>22</v>
      </c>
      <c r="C1384" s="32" t="s">
        <v>29</v>
      </c>
      <c r="D1384" s="30">
        <v>3092</v>
      </c>
      <c r="E1384" s="16" t="s">
        <v>2102</v>
      </c>
      <c r="F1384" s="159" t="s">
        <v>26</v>
      </c>
      <c r="G1384" s="11">
        <f>F1384*21</f>
        <v>0</v>
      </c>
    </row>
    <row r="1385" spans="1:7" ht="15.75">
      <c r="A1385" s="6" t="s">
        <v>1357</v>
      </c>
      <c r="B1385" s="3" t="s">
        <v>22</v>
      </c>
      <c r="C1385" s="32" t="s">
        <v>31</v>
      </c>
      <c r="D1385" s="31" t="s">
        <v>1360</v>
      </c>
      <c r="E1385" s="16" t="s">
        <v>2102</v>
      </c>
      <c r="F1385" s="159" t="s">
        <v>26</v>
      </c>
      <c r="G1385" s="11">
        <f>F1385*5</f>
        <v>0</v>
      </c>
    </row>
    <row r="1386" spans="1:7" ht="15.75">
      <c r="A1386" s="6" t="s">
        <v>1361</v>
      </c>
      <c r="B1386" s="3" t="s">
        <v>22</v>
      </c>
      <c r="C1386" s="32" t="s">
        <v>27</v>
      </c>
      <c r="D1386" s="31" t="s">
        <v>1363</v>
      </c>
      <c r="E1386" s="16" t="s">
        <v>2102</v>
      </c>
      <c r="F1386" s="159" t="s">
        <v>26</v>
      </c>
      <c r="G1386" s="11">
        <f>F1386*34</f>
        <v>0</v>
      </c>
    </row>
    <row r="1387" spans="1:7" ht="15.75">
      <c r="A1387" s="6" t="s">
        <v>1361</v>
      </c>
      <c r="B1387" s="3" t="s">
        <v>22</v>
      </c>
      <c r="C1387" s="32" t="s">
        <v>29</v>
      </c>
      <c r="D1387" s="31" t="s">
        <v>1364</v>
      </c>
      <c r="E1387" s="16" t="s">
        <v>2102</v>
      </c>
      <c r="F1387" s="159" t="s">
        <v>26</v>
      </c>
      <c r="G1387" s="11">
        <f>F1387*21</f>
        <v>0</v>
      </c>
    </row>
    <row r="1388" spans="1:7" ht="15.75">
      <c r="A1388" s="6" t="s">
        <v>1361</v>
      </c>
      <c r="B1388" s="3" t="s">
        <v>22</v>
      </c>
      <c r="C1388" s="32" t="s">
        <v>31</v>
      </c>
      <c r="D1388" s="31" t="s">
        <v>553</v>
      </c>
      <c r="E1388" s="16" t="s">
        <v>2102</v>
      </c>
      <c r="F1388" s="159" t="s">
        <v>26</v>
      </c>
      <c r="G1388" s="11">
        <f>F1388*5</f>
        <v>0</v>
      </c>
    </row>
    <row r="1389" spans="1:7" ht="15.75">
      <c r="A1389" s="6" t="s">
        <v>1361</v>
      </c>
      <c r="B1389" s="3" t="s">
        <v>22</v>
      </c>
      <c r="C1389" s="32" t="s">
        <v>27</v>
      </c>
      <c r="D1389" s="31" t="s">
        <v>355</v>
      </c>
      <c r="E1389" s="16" t="s">
        <v>2102</v>
      </c>
      <c r="F1389" s="162">
        <v>208</v>
      </c>
      <c r="G1389" s="11">
        <f>F1389*34</f>
        <v>7072</v>
      </c>
    </row>
    <row r="1390" spans="1:7" ht="15.75">
      <c r="A1390" s="6" t="s">
        <v>1361</v>
      </c>
      <c r="B1390" s="3" t="s">
        <v>22</v>
      </c>
      <c r="C1390" s="32" t="s">
        <v>29</v>
      </c>
      <c r="D1390" s="31" t="s">
        <v>564</v>
      </c>
      <c r="E1390" s="16" t="s">
        <v>2102</v>
      </c>
      <c r="F1390" s="161">
        <v>101</v>
      </c>
      <c r="G1390" s="11">
        <f>F1390*21</f>
        <v>2121</v>
      </c>
    </row>
    <row r="1391" spans="1:7" ht="15.75">
      <c r="A1391" s="6" t="s">
        <v>1361</v>
      </c>
      <c r="B1391" s="3" t="s">
        <v>22</v>
      </c>
      <c r="C1391" s="32" t="s">
        <v>31</v>
      </c>
      <c r="D1391" s="31" t="s">
        <v>1043</v>
      </c>
      <c r="E1391" s="16" t="s">
        <v>2102</v>
      </c>
      <c r="F1391" s="161">
        <v>22</v>
      </c>
      <c r="G1391" s="11">
        <f>F1391*5</f>
        <v>110</v>
      </c>
    </row>
    <row r="1392" spans="1:7" ht="15.75">
      <c r="A1392" s="6" t="s">
        <v>1361</v>
      </c>
      <c r="B1392" s="3" t="s">
        <v>22</v>
      </c>
      <c r="C1392" s="32" t="s">
        <v>27</v>
      </c>
      <c r="D1392" s="31" t="s">
        <v>1147</v>
      </c>
      <c r="E1392" s="16" t="s">
        <v>2102</v>
      </c>
      <c r="F1392" s="159" t="s">
        <v>26</v>
      </c>
      <c r="G1392" s="11">
        <f>F1392*34</f>
        <v>0</v>
      </c>
    </row>
    <row r="1393" spans="1:7" ht="15.75">
      <c r="A1393" s="6" t="s">
        <v>1361</v>
      </c>
      <c r="B1393" s="3" t="s">
        <v>22</v>
      </c>
      <c r="C1393" s="32" t="s">
        <v>29</v>
      </c>
      <c r="D1393" s="31" t="s">
        <v>1365</v>
      </c>
      <c r="E1393" s="16" t="s">
        <v>2102</v>
      </c>
      <c r="F1393" s="159" t="s">
        <v>26</v>
      </c>
      <c r="G1393" s="11">
        <f>F1393*21</f>
        <v>0</v>
      </c>
    </row>
    <row r="1394" spans="1:7" ht="15.75">
      <c r="A1394" s="6" t="s">
        <v>1361</v>
      </c>
      <c r="B1394" s="3" t="s">
        <v>22</v>
      </c>
      <c r="C1394" s="30" t="s">
        <v>131</v>
      </c>
      <c r="D1394" s="31" t="s">
        <v>1366</v>
      </c>
      <c r="E1394" s="16" t="s">
        <v>2102</v>
      </c>
      <c r="F1394" s="159" t="s">
        <v>26</v>
      </c>
      <c r="G1394" s="11">
        <f>F1394*10</f>
        <v>0</v>
      </c>
    </row>
    <row r="1395" spans="1:7" ht="15.75">
      <c r="A1395" s="6" t="s">
        <v>1361</v>
      </c>
      <c r="B1395" s="3" t="s">
        <v>22</v>
      </c>
      <c r="C1395" s="32" t="s">
        <v>27</v>
      </c>
      <c r="D1395" s="31" t="s">
        <v>634</v>
      </c>
      <c r="E1395" s="16" t="s">
        <v>2102</v>
      </c>
      <c r="F1395" s="159" t="s">
        <v>26</v>
      </c>
      <c r="G1395" s="11">
        <f>F1395*34</f>
        <v>0</v>
      </c>
    </row>
    <row r="1396" spans="1:7" ht="15.75">
      <c r="A1396" s="6" t="s">
        <v>1361</v>
      </c>
      <c r="B1396" s="3" t="s">
        <v>22</v>
      </c>
      <c r="C1396" s="32" t="s">
        <v>29</v>
      </c>
      <c r="D1396" s="31" t="s">
        <v>1368</v>
      </c>
      <c r="E1396" s="16" t="s">
        <v>2102</v>
      </c>
      <c r="F1396" s="159" t="s">
        <v>26</v>
      </c>
      <c r="G1396" s="11">
        <f>F1396*21</f>
        <v>0</v>
      </c>
    </row>
    <row r="1397" spans="1:7" ht="15.75">
      <c r="A1397" s="6" t="s">
        <v>1361</v>
      </c>
      <c r="B1397" s="3" t="s">
        <v>22</v>
      </c>
      <c r="C1397" s="32" t="s">
        <v>31</v>
      </c>
      <c r="D1397" s="31" t="s">
        <v>1369</v>
      </c>
      <c r="E1397" s="16" t="s">
        <v>2102</v>
      </c>
      <c r="F1397" s="159" t="s">
        <v>26</v>
      </c>
      <c r="G1397" s="11">
        <f>F1397*5</f>
        <v>0</v>
      </c>
    </row>
    <row r="1398" spans="1:7" ht="15.75">
      <c r="A1398" s="6" t="s">
        <v>1361</v>
      </c>
      <c r="B1398" s="3" t="s">
        <v>22</v>
      </c>
      <c r="C1398" s="32" t="s">
        <v>27</v>
      </c>
      <c r="D1398" s="31" t="s">
        <v>634</v>
      </c>
      <c r="E1398" s="16" t="s">
        <v>2102</v>
      </c>
      <c r="F1398" s="159" t="s">
        <v>26</v>
      </c>
      <c r="G1398" s="11">
        <f>F1398*34</f>
        <v>0</v>
      </c>
    </row>
    <row r="1399" spans="1:7" ht="15.75">
      <c r="A1399" s="6" t="s">
        <v>1361</v>
      </c>
      <c r="B1399" s="3" t="s">
        <v>22</v>
      </c>
      <c r="C1399" s="32" t="s">
        <v>29</v>
      </c>
      <c r="D1399" s="31" t="s">
        <v>1368</v>
      </c>
      <c r="E1399" s="16" t="s">
        <v>2102</v>
      </c>
      <c r="F1399" s="159" t="s">
        <v>26</v>
      </c>
      <c r="G1399" s="11">
        <f>F1399*21</f>
        <v>0</v>
      </c>
    </row>
    <row r="1400" spans="1:7" ht="15.75">
      <c r="A1400" s="6" t="s">
        <v>1361</v>
      </c>
      <c r="B1400" s="3" t="s">
        <v>22</v>
      </c>
      <c r="C1400" s="32" t="s">
        <v>31</v>
      </c>
      <c r="D1400" s="31" t="s">
        <v>1369</v>
      </c>
      <c r="E1400" s="16" t="s">
        <v>2102</v>
      </c>
      <c r="F1400" s="159" t="s">
        <v>26</v>
      </c>
      <c r="G1400" s="11">
        <f>F1400*5</f>
        <v>0</v>
      </c>
    </row>
    <row r="1401" spans="1:7" ht="15.75">
      <c r="A1401" s="6" t="s">
        <v>1361</v>
      </c>
      <c r="B1401" s="3" t="s">
        <v>22</v>
      </c>
      <c r="C1401" s="32" t="s">
        <v>27</v>
      </c>
      <c r="D1401" s="7" t="s">
        <v>1370</v>
      </c>
      <c r="E1401" s="16" t="s">
        <v>2102</v>
      </c>
      <c r="F1401" s="159" t="s">
        <v>26</v>
      </c>
      <c r="G1401" s="11">
        <f>F1401*34</f>
        <v>0</v>
      </c>
    </row>
    <row r="1402" spans="1:7" ht="15.75">
      <c r="A1402" s="6" t="s">
        <v>1361</v>
      </c>
      <c r="B1402" s="3" t="s">
        <v>22</v>
      </c>
      <c r="C1402" s="32" t="s">
        <v>29</v>
      </c>
      <c r="D1402" s="7" t="s">
        <v>1371</v>
      </c>
      <c r="E1402" s="16" t="s">
        <v>2102</v>
      </c>
      <c r="F1402" s="159" t="s">
        <v>26</v>
      </c>
      <c r="G1402" s="11">
        <f>F1402*21</f>
        <v>0</v>
      </c>
    </row>
    <row r="1403" spans="1:7" ht="15.75">
      <c r="A1403" s="6" t="s">
        <v>1361</v>
      </c>
      <c r="B1403" s="3" t="s">
        <v>22</v>
      </c>
      <c r="C1403" s="32" t="s">
        <v>31</v>
      </c>
      <c r="D1403" s="7" t="s">
        <v>1150</v>
      </c>
      <c r="E1403" s="16" t="s">
        <v>2102</v>
      </c>
      <c r="F1403" s="159" t="s">
        <v>26</v>
      </c>
      <c r="G1403" s="11">
        <f>F1403*5</f>
        <v>0</v>
      </c>
    </row>
    <row r="1404" spans="1:7" ht="15.75">
      <c r="A1404" s="6" t="s">
        <v>1361</v>
      </c>
      <c r="B1404" s="3" t="s">
        <v>22</v>
      </c>
      <c r="C1404" s="1" t="s">
        <v>131</v>
      </c>
      <c r="D1404" s="7" t="s">
        <v>1372</v>
      </c>
      <c r="E1404" s="16" t="s">
        <v>2102</v>
      </c>
      <c r="F1404" s="159" t="s">
        <v>26</v>
      </c>
      <c r="G1404" s="11">
        <f>F1404*10</f>
        <v>0</v>
      </c>
    </row>
    <row r="1405" spans="1:7" ht="15.75">
      <c r="A1405" s="6" t="s">
        <v>1361</v>
      </c>
      <c r="B1405" s="3" t="s">
        <v>22</v>
      </c>
      <c r="C1405" s="32" t="s">
        <v>27</v>
      </c>
      <c r="D1405" s="7" t="s">
        <v>1373</v>
      </c>
      <c r="E1405" s="16" t="s">
        <v>2102</v>
      </c>
      <c r="F1405" s="159" t="s">
        <v>26</v>
      </c>
      <c r="G1405" s="11">
        <f>F1405*34</f>
        <v>0</v>
      </c>
    </row>
    <row r="1406" spans="1:7" ht="15.75">
      <c r="A1406" s="6" t="s">
        <v>1361</v>
      </c>
      <c r="B1406" s="3" t="s">
        <v>22</v>
      </c>
      <c r="C1406" s="32" t="s">
        <v>29</v>
      </c>
      <c r="D1406" s="7" t="s">
        <v>1374</v>
      </c>
      <c r="E1406" s="16" t="s">
        <v>2102</v>
      </c>
      <c r="F1406" s="159" t="s">
        <v>26</v>
      </c>
      <c r="G1406" s="11">
        <f>F1406*21</f>
        <v>0</v>
      </c>
    </row>
    <row r="1407" spans="1:7" ht="15.75">
      <c r="A1407" s="6" t="s">
        <v>1361</v>
      </c>
      <c r="B1407" s="3" t="s">
        <v>22</v>
      </c>
      <c r="C1407" s="32" t="s">
        <v>31</v>
      </c>
      <c r="D1407" s="7" t="s">
        <v>931</v>
      </c>
      <c r="E1407" s="16" t="s">
        <v>2102</v>
      </c>
      <c r="F1407" s="159" t="s">
        <v>26</v>
      </c>
      <c r="G1407" s="11">
        <f>F1407*5</f>
        <v>0</v>
      </c>
    </row>
    <row r="1408" spans="1:7" ht="15.75">
      <c r="A1408" s="1" t="s">
        <v>1375</v>
      </c>
      <c r="B1408" s="3" t="s">
        <v>22</v>
      </c>
      <c r="C1408" s="32" t="s">
        <v>27</v>
      </c>
      <c r="D1408" s="7" t="s">
        <v>1376</v>
      </c>
      <c r="E1408" s="16" t="s">
        <v>2102</v>
      </c>
      <c r="F1408" s="159" t="s">
        <v>26</v>
      </c>
      <c r="G1408" s="11">
        <f>F1408*34</f>
        <v>0</v>
      </c>
    </row>
    <row r="1409" spans="1:7" ht="15.75">
      <c r="A1409" s="1" t="s">
        <v>1375</v>
      </c>
      <c r="B1409" s="3" t="s">
        <v>22</v>
      </c>
      <c r="C1409" s="32" t="s">
        <v>29</v>
      </c>
      <c r="D1409" s="7" t="s">
        <v>1377</v>
      </c>
      <c r="E1409" s="16" t="s">
        <v>2102</v>
      </c>
      <c r="F1409" s="159" t="s">
        <v>26</v>
      </c>
      <c r="G1409" s="11">
        <f>F1409*21</f>
        <v>0</v>
      </c>
    </row>
    <row r="1410" spans="1:7" ht="15.75">
      <c r="A1410" s="1" t="s">
        <v>1375</v>
      </c>
      <c r="B1410" s="3" t="s">
        <v>22</v>
      </c>
      <c r="C1410" s="32" t="s">
        <v>31</v>
      </c>
      <c r="D1410" s="7" t="s">
        <v>1378</v>
      </c>
      <c r="E1410" s="16" t="s">
        <v>2102</v>
      </c>
      <c r="F1410" s="159" t="s">
        <v>26</v>
      </c>
      <c r="G1410" s="11">
        <f>F1410*5</f>
        <v>0</v>
      </c>
    </row>
    <row r="1411" spans="1:7" ht="15.75">
      <c r="A1411" s="1" t="s">
        <v>1375</v>
      </c>
      <c r="B1411" s="3" t="s">
        <v>22</v>
      </c>
      <c r="C1411" s="32" t="s">
        <v>27</v>
      </c>
      <c r="D1411" s="7" t="s">
        <v>482</v>
      </c>
      <c r="E1411" s="16" t="s">
        <v>2102</v>
      </c>
      <c r="F1411" s="159" t="s">
        <v>26</v>
      </c>
      <c r="G1411" s="11">
        <f>F1411*34</f>
        <v>0</v>
      </c>
    </row>
    <row r="1412" spans="1:7" ht="15.75">
      <c r="A1412" s="1" t="s">
        <v>1375</v>
      </c>
      <c r="B1412" s="3" t="s">
        <v>22</v>
      </c>
      <c r="C1412" s="32" t="s">
        <v>29</v>
      </c>
      <c r="D1412" s="7" t="s">
        <v>1379</v>
      </c>
      <c r="E1412" s="16" t="s">
        <v>2102</v>
      </c>
      <c r="F1412" s="159" t="s">
        <v>26</v>
      </c>
      <c r="G1412" s="11">
        <f>F1412*21</f>
        <v>0</v>
      </c>
    </row>
    <row r="1413" spans="1:7" ht="15.75">
      <c r="A1413" s="1" t="s">
        <v>1375</v>
      </c>
      <c r="B1413" s="3" t="s">
        <v>22</v>
      </c>
      <c r="C1413" s="32" t="s">
        <v>31</v>
      </c>
      <c r="D1413" s="7" t="s">
        <v>1380</v>
      </c>
      <c r="E1413" s="16" t="s">
        <v>2102</v>
      </c>
      <c r="F1413" s="159" t="s">
        <v>26</v>
      </c>
      <c r="G1413" s="11">
        <f>F1413*5</f>
        <v>0</v>
      </c>
    </row>
    <row r="1414" spans="1:7" ht="15.75">
      <c r="A1414" s="1" t="s">
        <v>1375</v>
      </c>
      <c r="B1414" s="3" t="s">
        <v>22</v>
      </c>
      <c r="C1414" s="32" t="s">
        <v>27</v>
      </c>
      <c r="D1414" s="7" t="s">
        <v>628</v>
      </c>
      <c r="E1414" s="16" t="s">
        <v>2102</v>
      </c>
      <c r="F1414" s="159" t="s">
        <v>26</v>
      </c>
      <c r="G1414" s="11">
        <f>F1414*34</f>
        <v>0</v>
      </c>
    </row>
    <row r="1415" spans="1:7" ht="15.75">
      <c r="A1415" s="1" t="s">
        <v>1375</v>
      </c>
      <c r="B1415" s="3" t="s">
        <v>22</v>
      </c>
      <c r="C1415" s="32" t="s">
        <v>29</v>
      </c>
      <c r="D1415" s="7" t="s">
        <v>806</v>
      </c>
      <c r="E1415" s="16" t="s">
        <v>2102</v>
      </c>
      <c r="F1415" s="159" t="s">
        <v>26</v>
      </c>
      <c r="G1415" s="11">
        <f>F1415*21</f>
        <v>0</v>
      </c>
    </row>
    <row r="1416" spans="1:7" ht="15.75">
      <c r="A1416" s="1" t="s">
        <v>1375</v>
      </c>
      <c r="B1416" s="3" t="s">
        <v>22</v>
      </c>
      <c r="C1416" s="32" t="s">
        <v>31</v>
      </c>
      <c r="D1416" s="7" t="s">
        <v>1381</v>
      </c>
      <c r="E1416" s="16" t="s">
        <v>2102</v>
      </c>
      <c r="F1416" s="159" t="s">
        <v>26</v>
      </c>
      <c r="G1416" s="11">
        <f>F1416*5</f>
        <v>0</v>
      </c>
    </row>
    <row r="1417" spans="1:7" ht="15.75">
      <c r="A1417" s="1" t="s">
        <v>1375</v>
      </c>
      <c r="B1417" s="3" t="s">
        <v>22</v>
      </c>
      <c r="C1417" s="32" t="s">
        <v>27</v>
      </c>
      <c r="D1417" s="7" t="s">
        <v>1382</v>
      </c>
      <c r="E1417" s="16" t="s">
        <v>2102</v>
      </c>
      <c r="F1417" s="162">
        <v>228</v>
      </c>
      <c r="G1417" s="11">
        <f>F1417*34</f>
        <v>7752</v>
      </c>
    </row>
    <row r="1418" spans="1:7" ht="15.75">
      <c r="A1418" s="1" t="s">
        <v>1375</v>
      </c>
      <c r="B1418" s="3" t="s">
        <v>22</v>
      </c>
      <c r="C1418" s="32" t="s">
        <v>29</v>
      </c>
      <c r="D1418" s="7" t="s">
        <v>827</v>
      </c>
      <c r="E1418" s="16" t="s">
        <v>2102</v>
      </c>
      <c r="F1418" s="161">
        <v>74</v>
      </c>
      <c r="G1418" s="11">
        <f>F1418*21</f>
        <v>1554</v>
      </c>
    </row>
    <row r="1419" spans="1:7" ht="15.75">
      <c r="A1419" s="1" t="s">
        <v>1375</v>
      </c>
      <c r="B1419" s="3" t="s">
        <v>22</v>
      </c>
      <c r="C1419" s="32" t="s">
        <v>27</v>
      </c>
      <c r="D1419" s="7" t="s">
        <v>1383</v>
      </c>
      <c r="E1419" s="16" t="s">
        <v>2102</v>
      </c>
      <c r="F1419" s="161">
        <v>35</v>
      </c>
      <c r="G1419" s="11">
        <f>F1419*34</f>
        <v>1190</v>
      </c>
    </row>
    <row r="1420" spans="1:7" ht="15.75">
      <c r="A1420" s="1" t="s">
        <v>1375</v>
      </c>
      <c r="B1420" s="3" t="s">
        <v>22</v>
      </c>
      <c r="C1420" s="32" t="s">
        <v>29</v>
      </c>
      <c r="D1420" s="7" t="s">
        <v>721</v>
      </c>
      <c r="E1420" s="16" t="s">
        <v>2102</v>
      </c>
      <c r="F1420" s="159" t="s">
        <v>26</v>
      </c>
      <c r="G1420" s="11">
        <f>F1420*21</f>
        <v>0</v>
      </c>
    </row>
    <row r="1421" spans="1:7" ht="15.75">
      <c r="A1421" s="1" t="s">
        <v>1375</v>
      </c>
      <c r="B1421" s="3" t="s">
        <v>22</v>
      </c>
      <c r="C1421" s="32" t="s">
        <v>31</v>
      </c>
      <c r="D1421" s="7" t="s">
        <v>1384</v>
      </c>
      <c r="E1421" s="16" t="s">
        <v>2102</v>
      </c>
      <c r="F1421" s="159" t="s">
        <v>26</v>
      </c>
      <c r="G1421" s="11">
        <f>F1421*5</f>
        <v>0</v>
      </c>
    </row>
    <row r="1422" spans="1:7" ht="15.75">
      <c r="A1422" s="1" t="s">
        <v>1385</v>
      </c>
      <c r="B1422" s="3" t="s">
        <v>22</v>
      </c>
      <c r="C1422" s="32" t="s">
        <v>27</v>
      </c>
      <c r="D1422" s="7" t="s">
        <v>1244</v>
      </c>
      <c r="E1422" s="16" t="s">
        <v>2102</v>
      </c>
      <c r="F1422" s="162">
        <v>225</v>
      </c>
      <c r="G1422" s="11">
        <f>F1422*34</f>
        <v>7650</v>
      </c>
    </row>
    <row r="1423" spans="1:7" ht="15.75">
      <c r="A1423" s="1" t="s">
        <v>1385</v>
      </c>
      <c r="B1423" s="3" t="s">
        <v>22</v>
      </c>
      <c r="C1423" s="32" t="s">
        <v>29</v>
      </c>
      <c r="D1423" s="7" t="s">
        <v>264</v>
      </c>
      <c r="E1423" s="16" t="s">
        <v>2102</v>
      </c>
      <c r="F1423" s="161">
        <v>65</v>
      </c>
      <c r="G1423" s="11">
        <f>F1423*21</f>
        <v>1365</v>
      </c>
    </row>
    <row r="1424" spans="1:7" ht="15.75">
      <c r="A1424" s="1" t="s">
        <v>1385</v>
      </c>
      <c r="B1424" s="3" t="s">
        <v>22</v>
      </c>
      <c r="C1424" s="32" t="s">
        <v>31</v>
      </c>
      <c r="D1424" s="7" t="s">
        <v>1386</v>
      </c>
      <c r="E1424" s="16" t="s">
        <v>2102</v>
      </c>
      <c r="F1424" s="161">
        <v>620</v>
      </c>
      <c r="G1424" s="11">
        <f>F1424*5</f>
        <v>3100</v>
      </c>
    </row>
    <row r="1425" spans="1:7" ht="15.75">
      <c r="A1425" s="1" t="s">
        <v>1385</v>
      </c>
      <c r="B1425" s="3" t="s">
        <v>22</v>
      </c>
      <c r="C1425" s="32" t="s">
        <v>27</v>
      </c>
      <c r="D1425" s="7" t="s">
        <v>996</v>
      </c>
      <c r="E1425" s="16" t="s">
        <v>2102</v>
      </c>
      <c r="F1425" s="159" t="s">
        <v>26</v>
      </c>
      <c r="G1425" s="11">
        <f>F1425*34</f>
        <v>0</v>
      </c>
    </row>
    <row r="1426" spans="1:7" ht="15.75">
      <c r="A1426" s="1" t="s">
        <v>1385</v>
      </c>
      <c r="B1426" s="3" t="s">
        <v>22</v>
      </c>
      <c r="C1426" s="32" t="s">
        <v>29</v>
      </c>
      <c r="D1426" s="7" t="s">
        <v>1387</v>
      </c>
      <c r="E1426" s="16" t="s">
        <v>2102</v>
      </c>
      <c r="F1426" s="159" t="s">
        <v>26</v>
      </c>
      <c r="G1426" s="11">
        <f>F1426*21</f>
        <v>0</v>
      </c>
    </row>
    <row r="1427" spans="1:7" ht="15.75">
      <c r="A1427" s="1" t="s">
        <v>1385</v>
      </c>
      <c r="B1427" s="3" t="s">
        <v>22</v>
      </c>
      <c r="C1427" s="32" t="s">
        <v>31</v>
      </c>
      <c r="D1427" s="7" t="s">
        <v>1388</v>
      </c>
      <c r="E1427" s="16" t="s">
        <v>2102</v>
      </c>
      <c r="F1427" s="159" t="s">
        <v>26</v>
      </c>
      <c r="G1427" s="11">
        <f>F1427*5</f>
        <v>0</v>
      </c>
    </row>
    <row r="1428" spans="1:7" ht="15.75">
      <c r="A1428" s="1" t="s">
        <v>1385</v>
      </c>
      <c r="B1428" s="3" t="s">
        <v>22</v>
      </c>
      <c r="C1428" s="32" t="s">
        <v>27</v>
      </c>
      <c r="D1428" s="35">
        <v>958</v>
      </c>
      <c r="E1428" s="16" t="s">
        <v>2102</v>
      </c>
      <c r="F1428" s="159" t="s">
        <v>26</v>
      </c>
      <c r="G1428" s="11">
        <f>F1428*34</f>
        <v>0</v>
      </c>
    </row>
    <row r="1429" spans="1:7" ht="15.75">
      <c r="A1429" s="1" t="s">
        <v>1385</v>
      </c>
      <c r="B1429" s="3" t="s">
        <v>22</v>
      </c>
      <c r="C1429" s="32" t="s">
        <v>29</v>
      </c>
      <c r="D1429" s="35">
        <v>2371</v>
      </c>
      <c r="E1429" s="16" t="s">
        <v>2102</v>
      </c>
      <c r="F1429" s="159" t="s">
        <v>26</v>
      </c>
      <c r="G1429" s="11">
        <f>F1429*21</f>
        <v>0</v>
      </c>
    </row>
    <row r="1430" spans="1:7" ht="15.75">
      <c r="A1430" s="1" t="s">
        <v>1385</v>
      </c>
      <c r="B1430" s="3" t="s">
        <v>22</v>
      </c>
      <c r="C1430" s="32" t="s">
        <v>27</v>
      </c>
      <c r="D1430" s="7" t="s">
        <v>1389</v>
      </c>
      <c r="E1430" s="16" t="s">
        <v>2102</v>
      </c>
      <c r="F1430" s="159" t="s">
        <v>26</v>
      </c>
      <c r="G1430" s="11">
        <f>F1430*34</f>
        <v>0</v>
      </c>
    </row>
    <row r="1431" spans="1:7" ht="15.75">
      <c r="A1431" s="1" t="s">
        <v>1385</v>
      </c>
      <c r="B1431" s="3" t="s">
        <v>22</v>
      </c>
      <c r="C1431" s="32" t="s">
        <v>29</v>
      </c>
      <c r="D1431" s="7" t="s">
        <v>1390</v>
      </c>
      <c r="E1431" s="16" t="s">
        <v>2102</v>
      </c>
      <c r="F1431" s="159" t="s">
        <v>26</v>
      </c>
      <c r="G1431" s="11">
        <f>F1431*21</f>
        <v>0</v>
      </c>
    </row>
    <row r="1432" spans="1:7" ht="15.75">
      <c r="A1432" s="1" t="s">
        <v>1385</v>
      </c>
      <c r="B1432" s="3" t="s">
        <v>22</v>
      </c>
      <c r="C1432" s="32" t="s">
        <v>31</v>
      </c>
      <c r="D1432" s="7" t="s">
        <v>1151</v>
      </c>
      <c r="E1432" s="16" t="s">
        <v>2102</v>
      </c>
      <c r="F1432" s="159" t="s">
        <v>26</v>
      </c>
      <c r="G1432" s="11">
        <f>F1432*5</f>
        <v>0</v>
      </c>
    </row>
    <row r="1433" spans="1:7" ht="15.75">
      <c r="A1433" s="1" t="s">
        <v>1385</v>
      </c>
      <c r="B1433" s="3" t="s">
        <v>22</v>
      </c>
      <c r="C1433" s="32" t="s">
        <v>27</v>
      </c>
      <c r="D1433" s="7" t="s">
        <v>1391</v>
      </c>
      <c r="E1433" s="16" t="s">
        <v>2102</v>
      </c>
      <c r="F1433" s="159" t="s">
        <v>26</v>
      </c>
      <c r="G1433" s="11">
        <f>F1433*34</f>
        <v>0</v>
      </c>
    </row>
    <row r="1434" spans="1:7" ht="15.75">
      <c r="A1434" s="1" t="s">
        <v>1385</v>
      </c>
      <c r="B1434" s="3" t="s">
        <v>22</v>
      </c>
      <c r="C1434" s="32" t="s">
        <v>29</v>
      </c>
      <c r="D1434" s="7" t="s">
        <v>1392</v>
      </c>
      <c r="E1434" s="16" t="s">
        <v>2102</v>
      </c>
      <c r="F1434" s="159" t="s">
        <v>26</v>
      </c>
      <c r="G1434" s="11">
        <f>F1434*21</f>
        <v>0</v>
      </c>
    </row>
    <row r="1435" spans="1:7" ht="15.75">
      <c r="A1435" s="1" t="s">
        <v>1385</v>
      </c>
      <c r="B1435" s="3" t="s">
        <v>22</v>
      </c>
      <c r="C1435" s="32" t="s">
        <v>31</v>
      </c>
      <c r="D1435" s="7" t="s">
        <v>1393</v>
      </c>
      <c r="E1435" s="16" t="s">
        <v>2102</v>
      </c>
      <c r="F1435" s="159" t="s">
        <v>26</v>
      </c>
      <c r="G1435" s="11">
        <f>F1435*5</f>
        <v>0</v>
      </c>
    </row>
    <row r="1436" spans="1:7" ht="15.75">
      <c r="A1436" s="1" t="s">
        <v>1385</v>
      </c>
      <c r="B1436" s="3" t="s">
        <v>22</v>
      </c>
      <c r="C1436" s="32" t="s">
        <v>27</v>
      </c>
      <c r="D1436" s="7" t="s">
        <v>1394</v>
      </c>
      <c r="E1436" s="16" t="s">
        <v>2102</v>
      </c>
      <c r="F1436" s="159" t="s">
        <v>26</v>
      </c>
      <c r="G1436" s="11">
        <f>F1436*34</f>
        <v>0</v>
      </c>
    </row>
    <row r="1437" spans="1:7" ht="15.75">
      <c r="A1437" s="1" t="s">
        <v>1385</v>
      </c>
      <c r="B1437" s="3" t="s">
        <v>22</v>
      </c>
      <c r="C1437" s="32" t="s">
        <v>29</v>
      </c>
      <c r="D1437" s="7" t="s">
        <v>1395</v>
      </c>
      <c r="E1437" s="16" t="s">
        <v>2102</v>
      </c>
      <c r="F1437" s="159" t="s">
        <v>26</v>
      </c>
      <c r="G1437" s="11">
        <f>F1437*21</f>
        <v>0</v>
      </c>
    </row>
    <row r="1438" spans="1:7" ht="15.75">
      <c r="A1438" s="1" t="s">
        <v>1385</v>
      </c>
      <c r="B1438" s="3" t="s">
        <v>22</v>
      </c>
      <c r="C1438" s="32" t="s">
        <v>31</v>
      </c>
      <c r="D1438" s="7" t="s">
        <v>568</v>
      </c>
      <c r="E1438" s="16" t="s">
        <v>2102</v>
      </c>
      <c r="F1438" s="159" t="s">
        <v>26</v>
      </c>
      <c r="G1438" s="11">
        <f>F1438*5</f>
        <v>0</v>
      </c>
    </row>
    <row r="1439" spans="1:7" ht="15.75">
      <c r="A1439" s="1" t="s">
        <v>1385</v>
      </c>
      <c r="B1439" s="3" t="s">
        <v>22</v>
      </c>
      <c r="C1439" s="32" t="s">
        <v>27</v>
      </c>
      <c r="D1439" s="7" t="s">
        <v>1396</v>
      </c>
      <c r="E1439" s="16" t="s">
        <v>2102</v>
      </c>
      <c r="F1439" s="159" t="s">
        <v>26</v>
      </c>
      <c r="G1439" s="11">
        <f>F1439*34</f>
        <v>0</v>
      </c>
    </row>
    <row r="1440" spans="1:7" ht="15.75">
      <c r="A1440" s="1" t="s">
        <v>1385</v>
      </c>
      <c r="B1440" s="3" t="s">
        <v>22</v>
      </c>
      <c r="C1440" s="32" t="s">
        <v>29</v>
      </c>
      <c r="D1440" s="7" t="s">
        <v>251</v>
      </c>
      <c r="E1440" s="16" t="s">
        <v>2102</v>
      </c>
      <c r="F1440" s="159" t="s">
        <v>26</v>
      </c>
      <c r="G1440" s="11">
        <f>F1440*21</f>
        <v>0</v>
      </c>
    </row>
    <row r="1441" spans="1:7" ht="15.75">
      <c r="A1441" s="1" t="s">
        <v>1385</v>
      </c>
      <c r="B1441" s="3" t="s">
        <v>22</v>
      </c>
      <c r="C1441" s="32" t="s">
        <v>31</v>
      </c>
      <c r="D1441" s="7" t="s">
        <v>1397</v>
      </c>
      <c r="E1441" s="16" t="s">
        <v>2102</v>
      </c>
      <c r="F1441" s="159" t="s">
        <v>26</v>
      </c>
      <c r="G1441" s="11">
        <f>F1441*5</f>
        <v>0</v>
      </c>
    </row>
    <row r="1442" spans="1:7" ht="15.75">
      <c r="A1442" s="1" t="s">
        <v>1398</v>
      </c>
      <c r="B1442" s="3" t="s">
        <v>22</v>
      </c>
      <c r="C1442" s="32" t="s">
        <v>27</v>
      </c>
      <c r="D1442" s="7" t="s">
        <v>417</v>
      </c>
      <c r="E1442" s="16" t="s">
        <v>2102</v>
      </c>
      <c r="F1442" s="159" t="s">
        <v>26</v>
      </c>
      <c r="G1442" s="11">
        <f>F1442*34</f>
        <v>0</v>
      </c>
    </row>
    <row r="1443" spans="1:7" ht="15.75">
      <c r="A1443" s="1" t="s">
        <v>1398</v>
      </c>
      <c r="B1443" s="3" t="s">
        <v>22</v>
      </c>
      <c r="C1443" s="32" t="s">
        <v>29</v>
      </c>
      <c r="D1443" s="7" t="s">
        <v>1400</v>
      </c>
      <c r="E1443" s="16" t="s">
        <v>2102</v>
      </c>
      <c r="F1443" s="159" t="s">
        <v>26</v>
      </c>
      <c r="G1443" s="11">
        <f>F1443*21</f>
        <v>0</v>
      </c>
    </row>
    <row r="1444" spans="1:7" ht="15.75">
      <c r="A1444" s="1" t="s">
        <v>1398</v>
      </c>
      <c r="B1444" s="3" t="s">
        <v>22</v>
      </c>
      <c r="C1444" s="32" t="s">
        <v>31</v>
      </c>
      <c r="D1444" s="7" t="s">
        <v>1401</v>
      </c>
      <c r="E1444" s="16" t="s">
        <v>2102</v>
      </c>
      <c r="F1444" s="159" t="s">
        <v>26</v>
      </c>
      <c r="G1444" s="11">
        <f>F1444*5</f>
        <v>0</v>
      </c>
    </row>
    <row r="1445" spans="1:7" ht="15.75">
      <c r="A1445" s="1" t="s">
        <v>1398</v>
      </c>
      <c r="B1445" s="3" t="s">
        <v>22</v>
      </c>
      <c r="C1445" s="32" t="s">
        <v>27</v>
      </c>
      <c r="D1445" s="7" t="s">
        <v>1402</v>
      </c>
      <c r="E1445" s="16" t="s">
        <v>2102</v>
      </c>
      <c r="F1445" s="162">
        <v>125</v>
      </c>
      <c r="G1445" s="11">
        <f>F1445*34</f>
        <v>4250</v>
      </c>
    </row>
    <row r="1446" spans="1:7" ht="15.75">
      <c r="A1446" s="1" t="s">
        <v>1398</v>
      </c>
      <c r="B1446" s="3" t="s">
        <v>22</v>
      </c>
      <c r="C1446" s="32" t="s">
        <v>29</v>
      </c>
      <c r="D1446" s="7" t="s">
        <v>1403</v>
      </c>
      <c r="E1446" s="16" t="s">
        <v>2102</v>
      </c>
      <c r="F1446" s="161">
        <v>85</v>
      </c>
      <c r="G1446" s="11">
        <f>F1446*21</f>
        <v>1785</v>
      </c>
    </row>
    <row r="1447" spans="1:7" ht="15.75">
      <c r="A1447" s="1" t="s">
        <v>1398</v>
      </c>
      <c r="B1447" s="3" t="s">
        <v>22</v>
      </c>
      <c r="C1447" s="32" t="s">
        <v>31</v>
      </c>
      <c r="D1447" s="7" t="s">
        <v>1404</v>
      </c>
      <c r="E1447" s="16" t="s">
        <v>2102</v>
      </c>
      <c r="F1447" s="161">
        <v>294</v>
      </c>
      <c r="G1447" s="11">
        <f>F1447*5</f>
        <v>1470</v>
      </c>
    </row>
    <row r="1448" spans="1:7" ht="15.75">
      <c r="A1448" s="1" t="s">
        <v>1398</v>
      </c>
      <c r="B1448" s="3" t="s">
        <v>22</v>
      </c>
      <c r="C1448" s="32" t="s">
        <v>27</v>
      </c>
      <c r="D1448" s="7" t="s">
        <v>1086</v>
      </c>
      <c r="E1448" s="16" t="s">
        <v>2102</v>
      </c>
      <c r="F1448" s="159" t="s">
        <v>26</v>
      </c>
      <c r="G1448" s="11">
        <f>F1448*34</f>
        <v>0</v>
      </c>
    </row>
    <row r="1449" spans="1:7" ht="15.75">
      <c r="A1449" s="1" t="s">
        <v>1398</v>
      </c>
      <c r="B1449" s="3" t="s">
        <v>22</v>
      </c>
      <c r="C1449" s="32" t="s">
        <v>29</v>
      </c>
      <c r="D1449" s="7" t="s">
        <v>1406</v>
      </c>
      <c r="E1449" s="16" t="s">
        <v>2102</v>
      </c>
      <c r="F1449" s="159" t="s">
        <v>26</v>
      </c>
      <c r="G1449" s="11">
        <f>F1449*21</f>
        <v>0</v>
      </c>
    </row>
    <row r="1450" spans="1:7" ht="15.75">
      <c r="A1450" s="1" t="s">
        <v>1398</v>
      </c>
      <c r="B1450" s="3" t="s">
        <v>22</v>
      </c>
      <c r="C1450" s="32" t="s">
        <v>31</v>
      </c>
      <c r="D1450" s="7" t="s">
        <v>1130</v>
      </c>
      <c r="E1450" s="16" t="s">
        <v>2102</v>
      </c>
      <c r="F1450" s="159" t="s">
        <v>26</v>
      </c>
      <c r="G1450" s="11">
        <f>F1450*5</f>
        <v>0</v>
      </c>
    </row>
    <row r="1451" spans="1:7" ht="15.75">
      <c r="A1451" s="1" t="s">
        <v>1398</v>
      </c>
      <c r="B1451" s="3" t="s">
        <v>22</v>
      </c>
      <c r="C1451" s="32" t="s">
        <v>27</v>
      </c>
      <c r="D1451" s="7" t="s">
        <v>766</v>
      </c>
      <c r="E1451" s="16" t="s">
        <v>2102</v>
      </c>
      <c r="F1451" s="159" t="s">
        <v>26</v>
      </c>
      <c r="G1451" s="11">
        <f>F1451*34</f>
        <v>0</v>
      </c>
    </row>
    <row r="1452" spans="1:7" ht="15.75">
      <c r="A1452" s="1" t="s">
        <v>1398</v>
      </c>
      <c r="B1452" s="3" t="s">
        <v>22</v>
      </c>
      <c r="C1452" s="32" t="s">
        <v>29</v>
      </c>
      <c r="D1452" s="7" t="s">
        <v>520</v>
      </c>
      <c r="E1452" s="16" t="s">
        <v>2102</v>
      </c>
      <c r="F1452" s="159" t="s">
        <v>26</v>
      </c>
      <c r="G1452" s="11">
        <f>F1452*21</f>
        <v>0</v>
      </c>
    </row>
    <row r="1453" spans="1:7" ht="15.75">
      <c r="A1453" s="1" t="s">
        <v>1398</v>
      </c>
      <c r="B1453" s="3" t="s">
        <v>22</v>
      </c>
      <c r="C1453" s="32" t="s">
        <v>31</v>
      </c>
      <c r="D1453" s="7" t="s">
        <v>1407</v>
      </c>
      <c r="E1453" s="16" t="s">
        <v>2102</v>
      </c>
      <c r="F1453" s="159" t="s">
        <v>26</v>
      </c>
      <c r="G1453" s="11">
        <f>F1453*5</f>
        <v>0</v>
      </c>
    </row>
    <row r="1454" spans="1:7" ht="15.75">
      <c r="A1454" s="1" t="s">
        <v>1408</v>
      </c>
      <c r="B1454" s="3" t="s">
        <v>22</v>
      </c>
      <c r="C1454" s="32" t="s">
        <v>27</v>
      </c>
      <c r="D1454" s="7" t="s">
        <v>1409</v>
      </c>
      <c r="E1454" s="16" t="s">
        <v>2102</v>
      </c>
      <c r="F1454" s="159" t="s">
        <v>26</v>
      </c>
      <c r="G1454" s="11">
        <f>F1454*34</f>
        <v>0</v>
      </c>
    </row>
    <row r="1455" spans="1:7" ht="15.75">
      <c r="A1455" s="1" t="s">
        <v>1408</v>
      </c>
      <c r="B1455" s="3" t="s">
        <v>22</v>
      </c>
      <c r="C1455" s="32" t="s">
        <v>29</v>
      </c>
      <c r="D1455" s="7" t="s">
        <v>1410</v>
      </c>
      <c r="E1455" s="16" t="s">
        <v>2102</v>
      </c>
      <c r="F1455" s="159" t="s">
        <v>26</v>
      </c>
      <c r="G1455" s="11">
        <f>F1455*21</f>
        <v>0</v>
      </c>
    </row>
    <row r="1456" spans="1:7" ht="15.75">
      <c r="A1456" s="1" t="s">
        <v>1408</v>
      </c>
      <c r="B1456" s="3" t="s">
        <v>22</v>
      </c>
      <c r="C1456" s="32" t="s">
        <v>31</v>
      </c>
      <c r="D1456" s="7" t="s">
        <v>113</v>
      </c>
      <c r="E1456" s="16" t="s">
        <v>2102</v>
      </c>
      <c r="F1456" s="159" t="s">
        <v>26</v>
      </c>
      <c r="G1456" s="11">
        <f>F1456*5</f>
        <v>0</v>
      </c>
    </row>
    <row r="1457" spans="1:7" ht="15.75">
      <c r="A1457" s="1" t="s">
        <v>1408</v>
      </c>
      <c r="B1457" s="3" t="s">
        <v>22</v>
      </c>
      <c r="C1457" s="32" t="s">
        <v>27</v>
      </c>
      <c r="D1457" s="7" t="s">
        <v>1411</v>
      </c>
      <c r="E1457" s="16" t="s">
        <v>2102</v>
      </c>
      <c r="F1457" s="159" t="s">
        <v>26</v>
      </c>
      <c r="G1457" s="11">
        <f>F1457*34</f>
        <v>0</v>
      </c>
    </row>
    <row r="1458" spans="1:7" ht="15.75">
      <c r="A1458" s="1" t="s">
        <v>1408</v>
      </c>
      <c r="B1458" s="3" t="s">
        <v>22</v>
      </c>
      <c r="C1458" s="32" t="s">
        <v>29</v>
      </c>
      <c r="D1458" s="7" t="s">
        <v>1412</v>
      </c>
      <c r="E1458" s="16" t="s">
        <v>2102</v>
      </c>
      <c r="F1458" s="159" t="s">
        <v>26</v>
      </c>
      <c r="G1458" s="11">
        <f>F1458*21</f>
        <v>0</v>
      </c>
    </row>
    <row r="1459" spans="1:7" ht="15.75">
      <c r="A1459" s="1" t="s">
        <v>1408</v>
      </c>
      <c r="B1459" s="3" t="s">
        <v>22</v>
      </c>
      <c r="C1459" s="32" t="s">
        <v>31</v>
      </c>
      <c r="D1459" s="7" t="s">
        <v>1413</v>
      </c>
      <c r="E1459" s="16" t="s">
        <v>2102</v>
      </c>
      <c r="F1459" s="159" t="s">
        <v>26</v>
      </c>
      <c r="G1459" s="11">
        <f>F1459*5</f>
        <v>0</v>
      </c>
    </row>
    <row r="1460" spans="1:7" ht="15.75">
      <c r="A1460" s="1" t="s">
        <v>1408</v>
      </c>
      <c r="B1460" s="3" t="s">
        <v>22</v>
      </c>
      <c r="C1460" s="32" t="s">
        <v>27</v>
      </c>
      <c r="D1460" s="7" t="s">
        <v>1414</v>
      </c>
      <c r="E1460" s="16" t="s">
        <v>2102</v>
      </c>
      <c r="F1460" s="162">
        <v>335</v>
      </c>
      <c r="G1460" s="11">
        <f>F1460*34</f>
        <v>11390</v>
      </c>
    </row>
    <row r="1461" spans="1:7" ht="15.75">
      <c r="A1461" s="1" t="s">
        <v>1408</v>
      </c>
      <c r="B1461" s="3" t="s">
        <v>22</v>
      </c>
      <c r="C1461" s="32" t="s">
        <v>29</v>
      </c>
      <c r="D1461" s="7" t="s">
        <v>1203</v>
      </c>
      <c r="E1461" s="16" t="s">
        <v>2102</v>
      </c>
      <c r="F1461" s="161">
        <v>61</v>
      </c>
      <c r="G1461" s="11">
        <f>F1461*21</f>
        <v>1281</v>
      </c>
    </row>
    <row r="1462" spans="1:7" ht="15.75">
      <c r="A1462" s="1" t="s">
        <v>1408</v>
      </c>
      <c r="B1462" s="3" t="s">
        <v>22</v>
      </c>
      <c r="C1462" s="32" t="s">
        <v>27</v>
      </c>
      <c r="D1462" s="7" t="s">
        <v>1415</v>
      </c>
      <c r="E1462" s="16" t="s">
        <v>2102</v>
      </c>
      <c r="F1462" s="161">
        <v>25</v>
      </c>
      <c r="G1462" s="11">
        <f>F1462*34</f>
        <v>850</v>
      </c>
    </row>
    <row r="1463" spans="1:7" ht="15.75">
      <c r="A1463" s="1" t="s">
        <v>1408</v>
      </c>
      <c r="B1463" s="3" t="s">
        <v>22</v>
      </c>
      <c r="C1463" s="32" t="s">
        <v>29</v>
      </c>
      <c r="D1463" s="7" t="s">
        <v>101</v>
      </c>
      <c r="E1463" s="16" t="s">
        <v>2102</v>
      </c>
      <c r="F1463" s="159" t="s">
        <v>26</v>
      </c>
      <c r="G1463" s="11">
        <f>F1463*21</f>
        <v>0</v>
      </c>
    </row>
    <row r="1464" spans="1:7" ht="15.75">
      <c r="A1464" s="1" t="s">
        <v>1408</v>
      </c>
      <c r="B1464" s="3" t="s">
        <v>22</v>
      </c>
      <c r="C1464" s="32" t="s">
        <v>31</v>
      </c>
      <c r="D1464" s="7" t="s">
        <v>1416</v>
      </c>
      <c r="E1464" s="16" t="s">
        <v>2102</v>
      </c>
      <c r="F1464" s="159" t="s">
        <v>26</v>
      </c>
      <c r="G1464" s="11">
        <f>F1464*5</f>
        <v>0</v>
      </c>
    </row>
    <row r="1465" spans="1:7" ht="15.75">
      <c r="A1465" s="1" t="s">
        <v>1417</v>
      </c>
      <c r="B1465" s="3" t="s">
        <v>22</v>
      </c>
      <c r="C1465" s="32" t="s">
        <v>27</v>
      </c>
      <c r="D1465" s="7" t="s">
        <v>673</v>
      </c>
      <c r="E1465" s="16" t="s">
        <v>2102</v>
      </c>
      <c r="F1465" s="159" t="s">
        <v>26</v>
      </c>
      <c r="G1465" s="11">
        <f>F1465*34</f>
        <v>0</v>
      </c>
    </row>
    <row r="1466" spans="1:7" ht="15.75">
      <c r="A1466" s="1" t="s">
        <v>1417</v>
      </c>
      <c r="B1466" s="3" t="s">
        <v>22</v>
      </c>
      <c r="C1466" s="32" t="s">
        <v>29</v>
      </c>
      <c r="D1466" s="7" t="s">
        <v>1418</v>
      </c>
      <c r="E1466" s="16" t="s">
        <v>2102</v>
      </c>
      <c r="F1466" s="159" t="s">
        <v>26</v>
      </c>
      <c r="G1466" s="11">
        <f>F1466*21</f>
        <v>0</v>
      </c>
    </row>
    <row r="1467" spans="1:7" ht="15.75">
      <c r="A1467" s="1" t="s">
        <v>1417</v>
      </c>
      <c r="B1467" s="3" t="s">
        <v>22</v>
      </c>
      <c r="C1467" s="32" t="s">
        <v>31</v>
      </c>
      <c r="D1467" s="7" t="s">
        <v>1255</v>
      </c>
      <c r="E1467" s="16" t="s">
        <v>2102</v>
      </c>
      <c r="F1467" s="159" t="s">
        <v>26</v>
      </c>
      <c r="G1467" s="11">
        <f>F1467*5</f>
        <v>0</v>
      </c>
    </row>
    <row r="1468" spans="1:7" ht="15.75">
      <c r="A1468" s="1" t="s">
        <v>1417</v>
      </c>
      <c r="B1468" s="3" t="s">
        <v>22</v>
      </c>
      <c r="C1468" s="32" t="s">
        <v>27</v>
      </c>
      <c r="D1468" s="7" t="s">
        <v>1419</v>
      </c>
      <c r="E1468" s="16" t="s">
        <v>2102</v>
      </c>
      <c r="F1468" s="159" t="s">
        <v>26</v>
      </c>
      <c r="G1468" s="11">
        <f>F1468*34</f>
        <v>0</v>
      </c>
    </row>
    <row r="1469" spans="1:7" ht="15.75">
      <c r="A1469" s="1" t="s">
        <v>1417</v>
      </c>
      <c r="B1469" s="3" t="s">
        <v>22</v>
      </c>
      <c r="C1469" s="32" t="s">
        <v>29</v>
      </c>
      <c r="D1469" s="7" t="s">
        <v>1420</v>
      </c>
      <c r="E1469" s="16" t="s">
        <v>2102</v>
      </c>
      <c r="F1469" s="159" t="s">
        <v>26</v>
      </c>
      <c r="G1469" s="11">
        <f>F1469*21</f>
        <v>0</v>
      </c>
    </row>
    <row r="1470" spans="1:7" ht="15.75">
      <c r="A1470" s="1" t="s">
        <v>1417</v>
      </c>
      <c r="B1470" s="3" t="s">
        <v>22</v>
      </c>
      <c r="C1470" s="32" t="s">
        <v>31</v>
      </c>
      <c r="D1470" s="7" t="s">
        <v>533</v>
      </c>
      <c r="E1470" s="16" t="s">
        <v>2102</v>
      </c>
      <c r="F1470" s="159" t="s">
        <v>26</v>
      </c>
      <c r="G1470" s="11">
        <f>F1470*5</f>
        <v>0</v>
      </c>
    </row>
    <row r="1471" spans="1:7" ht="15.75">
      <c r="A1471" s="1" t="s">
        <v>1417</v>
      </c>
      <c r="B1471" s="3" t="s">
        <v>22</v>
      </c>
      <c r="C1471" s="32" t="s">
        <v>27</v>
      </c>
      <c r="D1471" s="7" t="s">
        <v>1421</v>
      </c>
      <c r="E1471" s="16" t="s">
        <v>2102</v>
      </c>
      <c r="F1471" s="159" t="s">
        <v>26</v>
      </c>
      <c r="G1471" s="11">
        <f>F1471*34</f>
        <v>0</v>
      </c>
    </row>
    <row r="1472" spans="1:7" ht="15.75">
      <c r="A1472" s="1" t="s">
        <v>1417</v>
      </c>
      <c r="B1472" s="3" t="s">
        <v>22</v>
      </c>
      <c r="C1472" s="32" t="s">
        <v>29</v>
      </c>
      <c r="D1472" s="7" t="s">
        <v>238</v>
      </c>
      <c r="E1472" s="16" t="s">
        <v>2102</v>
      </c>
      <c r="F1472" s="159" t="s">
        <v>26</v>
      </c>
      <c r="G1472" s="11">
        <f>F1472*21</f>
        <v>0</v>
      </c>
    </row>
    <row r="1473" spans="1:7" ht="15.75">
      <c r="A1473" s="1" t="s">
        <v>1417</v>
      </c>
      <c r="B1473" s="3" t="s">
        <v>22</v>
      </c>
      <c r="C1473" s="32" t="s">
        <v>31</v>
      </c>
      <c r="D1473" s="7" t="s">
        <v>1422</v>
      </c>
      <c r="E1473" s="16" t="s">
        <v>2102</v>
      </c>
      <c r="F1473" s="159" t="s">
        <v>26</v>
      </c>
      <c r="G1473" s="11">
        <f>F1473*5</f>
        <v>0</v>
      </c>
    </row>
    <row r="1474" spans="1:7" ht="15.75">
      <c r="A1474" s="1" t="s">
        <v>1417</v>
      </c>
      <c r="B1474" s="3" t="s">
        <v>22</v>
      </c>
      <c r="C1474" s="32" t="s">
        <v>27</v>
      </c>
      <c r="D1474" s="7" t="s">
        <v>1423</v>
      </c>
      <c r="E1474" s="16" t="s">
        <v>2102</v>
      </c>
      <c r="F1474" s="162">
        <v>325</v>
      </c>
      <c r="G1474" s="11">
        <f>F1474*34</f>
        <v>11050</v>
      </c>
    </row>
    <row r="1475" spans="1:7" ht="15.75">
      <c r="A1475" s="1" t="s">
        <v>1417</v>
      </c>
      <c r="B1475" s="3" t="s">
        <v>22</v>
      </c>
      <c r="C1475" s="32" t="s">
        <v>29</v>
      </c>
      <c r="D1475" s="7" t="s">
        <v>1424</v>
      </c>
      <c r="E1475" s="16" t="s">
        <v>2102</v>
      </c>
      <c r="F1475" s="161">
        <v>105</v>
      </c>
      <c r="G1475" s="11">
        <f>F1475*21</f>
        <v>2205</v>
      </c>
    </row>
    <row r="1476" spans="1:7" ht="15.75">
      <c r="A1476" s="1" t="s">
        <v>1417</v>
      </c>
      <c r="B1476" s="3" t="s">
        <v>22</v>
      </c>
      <c r="C1476" s="32" t="s">
        <v>31</v>
      </c>
      <c r="D1476" s="7" t="s">
        <v>1425</v>
      </c>
      <c r="E1476" s="16" t="s">
        <v>2102</v>
      </c>
      <c r="F1476" s="161">
        <v>358</v>
      </c>
      <c r="G1476" s="11">
        <f>F1476*5</f>
        <v>1790</v>
      </c>
    </row>
    <row r="1477" spans="1:7" ht="15.75">
      <c r="A1477" s="1" t="s">
        <v>1426</v>
      </c>
      <c r="B1477" s="3" t="s">
        <v>22</v>
      </c>
      <c r="C1477" s="32" t="s">
        <v>27</v>
      </c>
      <c r="D1477" s="7" t="s">
        <v>1428</v>
      </c>
      <c r="E1477" s="16" t="s">
        <v>2102</v>
      </c>
      <c r="F1477" s="159" t="s">
        <v>26</v>
      </c>
      <c r="G1477" s="11">
        <f>F1477*34</f>
        <v>0</v>
      </c>
    </row>
    <row r="1478" spans="1:7" ht="15.75">
      <c r="A1478" s="1" t="s">
        <v>1426</v>
      </c>
      <c r="B1478" s="3" t="s">
        <v>22</v>
      </c>
      <c r="C1478" s="32" t="s">
        <v>29</v>
      </c>
      <c r="D1478" s="7" t="s">
        <v>228</v>
      </c>
      <c r="E1478" s="16" t="s">
        <v>2102</v>
      </c>
      <c r="F1478" s="159" t="s">
        <v>26</v>
      </c>
      <c r="G1478" s="11">
        <f>F1478*21</f>
        <v>0</v>
      </c>
    </row>
    <row r="1479" spans="1:7" ht="15.75">
      <c r="A1479" s="1" t="s">
        <v>1426</v>
      </c>
      <c r="B1479" s="3" t="s">
        <v>22</v>
      </c>
      <c r="C1479" s="32" t="s">
        <v>31</v>
      </c>
      <c r="D1479" s="7" t="s">
        <v>1293</v>
      </c>
      <c r="E1479" s="16" t="s">
        <v>2102</v>
      </c>
      <c r="F1479" s="159" t="s">
        <v>26</v>
      </c>
      <c r="G1479" s="11">
        <f>F1479*5</f>
        <v>0</v>
      </c>
    </row>
    <row r="1480" spans="1:7" ht="15.75">
      <c r="A1480" s="1" t="s">
        <v>1426</v>
      </c>
      <c r="B1480" s="3" t="s">
        <v>22</v>
      </c>
      <c r="C1480" s="32" t="s">
        <v>27</v>
      </c>
      <c r="D1480" s="7" t="s">
        <v>1430</v>
      </c>
      <c r="E1480" s="16" t="s">
        <v>2102</v>
      </c>
      <c r="F1480" s="159" t="s">
        <v>26</v>
      </c>
      <c r="G1480" s="11">
        <f>F1480*34</f>
        <v>0</v>
      </c>
    </row>
    <row r="1481" spans="1:7" ht="15.75">
      <c r="A1481" s="1" t="s">
        <v>1426</v>
      </c>
      <c r="B1481" s="3" t="s">
        <v>22</v>
      </c>
      <c r="C1481" s="32" t="s">
        <v>29</v>
      </c>
      <c r="D1481" s="7" t="s">
        <v>1431</v>
      </c>
      <c r="E1481" s="16" t="s">
        <v>2102</v>
      </c>
      <c r="F1481" s="159" t="s">
        <v>26</v>
      </c>
      <c r="G1481" s="11">
        <f>F1481*21</f>
        <v>0</v>
      </c>
    </row>
    <row r="1482" spans="1:7" ht="15.75">
      <c r="A1482" s="1" t="s">
        <v>1426</v>
      </c>
      <c r="B1482" s="3" t="s">
        <v>22</v>
      </c>
      <c r="C1482" s="32" t="s">
        <v>31</v>
      </c>
      <c r="D1482" s="7" t="s">
        <v>1432</v>
      </c>
      <c r="E1482" s="16" t="s">
        <v>2102</v>
      </c>
      <c r="F1482" s="159" t="s">
        <v>26</v>
      </c>
      <c r="G1482" s="11">
        <f>F1482*5</f>
        <v>0</v>
      </c>
    </row>
    <row r="1483" spans="1:7" ht="15.75">
      <c r="A1483" s="1" t="s">
        <v>1426</v>
      </c>
      <c r="B1483" s="3" t="s">
        <v>22</v>
      </c>
      <c r="C1483" s="32" t="s">
        <v>27</v>
      </c>
      <c r="D1483" s="7" t="s">
        <v>1434</v>
      </c>
      <c r="E1483" s="16" t="s">
        <v>2102</v>
      </c>
      <c r="F1483" s="162">
        <v>323</v>
      </c>
      <c r="G1483" s="11">
        <f>F1483*34</f>
        <v>10982</v>
      </c>
    </row>
    <row r="1484" spans="1:7" ht="15.75">
      <c r="A1484" s="1" t="s">
        <v>1426</v>
      </c>
      <c r="B1484" s="3" t="s">
        <v>22</v>
      </c>
      <c r="C1484" s="32" t="s">
        <v>29</v>
      </c>
      <c r="D1484" s="7" t="s">
        <v>273</v>
      </c>
      <c r="E1484" s="16" t="s">
        <v>2102</v>
      </c>
      <c r="F1484" s="161">
        <v>125</v>
      </c>
      <c r="G1484" s="11">
        <f>F1484*21</f>
        <v>2625</v>
      </c>
    </row>
    <row r="1485" spans="1:7" ht="15.75">
      <c r="A1485" s="1" t="s">
        <v>1426</v>
      </c>
      <c r="B1485" s="3" t="s">
        <v>22</v>
      </c>
      <c r="C1485" s="32" t="s">
        <v>31</v>
      </c>
      <c r="D1485" s="7" t="s">
        <v>654</v>
      </c>
      <c r="E1485" s="16" t="s">
        <v>2102</v>
      </c>
      <c r="F1485" s="161">
        <v>75</v>
      </c>
      <c r="G1485" s="11">
        <f>F1485*5</f>
        <v>375</v>
      </c>
    </row>
    <row r="1486" spans="1:7" ht="15.75">
      <c r="A1486" s="1" t="s">
        <v>1435</v>
      </c>
      <c r="B1486" s="3" t="s">
        <v>22</v>
      </c>
      <c r="C1486" s="32" t="s">
        <v>27</v>
      </c>
      <c r="D1486" s="7" t="s">
        <v>1437</v>
      </c>
      <c r="E1486" s="16" t="s">
        <v>2102</v>
      </c>
      <c r="F1486" s="159" t="s">
        <v>26</v>
      </c>
      <c r="G1486" s="11">
        <f>F1486*34</f>
        <v>0</v>
      </c>
    </row>
    <row r="1487" spans="1:7" ht="15.75">
      <c r="A1487" s="1" t="s">
        <v>1435</v>
      </c>
      <c r="B1487" s="3" t="s">
        <v>22</v>
      </c>
      <c r="C1487" s="32" t="s">
        <v>29</v>
      </c>
      <c r="D1487" s="7" t="s">
        <v>853</v>
      </c>
      <c r="E1487" s="16" t="s">
        <v>2102</v>
      </c>
      <c r="F1487" s="159" t="s">
        <v>26</v>
      </c>
      <c r="G1487" s="11">
        <f>F1487*21</f>
        <v>0</v>
      </c>
    </row>
    <row r="1488" spans="1:7" ht="15.75">
      <c r="A1488" s="1" t="s">
        <v>1435</v>
      </c>
      <c r="B1488" s="3" t="s">
        <v>22</v>
      </c>
      <c r="C1488" s="32" t="s">
        <v>31</v>
      </c>
      <c r="D1488" s="7" t="s">
        <v>1438</v>
      </c>
      <c r="E1488" s="16" t="s">
        <v>2102</v>
      </c>
      <c r="F1488" s="159" t="s">
        <v>26</v>
      </c>
      <c r="G1488" s="11">
        <f>F1488*5</f>
        <v>0</v>
      </c>
    </row>
    <row r="1489" spans="1:7" ht="15.75">
      <c r="A1489" s="1" t="s">
        <v>1435</v>
      </c>
      <c r="B1489" s="3" t="s">
        <v>22</v>
      </c>
      <c r="C1489" s="32" t="s">
        <v>27</v>
      </c>
      <c r="D1489" s="7" t="s">
        <v>1402</v>
      </c>
      <c r="E1489" s="16" t="s">
        <v>2102</v>
      </c>
      <c r="F1489" s="159" t="s">
        <v>26</v>
      </c>
      <c r="G1489" s="11">
        <f>F1489*34</f>
        <v>0</v>
      </c>
    </row>
    <row r="1490" spans="1:7" ht="15.75">
      <c r="A1490" s="1" t="s">
        <v>1435</v>
      </c>
      <c r="B1490" s="3" t="s">
        <v>22</v>
      </c>
      <c r="C1490" s="32" t="s">
        <v>29</v>
      </c>
      <c r="D1490" s="7" t="s">
        <v>1091</v>
      </c>
      <c r="E1490" s="16" t="s">
        <v>2102</v>
      </c>
      <c r="F1490" s="159" t="s">
        <v>26</v>
      </c>
      <c r="G1490" s="11">
        <f>F1490*21</f>
        <v>0</v>
      </c>
    </row>
    <row r="1491" spans="1:7" ht="15.75">
      <c r="A1491" s="1" t="s">
        <v>1435</v>
      </c>
      <c r="B1491" s="3" t="s">
        <v>22</v>
      </c>
      <c r="C1491" s="32" t="s">
        <v>31</v>
      </c>
      <c r="D1491" s="7" t="s">
        <v>1055</v>
      </c>
      <c r="E1491" s="16" t="s">
        <v>2102</v>
      </c>
      <c r="F1491" s="159" t="s">
        <v>26</v>
      </c>
      <c r="G1491" s="11">
        <f>F1491*5</f>
        <v>0</v>
      </c>
    </row>
    <row r="1492" spans="1:7" ht="15.75">
      <c r="A1492" s="1" t="s">
        <v>1435</v>
      </c>
      <c r="B1492" s="3" t="s">
        <v>22</v>
      </c>
      <c r="C1492" s="32" t="s">
        <v>27</v>
      </c>
      <c r="D1492" s="7" t="s">
        <v>1439</v>
      </c>
      <c r="E1492" s="16" t="s">
        <v>2102</v>
      </c>
      <c r="F1492" s="159" t="s">
        <v>26</v>
      </c>
      <c r="G1492" s="11">
        <f>F1492*34</f>
        <v>0</v>
      </c>
    </row>
    <row r="1493" spans="1:7" ht="15.75">
      <c r="A1493" s="1" t="s">
        <v>1435</v>
      </c>
      <c r="B1493" s="3" t="s">
        <v>22</v>
      </c>
      <c r="C1493" s="32" t="s">
        <v>29</v>
      </c>
      <c r="D1493" s="7" t="s">
        <v>1440</v>
      </c>
      <c r="E1493" s="16" t="s">
        <v>2102</v>
      </c>
      <c r="F1493" s="159" t="s">
        <v>26</v>
      </c>
      <c r="G1493" s="11">
        <f>F1493*21</f>
        <v>0</v>
      </c>
    </row>
    <row r="1494" spans="1:7" ht="15.75">
      <c r="A1494" s="1" t="s">
        <v>1435</v>
      </c>
      <c r="B1494" s="3" t="s">
        <v>22</v>
      </c>
      <c r="C1494" s="32" t="s">
        <v>31</v>
      </c>
      <c r="D1494" s="7" t="s">
        <v>1441</v>
      </c>
      <c r="E1494" s="16" t="s">
        <v>2102</v>
      </c>
      <c r="F1494" s="159" t="s">
        <v>26</v>
      </c>
      <c r="G1494" s="11">
        <f>F1494*5</f>
        <v>0</v>
      </c>
    </row>
    <row r="1495" spans="1:7" ht="15.75">
      <c r="A1495" s="1" t="s">
        <v>1435</v>
      </c>
      <c r="B1495" s="3" t="s">
        <v>22</v>
      </c>
      <c r="C1495" s="32" t="s">
        <v>27</v>
      </c>
      <c r="D1495" s="7" t="s">
        <v>1442</v>
      </c>
      <c r="E1495" s="16" t="s">
        <v>2102</v>
      </c>
      <c r="F1495" s="159" t="s">
        <v>26</v>
      </c>
      <c r="G1495" s="11">
        <f>F1495*34</f>
        <v>0</v>
      </c>
    </row>
    <row r="1496" spans="1:7" ht="15.75">
      <c r="A1496" s="1" t="s">
        <v>1435</v>
      </c>
      <c r="B1496" s="3" t="s">
        <v>22</v>
      </c>
      <c r="C1496" s="32" t="s">
        <v>29</v>
      </c>
      <c r="D1496" s="7" t="s">
        <v>1443</v>
      </c>
      <c r="E1496" s="16" t="s">
        <v>2102</v>
      </c>
      <c r="F1496" s="159" t="s">
        <v>26</v>
      </c>
      <c r="G1496" s="11">
        <f>F1496*21</f>
        <v>0</v>
      </c>
    </row>
    <row r="1497" spans="1:7" ht="15.75">
      <c r="A1497" s="1" t="s">
        <v>1435</v>
      </c>
      <c r="B1497" s="3" t="s">
        <v>22</v>
      </c>
      <c r="C1497" s="32" t="s">
        <v>31</v>
      </c>
      <c r="D1497" s="7" t="s">
        <v>1444</v>
      </c>
      <c r="E1497" s="16" t="s">
        <v>2102</v>
      </c>
      <c r="F1497" s="159" t="s">
        <v>26</v>
      </c>
      <c r="G1497" s="11">
        <f>F1497*5</f>
        <v>0</v>
      </c>
    </row>
    <row r="1498" spans="1:7" ht="15.75">
      <c r="A1498" s="1" t="s">
        <v>1435</v>
      </c>
      <c r="B1498" s="3" t="s">
        <v>22</v>
      </c>
      <c r="C1498" s="32" t="s">
        <v>27</v>
      </c>
      <c r="D1498" s="7" t="s">
        <v>1445</v>
      </c>
      <c r="E1498" s="16" t="s">
        <v>2102</v>
      </c>
      <c r="F1498" s="162">
        <v>141</v>
      </c>
      <c r="G1498" s="11">
        <f>F1498*34</f>
        <v>4794</v>
      </c>
    </row>
    <row r="1499" spans="1:7" ht="15.75">
      <c r="A1499" s="1" t="s">
        <v>1435</v>
      </c>
      <c r="B1499" s="3" t="s">
        <v>22</v>
      </c>
      <c r="C1499" s="32" t="s">
        <v>29</v>
      </c>
      <c r="D1499" s="7" t="s">
        <v>1446</v>
      </c>
      <c r="E1499" s="16" t="s">
        <v>2102</v>
      </c>
      <c r="F1499" s="161">
        <v>67</v>
      </c>
      <c r="G1499" s="11">
        <f>F1499*21</f>
        <v>1407</v>
      </c>
    </row>
    <row r="1500" spans="1:7" ht="15.75">
      <c r="A1500" s="1" t="s">
        <v>1435</v>
      </c>
      <c r="B1500" s="3" t="s">
        <v>22</v>
      </c>
      <c r="C1500" s="32" t="s">
        <v>31</v>
      </c>
      <c r="D1500" s="7" t="s">
        <v>1447</v>
      </c>
      <c r="E1500" s="16" t="s">
        <v>2102</v>
      </c>
      <c r="F1500" s="161">
        <v>45</v>
      </c>
      <c r="G1500" s="11">
        <f>F1500*5</f>
        <v>225</v>
      </c>
    </row>
    <row r="1501" spans="1:7" ht="15.75">
      <c r="A1501" s="1" t="s">
        <v>1435</v>
      </c>
      <c r="B1501" s="3" t="s">
        <v>22</v>
      </c>
      <c r="C1501" s="32" t="s">
        <v>27</v>
      </c>
      <c r="D1501" s="5">
        <v>582</v>
      </c>
      <c r="E1501" s="16" t="s">
        <v>2102</v>
      </c>
      <c r="F1501" s="159" t="s">
        <v>26</v>
      </c>
      <c r="G1501" s="11">
        <f>F1501*34</f>
        <v>0</v>
      </c>
    </row>
    <row r="1502" spans="1:7" ht="15.75">
      <c r="A1502" s="1" t="s">
        <v>1435</v>
      </c>
      <c r="B1502" s="3" t="s">
        <v>22</v>
      </c>
      <c r="C1502" s="32" t="s">
        <v>29</v>
      </c>
      <c r="D1502" s="5">
        <v>414</v>
      </c>
      <c r="E1502" s="16" t="s">
        <v>2102</v>
      </c>
      <c r="F1502" s="159" t="s">
        <v>26</v>
      </c>
      <c r="G1502" s="11">
        <f>F1502*21</f>
        <v>0</v>
      </c>
    </row>
    <row r="1503" spans="1:7">
      <c r="A1503" s="67" t="s">
        <v>1529</v>
      </c>
      <c r="B1503" s="68" t="s">
        <v>22</v>
      </c>
      <c r="C1503" s="68" t="s">
        <v>24</v>
      </c>
      <c r="D1503" s="5">
        <v>7550</v>
      </c>
      <c r="E1503" s="68" t="s">
        <v>1531</v>
      </c>
      <c r="F1503" s="163">
        <v>42</v>
      </c>
      <c r="G1503" s="11">
        <f>F1503*45</f>
        <v>1890</v>
      </c>
    </row>
    <row r="1504" spans="1:7">
      <c r="A1504" s="67" t="s">
        <v>1529</v>
      </c>
      <c r="B1504" s="68" t="s">
        <v>22</v>
      </c>
      <c r="C1504" s="68" t="s">
        <v>1533</v>
      </c>
      <c r="D1504" s="5">
        <v>8675</v>
      </c>
      <c r="E1504" s="68" t="s">
        <v>1531</v>
      </c>
      <c r="F1504" s="163">
        <v>85</v>
      </c>
      <c r="G1504" s="11"/>
    </row>
    <row r="1505" spans="1:7">
      <c r="A1505" s="67" t="s">
        <v>1529</v>
      </c>
      <c r="B1505" s="68" t="s">
        <v>22</v>
      </c>
      <c r="C1505" s="76" t="s">
        <v>27</v>
      </c>
      <c r="D1505" s="5">
        <v>1178</v>
      </c>
      <c r="E1505" s="68" t="s">
        <v>1534</v>
      </c>
      <c r="F1505" s="163">
        <v>25</v>
      </c>
      <c r="G1505" s="11">
        <f>F1505*34</f>
        <v>850</v>
      </c>
    </row>
    <row r="1506" spans="1:7">
      <c r="A1506" s="67" t="s">
        <v>1529</v>
      </c>
      <c r="B1506" s="68" t="s">
        <v>22</v>
      </c>
      <c r="C1506" s="68" t="s">
        <v>1533</v>
      </c>
      <c r="D1506" s="5">
        <v>5600</v>
      </c>
      <c r="E1506" s="68" t="s">
        <v>1536</v>
      </c>
      <c r="F1506" s="163">
        <v>120</v>
      </c>
      <c r="G1506" s="11"/>
    </row>
    <row r="1507" spans="1:7">
      <c r="A1507" s="67" t="s">
        <v>1529</v>
      </c>
      <c r="B1507" s="68" t="s">
        <v>22</v>
      </c>
      <c r="C1507" s="68" t="s">
        <v>31</v>
      </c>
      <c r="D1507" s="5">
        <v>7848</v>
      </c>
      <c r="E1507" s="68" t="s">
        <v>1536</v>
      </c>
      <c r="F1507" s="163">
        <v>400</v>
      </c>
      <c r="G1507" s="11">
        <f t="shared" ref="G1507:G1508" si="0">F1507*5</f>
        <v>2000</v>
      </c>
    </row>
    <row r="1508" spans="1:7">
      <c r="A1508" s="67" t="s">
        <v>1529</v>
      </c>
      <c r="B1508" s="68" t="s">
        <v>1539</v>
      </c>
      <c r="C1508" s="68" t="s">
        <v>31</v>
      </c>
      <c r="D1508" s="5">
        <v>6840</v>
      </c>
      <c r="E1508" s="68" t="s">
        <v>1536</v>
      </c>
      <c r="F1508" s="163">
        <v>545</v>
      </c>
      <c r="G1508" s="11">
        <f t="shared" si="0"/>
        <v>2725</v>
      </c>
    </row>
    <row r="1509" spans="1:7">
      <c r="A1509" s="67" t="s">
        <v>1541</v>
      </c>
      <c r="B1509" s="68" t="s">
        <v>22</v>
      </c>
      <c r="C1509" s="68" t="s">
        <v>24</v>
      </c>
      <c r="D1509" s="5">
        <v>9233</v>
      </c>
      <c r="E1509" s="68" t="s">
        <v>1531</v>
      </c>
      <c r="F1509" s="163">
        <v>42</v>
      </c>
      <c r="G1509" s="11">
        <f>F1509*45</f>
        <v>1890</v>
      </c>
    </row>
    <row r="1510" spans="1:7">
      <c r="A1510" s="67" t="s">
        <v>1541</v>
      </c>
      <c r="B1510" s="68" t="s">
        <v>22</v>
      </c>
      <c r="C1510" s="68" t="s">
        <v>1533</v>
      </c>
      <c r="D1510" s="5">
        <v>8706</v>
      </c>
      <c r="E1510" s="68" t="s">
        <v>1531</v>
      </c>
      <c r="F1510" s="163">
        <v>55</v>
      </c>
      <c r="G1510" s="11"/>
    </row>
    <row r="1511" spans="1:7">
      <c r="A1511" s="67" t="s">
        <v>1541</v>
      </c>
      <c r="B1511" s="68" t="s">
        <v>22</v>
      </c>
      <c r="C1511" s="76" t="s">
        <v>27</v>
      </c>
      <c r="D1511" s="5">
        <v>5831</v>
      </c>
      <c r="E1511" s="68" t="s">
        <v>1534</v>
      </c>
      <c r="F1511" s="163">
        <v>108</v>
      </c>
      <c r="G1511" s="11">
        <f>F1511*34</f>
        <v>3672</v>
      </c>
    </row>
    <row r="1512" spans="1:7">
      <c r="A1512" s="67" t="s">
        <v>1541</v>
      </c>
      <c r="B1512" s="68" t="s">
        <v>22</v>
      </c>
      <c r="C1512" s="68" t="s">
        <v>31</v>
      </c>
      <c r="D1512" s="5">
        <v>7164</v>
      </c>
      <c r="E1512" s="68" t="s">
        <v>1536</v>
      </c>
      <c r="F1512" s="163">
        <v>425</v>
      </c>
      <c r="G1512" s="11">
        <f>F1512*5</f>
        <v>2125</v>
      </c>
    </row>
    <row r="1513" spans="1:7">
      <c r="A1513" s="67" t="s">
        <v>1541</v>
      </c>
      <c r="B1513" s="68" t="s">
        <v>22</v>
      </c>
      <c r="C1513" s="68" t="s">
        <v>1533</v>
      </c>
      <c r="D1513" s="5">
        <v>6266</v>
      </c>
      <c r="E1513" s="68" t="s">
        <v>1536</v>
      </c>
      <c r="F1513" s="163">
        <v>182</v>
      </c>
      <c r="G1513" s="11"/>
    </row>
    <row r="1514" spans="1:7">
      <c r="A1514" s="67" t="s">
        <v>1541</v>
      </c>
      <c r="B1514" s="68" t="s">
        <v>22</v>
      </c>
      <c r="C1514" s="76" t="s">
        <v>27</v>
      </c>
      <c r="D1514" s="5">
        <v>1080</v>
      </c>
      <c r="E1514" s="68" t="s">
        <v>1534</v>
      </c>
      <c r="F1514" s="163">
        <v>40</v>
      </c>
      <c r="G1514" s="11">
        <f>F1514*34</f>
        <v>1360</v>
      </c>
    </row>
    <row r="1515" spans="1:7">
      <c r="A1515" s="67" t="s">
        <v>1541</v>
      </c>
      <c r="B1515" s="68" t="s">
        <v>1539</v>
      </c>
      <c r="C1515" s="68" t="s">
        <v>31</v>
      </c>
      <c r="D1515" s="5">
        <v>7740</v>
      </c>
      <c r="E1515" s="68" t="s">
        <v>1536</v>
      </c>
      <c r="F1515" s="163">
        <v>560</v>
      </c>
      <c r="G1515" s="11">
        <f>F1515*5</f>
        <v>2800</v>
      </c>
    </row>
    <row r="1516" spans="1:7">
      <c r="A1516" s="67" t="s">
        <v>1542</v>
      </c>
      <c r="B1516" s="68" t="s">
        <v>22</v>
      </c>
      <c r="C1516" s="68" t="s">
        <v>24</v>
      </c>
      <c r="D1516" s="5">
        <v>9380</v>
      </c>
      <c r="E1516" s="68" t="s">
        <v>1531</v>
      </c>
      <c r="F1516" s="163">
        <v>150</v>
      </c>
      <c r="G1516" s="11">
        <f>F1516*45</f>
        <v>6750</v>
      </c>
    </row>
    <row r="1517" spans="1:7">
      <c r="A1517" s="67" t="s">
        <v>1542</v>
      </c>
      <c r="B1517" s="68" t="s">
        <v>22</v>
      </c>
      <c r="C1517" s="68" t="s">
        <v>1533</v>
      </c>
      <c r="D1517" s="5">
        <v>3820</v>
      </c>
      <c r="E1517" s="68" t="s">
        <v>1531</v>
      </c>
      <c r="F1517" s="163">
        <v>50</v>
      </c>
      <c r="G1517" s="11"/>
    </row>
    <row r="1518" spans="1:7">
      <c r="A1518" s="67" t="s">
        <v>1542</v>
      </c>
      <c r="B1518" s="68" t="s">
        <v>22</v>
      </c>
      <c r="C1518" s="68" t="s">
        <v>1533</v>
      </c>
      <c r="D1518" s="5">
        <v>5400</v>
      </c>
      <c r="E1518" s="68" t="s">
        <v>1536</v>
      </c>
      <c r="F1518" s="163">
        <v>154</v>
      </c>
      <c r="G1518" s="11"/>
    </row>
    <row r="1519" spans="1:7">
      <c r="A1519" s="67" t="s">
        <v>1542</v>
      </c>
      <c r="B1519" s="68" t="s">
        <v>22</v>
      </c>
      <c r="C1519" s="68" t="s">
        <v>31</v>
      </c>
      <c r="D1519" s="5">
        <v>6480</v>
      </c>
      <c r="E1519" s="68" t="s">
        <v>1536</v>
      </c>
      <c r="F1519" s="163">
        <v>98</v>
      </c>
      <c r="G1519" s="11">
        <f t="shared" ref="G1519:G1520" si="1">F1519*5</f>
        <v>490</v>
      </c>
    </row>
    <row r="1520" spans="1:7">
      <c r="A1520" s="67" t="s">
        <v>1542</v>
      </c>
      <c r="B1520" s="68" t="s">
        <v>1539</v>
      </c>
      <c r="C1520" s="68" t="s">
        <v>31</v>
      </c>
      <c r="D1520" s="5">
        <v>2700</v>
      </c>
      <c r="E1520" s="68" t="s">
        <v>1536</v>
      </c>
      <c r="F1520" s="163">
        <v>157</v>
      </c>
      <c r="G1520" s="11">
        <f t="shared" si="1"/>
        <v>785</v>
      </c>
    </row>
    <row r="1521" spans="1:7">
      <c r="A1521" s="67" t="s">
        <v>1542</v>
      </c>
      <c r="B1521" s="68" t="s">
        <v>22</v>
      </c>
      <c r="C1521" s="68" t="s">
        <v>1533</v>
      </c>
      <c r="D1521" s="5">
        <v>8660</v>
      </c>
      <c r="E1521" s="68" t="s">
        <v>1531</v>
      </c>
      <c r="F1521" s="163">
        <v>55</v>
      </c>
      <c r="G1521" s="11"/>
    </row>
    <row r="1522" spans="1:7">
      <c r="A1522" s="67" t="s">
        <v>1543</v>
      </c>
      <c r="B1522" s="68" t="s">
        <v>22</v>
      </c>
      <c r="C1522" s="68" t="s">
        <v>24</v>
      </c>
      <c r="D1522" s="5">
        <v>1850</v>
      </c>
      <c r="E1522" s="68" t="s">
        <v>1536</v>
      </c>
      <c r="F1522" s="163">
        <v>18</v>
      </c>
      <c r="G1522" s="11">
        <f>F1522*45</f>
        <v>810</v>
      </c>
    </row>
    <row r="1523" spans="1:7">
      <c r="A1523" s="67" t="s">
        <v>1543</v>
      </c>
      <c r="B1523" s="68" t="s">
        <v>22</v>
      </c>
      <c r="C1523" s="68" t="s">
        <v>31</v>
      </c>
      <c r="D1523" s="5">
        <v>6544</v>
      </c>
      <c r="E1523" s="68" t="s">
        <v>1536</v>
      </c>
      <c r="F1523" s="163">
        <v>284</v>
      </c>
      <c r="G1523" s="11">
        <f>F1523*5</f>
        <v>1420</v>
      </c>
    </row>
    <row r="1524" spans="1:7">
      <c r="A1524" s="67" t="s">
        <v>1543</v>
      </c>
      <c r="B1524" s="68" t="s">
        <v>22</v>
      </c>
      <c r="C1524" s="68" t="s">
        <v>1533</v>
      </c>
      <c r="D1524" s="5">
        <v>6840</v>
      </c>
      <c r="E1524" s="68" t="s">
        <v>1536</v>
      </c>
      <c r="F1524" s="163">
        <v>118</v>
      </c>
      <c r="G1524" s="11"/>
    </row>
    <row r="1525" spans="1:7">
      <c r="A1525" s="67" t="s">
        <v>1543</v>
      </c>
      <c r="B1525" s="68" t="s">
        <v>22</v>
      </c>
      <c r="C1525" s="76" t="s">
        <v>29</v>
      </c>
      <c r="D1525" s="5">
        <v>1620</v>
      </c>
      <c r="E1525" s="68" t="s">
        <v>1534</v>
      </c>
      <c r="F1525" s="163">
        <v>20</v>
      </c>
      <c r="G1525" s="11">
        <f>F1525*21</f>
        <v>420</v>
      </c>
    </row>
    <row r="1526" spans="1:7">
      <c r="A1526" s="67" t="s">
        <v>1543</v>
      </c>
      <c r="B1526" s="68" t="s">
        <v>1539</v>
      </c>
      <c r="C1526" s="68" t="s">
        <v>31</v>
      </c>
      <c r="D1526" s="5">
        <v>5940</v>
      </c>
      <c r="E1526" s="68" t="s">
        <v>1536</v>
      </c>
      <c r="F1526" s="163">
        <v>300</v>
      </c>
      <c r="G1526" s="11">
        <f>F1526*5</f>
        <v>1500</v>
      </c>
    </row>
    <row r="1527" spans="1:7">
      <c r="A1527" s="67" t="s">
        <v>1546</v>
      </c>
      <c r="B1527" s="68" t="s">
        <v>22</v>
      </c>
      <c r="C1527" s="68" t="s">
        <v>1533</v>
      </c>
      <c r="D1527" s="5">
        <v>8820</v>
      </c>
      <c r="E1527" s="68" t="s">
        <v>1531</v>
      </c>
      <c r="F1527" s="164">
        <v>53</v>
      </c>
      <c r="G1527" s="11"/>
    </row>
    <row r="1528" spans="1:7">
      <c r="A1528" s="67" t="s">
        <v>1546</v>
      </c>
      <c r="B1528" s="68" t="s">
        <v>22</v>
      </c>
      <c r="C1528" s="76" t="s">
        <v>29</v>
      </c>
      <c r="D1528" s="5">
        <v>720</v>
      </c>
      <c r="E1528" s="68" t="s">
        <v>1534</v>
      </c>
      <c r="F1528" s="163">
        <v>7</v>
      </c>
      <c r="G1528" s="11">
        <f>F1528*21</f>
        <v>147</v>
      </c>
    </row>
    <row r="1529" spans="1:7">
      <c r="A1529" s="67" t="s">
        <v>1546</v>
      </c>
      <c r="B1529" s="68" t="s">
        <v>22</v>
      </c>
      <c r="C1529" s="68" t="s">
        <v>24</v>
      </c>
      <c r="D1529" s="5">
        <v>1490</v>
      </c>
      <c r="E1529" s="68" t="s">
        <v>1536</v>
      </c>
      <c r="F1529" s="163">
        <v>52</v>
      </c>
      <c r="G1529" s="11">
        <f>F1529*45</f>
        <v>2340</v>
      </c>
    </row>
    <row r="1530" spans="1:7">
      <c r="A1530" s="67" t="s">
        <v>1546</v>
      </c>
      <c r="B1530" s="68" t="s">
        <v>22</v>
      </c>
      <c r="C1530" s="76" t="s">
        <v>27</v>
      </c>
      <c r="D1530" s="5">
        <v>4389</v>
      </c>
      <c r="E1530" s="68" t="s">
        <v>1534</v>
      </c>
      <c r="F1530" s="163">
        <v>29</v>
      </c>
      <c r="G1530" s="11">
        <f>F1530*34</f>
        <v>986</v>
      </c>
    </row>
    <row r="1531" spans="1:7">
      <c r="A1531" s="67" t="s">
        <v>1546</v>
      </c>
      <c r="B1531" s="68" t="s">
        <v>22</v>
      </c>
      <c r="C1531" s="68" t="s">
        <v>31</v>
      </c>
      <c r="D1531" s="5">
        <v>3701</v>
      </c>
      <c r="E1531" s="68" t="s">
        <v>1536</v>
      </c>
      <c r="F1531" s="163">
        <v>700</v>
      </c>
      <c r="G1531" s="11">
        <f>F1531*5</f>
        <v>3500</v>
      </c>
    </row>
    <row r="1532" spans="1:7">
      <c r="A1532" s="67" t="s">
        <v>1546</v>
      </c>
      <c r="B1532" s="68" t="s">
        <v>22</v>
      </c>
      <c r="C1532" s="68" t="s">
        <v>1533</v>
      </c>
      <c r="D1532" s="5">
        <v>6560</v>
      </c>
      <c r="E1532" s="68" t="s">
        <v>1536</v>
      </c>
      <c r="F1532" s="163">
        <v>113</v>
      </c>
      <c r="G1532" s="11"/>
    </row>
    <row r="1533" spans="1:7">
      <c r="A1533" s="67" t="s">
        <v>1546</v>
      </c>
      <c r="B1533" s="68" t="s">
        <v>1539</v>
      </c>
      <c r="C1533" s="68" t="s">
        <v>31</v>
      </c>
      <c r="D1533" s="5">
        <v>3135</v>
      </c>
      <c r="E1533" s="68" t="s">
        <v>1536</v>
      </c>
      <c r="F1533" s="163">
        <v>125</v>
      </c>
      <c r="G1533" s="11">
        <f>F1533*5</f>
        <v>625</v>
      </c>
    </row>
    <row r="1534" spans="1:7">
      <c r="A1534" s="67" t="s">
        <v>1547</v>
      </c>
      <c r="B1534" s="68" t="s">
        <v>22</v>
      </c>
      <c r="C1534" s="68" t="s">
        <v>1533</v>
      </c>
      <c r="D1534" s="5">
        <v>9413</v>
      </c>
      <c r="E1534" s="68" t="s">
        <v>1531</v>
      </c>
      <c r="F1534" s="163">
        <v>54</v>
      </c>
      <c r="G1534" s="11"/>
    </row>
    <row r="1535" spans="1:7">
      <c r="A1535" s="67" t="s">
        <v>1547</v>
      </c>
      <c r="B1535" s="68" t="s">
        <v>22</v>
      </c>
      <c r="C1535" s="76" t="s">
        <v>27</v>
      </c>
      <c r="D1535" s="5">
        <v>8030</v>
      </c>
      <c r="E1535" s="68" t="s">
        <v>1534</v>
      </c>
      <c r="F1535" s="163">
        <v>198</v>
      </c>
      <c r="G1535" s="11">
        <f>F1535*34</f>
        <v>6732</v>
      </c>
    </row>
    <row r="1536" spans="1:7">
      <c r="A1536" s="67" t="s">
        <v>1547</v>
      </c>
      <c r="B1536" s="68" t="s">
        <v>22</v>
      </c>
      <c r="C1536" s="68" t="s">
        <v>24</v>
      </c>
      <c r="D1536" s="5">
        <v>2900</v>
      </c>
      <c r="E1536" s="68" t="s">
        <v>1534</v>
      </c>
      <c r="F1536" s="163">
        <v>60</v>
      </c>
      <c r="G1536" s="11">
        <f>F1536*45</f>
        <v>2700</v>
      </c>
    </row>
    <row r="1537" spans="1:7">
      <c r="A1537" s="67" t="s">
        <v>1547</v>
      </c>
      <c r="B1537" s="68" t="s">
        <v>22</v>
      </c>
      <c r="C1537" s="68" t="s">
        <v>1533</v>
      </c>
      <c r="D1537" s="5">
        <v>7108</v>
      </c>
      <c r="E1537" s="68" t="s">
        <v>1536</v>
      </c>
      <c r="F1537" s="164">
        <v>162</v>
      </c>
      <c r="G1537" s="11"/>
    </row>
    <row r="1538" spans="1:7">
      <c r="A1538" s="67" t="s">
        <v>1547</v>
      </c>
      <c r="B1538" s="68" t="s">
        <v>22</v>
      </c>
      <c r="C1538" s="68" t="s">
        <v>31</v>
      </c>
      <c r="D1538" s="5">
        <v>183</v>
      </c>
      <c r="E1538" s="68" t="s">
        <v>1536</v>
      </c>
      <c r="F1538" s="163">
        <v>10</v>
      </c>
      <c r="G1538" s="11">
        <f>F1538*5</f>
        <v>50</v>
      </c>
    </row>
    <row r="1539" spans="1:7">
      <c r="A1539" s="67" t="s">
        <v>1548</v>
      </c>
      <c r="B1539" s="68" t="s">
        <v>22</v>
      </c>
      <c r="C1539" s="68" t="s">
        <v>1533</v>
      </c>
      <c r="D1539" s="5">
        <v>9009</v>
      </c>
      <c r="E1539" s="68" t="s">
        <v>1531</v>
      </c>
      <c r="F1539" s="163">
        <v>55</v>
      </c>
      <c r="G1539" s="11"/>
    </row>
    <row r="1540" spans="1:7">
      <c r="A1540" s="67" t="s">
        <v>1548</v>
      </c>
      <c r="B1540" s="68" t="s">
        <v>22</v>
      </c>
      <c r="C1540" s="76" t="s">
        <v>29</v>
      </c>
      <c r="D1540" s="5">
        <v>18646</v>
      </c>
      <c r="E1540" s="68" t="s">
        <v>1550</v>
      </c>
      <c r="F1540" s="163">
        <v>0</v>
      </c>
      <c r="G1540" s="11">
        <f>F1540*21</f>
        <v>0</v>
      </c>
    </row>
    <row r="1541" spans="1:7">
      <c r="A1541" s="67" t="s">
        <v>1548</v>
      </c>
      <c r="B1541" s="68" t="s">
        <v>22</v>
      </c>
      <c r="C1541" s="68" t="s">
        <v>24</v>
      </c>
      <c r="D1541" s="5">
        <v>990</v>
      </c>
      <c r="E1541" s="68" t="s">
        <v>1536</v>
      </c>
      <c r="F1541" s="163">
        <v>20</v>
      </c>
      <c r="G1541" s="11">
        <f t="shared" ref="G1541:G1542" si="2">F1541*45</f>
        <v>900</v>
      </c>
    </row>
    <row r="1542" spans="1:7">
      <c r="A1542" s="67" t="s">
        <v>1548</v>
      </c>
      <c r="B1542" s="68" t="s">
        <v>1539</v>
      </c>
      <c r="C1542" s="68" t="s">
        <v>24</v>
      </c>
      <c r="D1542" s="5">
        <v>2780</v>
      </c>
      <c r="E1542" s="68" t="s">
        <v>1536</v>
      </c>
      <c r="F1542" s="163">
        <v>50</v>
      </c>
      <c r="G1542" s="11">
        <f t="shared" si="2"/>
        <v>2250</v>
      </c>
    </row>
    <row r="1543" spans="1:7">
      <c r="A1543" s="67" t="s">
        <v>1548</v>
      </c>
      <c r="B1543" s="68" t="s">
        <v>1552</v>
      </c>
      <c r="C1543" s="76" t="s">
        <v>29</v>
      </c>
      <c r="D1543" s="5">
        <v>6080</v>
      </c>
      <c r="E1543" s="68" t="s">
        <v>1536</v>
      </c>
      <c r="F1543" s="163">
        <v>82</v>
      </c>
      <c r="G1543" s="11">
        <f>F1543*21</f>
        <v>1722</v>
      </c>
    </row>
    <row r="1544" spans="1:7">
      <c r="A1544" s="67" t="s">
        <v>1553</v>
      </c>
      <c r="B1544" s="68" t="s">
        <v>22</v>
      </c>
      <c r="C1544" s="68" t="s">
        <v>1533</v>
      </c>
      <c r="D1544" s="5">
        <v>9098</v>
      </c>
      <c r="E1544" s="68" t="s">
        <v>1531</v>
      </c>
      <c r="F1544" s="163">
        <v>54</v>
      </c>
      <c r="G1544" s="11"/>
    </row>
    <row r="1545" spans="1:7">
      <c r="A1545" s="67" t="s">
        <v>1553</v>
      </c>
      <c r="B1545" s="68" t="s">
        <v>22</v>
      </c>
      <c r="C1545" s="76" t="s">
        <v>27</v>
      </c>
      <c r="D1545" s="5">
        <v>6400</v>
      </c>
      <c r="E1545" s="68" t="s">
        <v>1534</v>
      </c>
      <c r="F1545" s="163">
        <v>80</v>
      </c>
      <c r="G1545" s="11">
        <f t="shared" ref="G1545:G1547" si="3">F1545*34</f>
        <v>2720</v>
      </c>
    </row>
    <row r="1546" spans="1:7">
      <c r="A1546" s="67" t="s">
        <v>1553</v>
      </c>
      <c r="B1546" s="68" t="s">
        <v>22</v>
      </c>
      <c r="C1546" s="76" t="s">
        <v>27</v>
      </c>
      <c r="D1546" s="5">
        <v>2503</v>
      </c>
      <c r="E1546" s="68" t="s">
        <v>1534</v>
      </c>
      <c r="F1546" s="163">
        <v>200</v>
      </c>
      <c r="G1546" s="11">
        <f t="shared" si="3"/>
        <v>6800</v>
      </c>
    </row>
    <row r="1547" spans="1:7">
      <c r="A1547" s="67" t="s">
        <v>1553</v>
      </c>
      <c r="B1547" s="68" t="s">
        <v>22</v>
      </c>
      <c r="C1547" s="76" t="s">
        <v>27</v>
      </c>
      <c r="D1547" s="5">
        <v>1896</v>
      </c>
      <c r="E1547" s="68" t="s">
        <v>1536</v>
      </c>
      <c r="F1547" s="163">
        <v>100</v>
      </c>
      <c r="G1547" s="11">
        <f t="shared" si="3"/>
        <v>3400</v>
      </c>
    </row>
    <row r="1548" spans="1:7">
      <c r="A1548" s="67" t="s">
        <v>1553</v>
      </c>
      <c r="B1548" s="68" t="s">
        <v>1552</v>
      </c>
      <c r="C1548" s="68" t="s">
        <v>31</v>
      </c>
      <c r="D1548" s="5">
        <v>4680</v>
      </c>
      <c r="E1548" s="68" t="s">
        <v>1536</v>
      </c>
      <c r="F1548" s="163">
        <v>27</v>
      </c>
      <c r="G1548" s="11">
        <f>F1548*5</f>
        <v>135</v>
      </c>
    </row>
    <row r="1549" spans="1:7">
      <c r="A1549" s="67" t="s">
        <v>1553</v>
      </c>
      <c r="B1549" s="68" t="s">
        <v>1552</v>
      </c>
      <c r="C1549" s="76" t="s">
        <v>29</v>
      </c>
      <c r="D1549" s="5">
        <v>5130</v>
      </c>
      <c r="E1549" s="68" t="s">
        <v>1536</v>
      </c>
      <c r="F1549" s="163">
        <v>23</v>
      </c>
      <c r="G1549" s="11">
        <f>F1549*21</f>
        <v>483</v>
      </c>
    </row>
    <row r="1550" spans="1:7">
      <c r="A1550" s="67" t="s">
        <v>1555</v>
      </c>
      <c r="B1550" s="68" t="s">
        <v>22</v>
      </c>
      <c r="C1550" s="68" t="s">
        <v>1533</v>
      </c>
      <c r="D1550" s="5">
        <v>8640</v>
      </c>
      <c r="E1550" s="68" t="s">
        <v>1531</v>
      </c>
      <c r="F1550" s="163">
        <v>41</v>
      </c>
      <c r="G1550" s="11"/>
    </row>
    <row r="1551" spans="1:7">
      <c r="A1551" s="67" t="s">
        <v>1555</v>
      </c>
      <c r="B1551" s="68" t="s">
        <v>22</v>
      </c>
      <c r="C1551" s="68" t="s">
        <v>24</v>
      </c>
      <c r="D1551" s="5">
        <v>2700</v>
      </c>
      <c r="E1551" s="68" t="s">
        <v>1534</v>
      </c>
      <c r="F1551" s="163">
        <v>45</v>
      </c>
      <c r="G1551" s="11">
        <f t="shared" ref="G1551:G1552" si="4">F1551*45</f>
        <v>2025</v>
      </c>
    </row>
    <row r="1552" spans="1:7">
      <c r="A1552" s="67" t="s">
        <v>1555</v>
      </c>
      <c r="B1552" s="68" t="s">
        <v>22</v>
      </c>
      <c r="C1552" s="68" t="s">
        <v>24</v>
      </c>
      <c r="D1552" s="5">
        <v>1525</v>
      </c>
      <c r="E1552" s="68" t="s">
        <v>1534</v>
      </c>
      <c r="F1552" s="163">
        <v>55</v>
      </c>
      <c r="G1552" s="11">
        <f t="shared" si="4"/>
        <v>2475</v>
      </c>
    </row>
    <row r="1553" spans="1:7">
      <c r="A1553" s="67" t="s">
        <v>1555</v>
      </c>
      <c r="B1553" s="68" t="s">
        <v>22</v>
      </c>
      <c r="C1553" s="76" t="s">
        <v>27</v>
      </c>
      <c r="D1553" s="5">
        <v>922</v>
      </c>
      <c r="E1553" s="68" t="s">
        <v>1534</v>
      </c>
      <c r="F1553" s="163">
        <v>20</v>
      </c>
      <c r="G1553" s="11">
        <f t="shared" ref="G1553:G1554" si="5">F1553*34</f>
        <v>680</v>
      </c>
    </row>
    <row r="1554" spans="1:7">
      <c r="A1554" s="67" t="s">
        <v>1555</v>
      </c>
      <c r="B1554" s="68" t="s">
        <v>22</v>
      </c>
      <c r="C1554" s="76" t="s">
        <v>27</v>
      </c>
      <c r="D1554" s="5">
        <v>3946</v>
      </c>
      <c r="E1554" s="68" t="s">
        <v>1536</v>
      </c>
      <c r="F1554" s="163">
        <v>50</v>
      </c>
      <c r="G1554" s="11">
        <f t="shared" si="5"/>
        <v>1700</v>
      </c>
    </row>
    <row r="1555" spans="1:7">
      <c r="A1555" s="67" t="s">
        <v>1555</v>
      </c>
      <c r="B1555" s="68" t="s">
        <v>22</v>
      </c>
      <c r="C1555" s="68" t="s">
        <v>24</v>
      </c>
      <c r="D1555" s="5">
        <v>3040</v>
      </c>
      <c r="E1555" s="68" t="s">
        <v>1534</v>
      </c>
      <c r="F1555" s="163">
        <v>52</v>
      </c>
      <c r="G1555" s="11">
        <f>F1555*45</f>
        <v>2340</v>
      </c>
    </row>
    <row r="1556" spans="1:7">
      <c r="A1556" s="67" t="s">
        <v>1555</v>
      </c>
      <c r="B1556" s="68" t="s">
        <v>1552</v>
      </c>
      <c r="C1556" s="76" t="s">
        <v>29</v>
      </c>
      <c r="D1556" s="5">
        <v>4180</v>
      </c>
      <c r="E1556" s="68" t="s">
        <v>1536</v>
      </c>
      <c r="F1556" s="163">
        <v>50</v>
      </c>
      <c r="G1556" s="11">
        <f>F1556*21</f>
        <v>1050</v>
      </c>
    </row>
    <row r="1557" spans="1:7">
      <c r="A1557" s="67" t="s">
        <v>1555</v>
      </c>
      <c r="B1557" s="68" t="s">
        <v>1539</v>
      </c>
      <c r="C1557" s="68" t="s">
        <v>31</v>
      </c>
      <c r="D1557" s="5">
        <v>1260</v>
      </c>
      <c r="E1557" s="68" t="s">
        <v>1536</v>
      </c>
      <c r="F1557" s="163">
        <v>106</v>
      </c>
      <c r="G1557" s="11">
        <f>F1557*5</f>
        <v>530</v>
      </c>
    </row>
    <row r="1558" spans="1:7">
      <c r="A1558" s="67" t="s">
        <v>1557</v>
      </c>
      <c r="B1558" s="68" t="s">
        <v>22</v>
      </c>
      <c r="C1558" s="68" t="s">
        <v>24</v>
      </c>
      <c r="D1558" s="5">
        <v>9620</v>
      </c>
      <c r="E1558" s="68" t="s">
        <v>1534</v>
      </c>
      <c r="F1558" s="163">
        <v>90</v>
      </c>
      <c r="G1558" s="11">
        <f>F1558*45</f>
        <v>4050</v>
      </c>
    </row>
    <row r="1559" spans="1:7">
      <c r="A1559" s="67" t="s">
        <v>1557</v>
      </c>
      <c r="B1559" s="68" t="s">
        <v>22</v>
      </c>
      <c r="C1559" s="76" t="s">
        <v>27</v>
      </c>
      <c r="D1559" s="5">
        <v>1733</v>
      </c>
      <c r="E1559" s="68" t="s">
        <v>1534</v>
      </c>
      <c r="F1559" s="163">
        <v>30</v>
      </c>
      <c r="G1559" s="11">
        <f t="shared" ref="G1559:G1560" si="6">F1559*34</f>
        <v>1020</v>
      </c>
    </row>
    <row r="1560" spans="1:7">
      <c r="A1560" s="67" t="s">
        <v>1557</v>
      </c>
      <c r="B1560" s="68" t="s">
        <v>22</v>
      </c>
      <c r="C1560" s="76" t="s">
        <v>27</v>
      </c>
      <c r="D1560" s="5">
        <v>2300</v>
      </c>
      <c r="E1560" s="68" t="s">
        <v>1536</v>
      </c>
      <c r="F1560" s="163">
        <v>25</v>
      </c>
      <c r="G1560" s="11">
        <f t="shared" si="6"/>
        <v>850</v>
      </c>
    </row>
    <row r="1561" spans="1:7">
      <c r="A1561" s="67" t="s">
        <v>1557</v>
      </c>
      <c r="B1561" s="68" t="s">
        <v>22</v>
      </c>
      <c r="C1561" s="68" t="s">
        <v>1533</v>
      </c>
      <c r="D1561" s="5">
        <v>8640</v>
      </c>
      <c r="E1561" s="68" t="s">
        <v>1531</v>
      </c>
      <c r="F1561" s="163">
        <v>48</v>
      </c>
      <c r="G1561" s="11"/>
    </row>
    <row r="1562" spans="1:7">
      <c r="A1562" s="67" t="s">
        <v>1557</v>
      </c>
      <c r="B1562" s="68" t="s">
        <v>1539</v>
      </c>
      <c r="C1562" s="68" t="s">
        <v>31</v>
      </c>
      <c r="D1562" s="5">
        <v>7020</v>
      </c>
      <c r="E1562" s="68" t="s">
        <v>1536</v>
      </c>
      <c r="F1562" s="163">
        <v>525</v>
      </c>
      <c r="G1562" s="11">
        <f>F1562*5</f>
        <v>2625</v>
      </c>
    </row>
    <row r="1563" spans="1:7">
      <c r="A1563" s="67" t="s">
        <v>1558</v>
      </c>
      <c r="B1563" s="68" t="s">
        <v>22</v>
      </c>
      <c r="C1563" s="76" t="s">
        <v>27</v>
      </c>
      <c r="D1563" s="5">
        <v>3240</v>
      </c>
      <c r="E1563" s="68" t="s">
        <v>1531</v>
      </c>
      <c r="F1563" s="163">
        <v>37</v>
      </c>
      <c r="G1563" s="11">
        <f>F1563*34</f>
        <v>1258</v>
      </c>
    </row>
    <row r="1564" spans="1:7">
      <c r="A1564" s="67" t="s">
        <v>1558</v>
      </c>
      <c r="B1564" s="68" t="s">
        <v>22</v>
      </c>
      <c r="C1564" s="68" t="s">
        <v>1533</v>
      </c>
      <c r="D1564" s="5">
        <v>680</v>
      </c>
      <c r="E1564" s="68" t="s">
        <v>1531</v>
      </c>
      <c r="F1564" s="163">
        <v>10</v>
      </c>
      <c r="G1564" s="11"/>
    </row>
    <row r="1565" spans="1:7">
      <c r="A1565" s="67" t="s">
        <v>1558</v>
      </c>
      <c r="B1565" s="68" t="s">
        <v>1539</v>
      </c>
      <c r="C1565" s="68" t="s">
        <v>24</v>
      </c>
      <c r="D1565" s="5">
        <v>3060</v>
      </c>
      <c r="E1565" s="68" t="s">
        <v>1534</v>
      </c>
      <c r="F1565" s="163">
        <v>14</v>
      </c>
      <c r="G1565" s="11">
        <f>F1565*45</f>
        <v>630</v>
      </c>
    </row>
    <row r="1566" spans="1:7">
      <c r="A1566" s="67" t="s">
        <v>1558</v>
      </c>
      <c r="B1566" s="68" t="s">
        <v>22</v>
      </c>
      <c r="C1566" s="76" t="s">
        <v>27</v>
      </c>
      <c r="D1566" s="5">
        <v>3922</v>
      </c>
      <c r="E1566" s="68" t="s">
        <v>1534</v>
      </c>
      <c r="F1566" s="163">
        <v>120</v>
      </c>
      <c r="G1566" s="11">
        <f>F1566*34</f>
        <v>4080</v>
      </c>
    </row>
    <row r="1567" spans="1:7">
      <c r="A1567" s="67" t="s">
        <v>1558</v>
      </c>
      <c r="B1567" s="68" t="s">
        <v>22</v>
      </c>
      <c r="C1567" s="68" t="s">
        <v>24</v>
      </c>
      <c r="D1567" s="5">
        <v>2145</v>
      </c>
      <c r="E1567" s="68" t="s">
        <v>1559</v>
      </c>
      <c r="F1567" s="163">
        <v>0</v>
      </c>
      <c r="G1567" s="11">
        <f>F1567*45</f>
        <v>0</v>
      </c>
    </row>
    <row r="1568" spans="1:7">
      <c r="A1568" s="67" t="s">
        <v>1558</v>
      </c>
      <c r="B1568" s="68" t="s">
        <v>22</v>
      </c>
      <c r="C1568" s="76" t="s">
        <v>29</v>
      </c>
      <c r="D1568" s="5">
        <v>3880</v>
      </c>
      <c r="E1568" s="68" t="s">
        <v>1560</v>
      </c>
      <c r="F1568" s="163">
        <v>0</v>
      </c>
      <c r="G1568" s="11">
        <f>F1568*21</f>
        <v>0</v>
      </c>
    </row>
    <row r="1569" spans="1:7">
      <c r="A1569" s="67" t="s">
        <v>1558</v>
      </c>
      <c r="B1569" s="68" t="s">
        <v>1539</v>
      </c>
      <c r="C1569" s="68" t="s">
        <v>31</v>
      </c>
      <c r="D1569" s="5">
        <v>6120</v>
      </c>
      <c r="E1569" s="68" t="s">
        <v>1536</v>
      </c>
      <c r="F1569" s="163">
        <v>730</v>
      </c>
      <c r="G1569" s="11">
        <f>F1569*5</f>
        <v>3650</v>
      </c>
    </row>
    <row r="1570" spans="1:7">
      <c r="A1570" s="67" t="s">
        <v>1561</v>
      </c>
      <c r="B1570" s="68" t="s">
        <v>22</v>
      </c>
      <c r="C1570" s="79" t="s">
        <v>1562</v>
      </c>
      <c r="D1570" s="5">
        <v>7077</v>
      </c>
      <c r="E1570" s="68" t="s">
        <v>1531</v>
      </c>
      <c r="F1570" s="163">
        <v>48</v>
      </c>
      <c r="G1570" s="11"/>
    </row>
    <row r="1571" spans="1:7">
      <c r="A1571" s="67" t="s">
        <v>1561</v>
      </c>
      <c r="B1571" s="68" t="s">
        <v>22</v>
      </c>
      <c r="C1571" s="76" t="s">
        <v>29</v>
      </c>
      <c r="D1571" s="5">
        <v>2320</v>
      </c>
      <c r="E1571" s="68" t="s">
        <v>1560</v>
      </c>
      <c r="F1571" s="163">
        <v>20</v>
      </c>
      <c r="G1571" s="11">
        <f>F1571*21</f>
        <v>420</v>
      </c>
    </row>
    <row r="1572" spans="1:7">
      <c r="A1572" s="67" t="s">
        <v>1561</v>
      </c>
      <c r="B1572" s="68" t="s">
        <v>1539</v>
      </c>
      <c r="C1572" s="68" t="s">
        <v>24</v>
      </c>
      <c r="D1572" s="5">
        <v>4633</v>
      </c>
      <c r="E1572" s="68" t="s">
        <v>1559</v>
      </c>
      <c r="F1572" s="163">
        <v>0</v>
      </c>
      <c r="G1572" s="11">
        <f>F1572*45</f>
        <v>0</v>
      </c>
    </row>
    <row r="1573" spans="1:7">
      <c r="A1573" s="67" t="s">
        <v>1561</v>
      </c>
      <c r="B1573" s="68" t="s">
        <v>22</v>
      </c>
      <c r="C1573" s="76" t="s">
        <v>27</v>
      </c>
      <c r="D1573" s="5">
        <v>608</v>
      </c>
      <c r="E1573" s="68" t="s">
        <v>1534</v>
      </c>
      <c r="F1573" s="163">
        <v>35</v>
      </c>
      <c r="G1573" s="11">
        <f>F1573*34</f>
        <v>1190</v>
      </c>
    </row>
    <row r="1574" spans="1:7">
      <c r="A1574" s="67" t="s">
        <v>1561</v>
      </c>
      <c r="B1574" s="68" t="s">
        <v>22</v>
      </c>
      <c r="C1574" s="68" t="s">
        <v>1533</v>
      </c>
      <c r="D1574" s="5">
        <v>4320</v>
      </c>
      <c r="E1574" s="68" t="s">
        <v>1534</v>
      </c>
      <c r="F1574" s="164">
        <v>150</v>
      </c>
      <c r="G1574" s="11"/>
    </row>
    <row r="1575" spans="1:7">
      <c r="A1575" s="67" t="s">
        <v>1561</v>
      </c>
      <c r="B1575" s="68" t="s">
        <v>22</v>
      </c>
      <c r="C1575" s="68" t="s">
        <v>1533</v>
      </c>
      <c r="D1575" s="5">
        <v>7740</v>
      </c>
      <c r="E1575" s="68" t="s">
        <v>1536</v>
      </c>
      <c r="F1575" s="163">
        <v>200</v>
      </c>
      <c r="G1575" s="11"/>
    </row>
    <row r="1576" spans="1:7">
      <c r="A1576" s="67" t="s">
        <v>1561</v>
      </c>
      <c r="B1576" s="68" t="s">
        <v>22</v>
      </c>
      <c r="C1576" s="68" t="s">
        <v>31</v>
      </c>
      <c r="D1576" s="5">
        <v>3780</v>
      </c>
      <c r="E1576" s="68" t="s">
        <v>1536</v>
      </c>
      <c r="F1576" s="163">
        <v>114</v>
      </c>
      <c r="G1576" s="11">
        <f>F1576*5</f>
        <v>570</v>
      </c>
    </row>
    <row r="1577" spans="1:7">
      <c r="A1577" s="67" t="s">
        <v>1561</v>
      </c>
      <c r="B1577" s="68" t="s">
        <v>22</v>
      </c>
      <c r="C1577" s="76" t="s">
        <v>27</v>
      </c>
      <c r="D1577" s="5">
        <v>2880</v>
      </c>
      <c r="E1577" s="68" t="s">
        <v>1536</v>
      </c>
      <c r="F1577" s="163">
        <v>50</v>
      </c>
      <c r="G1577" s="11">
        <f>F1577*34</f>
        <v>1700</v>
      </c>
    </row>
    <row r="1578" spans="1:7">
      <c r="A1578" s="38" t="s">
        <v>1563</v>
      </c>
      <c r="B1578" s="68" t="s">
        <v>22</v>
      </c>
      <c r="C1578" s="68" t="s">
        <v>1533</v>
      </c>
      <c r="D1578" s="5">
        <v>7505</v>
      </c>
      <c r="E1578" s="68" t="s">
        <v>1534</v>
      </c>
      <c r="F1578" s="163">
        <v>207</v>
      </c>
      <c r="G1578" s="11"/>
    </row>
    <row r="1579" spans="1:7">
      <c r="A1579" s="38" t="s">
        <v>1563</v>
      </c>
      <c r="B1579" s="68" t="s">
        <v>1539</v>
      </c>
      <c r="C1579" s="68" t="s">
        <v>31</v>
      </c>
      <c r="D1579" s="5">
        <v>8280</v>
      </c>
      <c r="E1579" s="68" t="s">
        <v>1536</v>
      </c>
      <c r="F1579" s="163">
        <v>280</v>
      </c>
      <c r="G1579" s="11">
        <f>F1579*5</f>
        <v>1400</v>
      </c>
    </row>
    <row r="1580" spans="1:7">
      <c r="A1580" s="77" t="s">
        <v>1564</v>
      </c>
      <c r="B1580" s="68" t="s">
        <v>22</v>
      </c>
      <c r="C1580" s="76" t="s">
        <v>27</v>
      </c>
      <c r="D1580" s="5">
        <v>2227</v>
      </c>
      <c r="E1580" s="68" t="s">
        <v>1536</v>
      </c>
      <c r="F1580" s="163">
        <v>64</v>
      </c>
      <c r="G1580" s="11">
        <f>F1580*34</f>
        <v>2176</v>
      </c>
    </row>
    <row r="1581" spans="1:7">
      <c r="A1581" s="77" t="s">
        <v>1564</v>
      </c>
      <c r="B1581" s="68" t="s">
        <v>22</v>
      </c>
      <c r="C1581" s="68" t="s">
        <v>1533</v>
      </c>
      <c r="D1581" s="5">
        <v>3865</v>
      </c>
      <c r="E1581" s="68" t="s">
        <v>1534</v>
      </c>
      <c r="F1581" s="163">
        <v>100</v>
      </c>
      <c r="G1581" s="11"/>
    </row>
    <row r="1582" spans="1:7">
      <c r="A1582" s="77" t="s">
        <v>1564</v>
      </c>
      <c r="B1582" s="68" t="s">
        <v>1539</v>
      </c>
      <c r="C1582" s="68" t="s">
        <v>31</v>
      </c>
      <c r="D1582" s="5">
        <v>7920</v>
      </c>
      <c r="E1582" s="68" t="s">
        <v>1536</v>
      </c>
      <c r="F1582" s="164">
        <v>330</v>
      </c>
      <c r="G1582" s="11">
        <f>F1582*5</f>
        <v>1650</v>
      </c>
    </row>
    <row r="1583" spans="1:7">
      <c r="A1583" s="77" t="s">
        <v>1565</v>
      </c>
      <c r="B1583" s="68" t="s">
        <v>22</v>
      </c>
      <c r="C1583" s="68" t="s">
        <v>24</v>
      </c>
      <c r="D1583" s="5">
        <v>2880</v>
      </c>
      <c r="E1583" s="68" t="s">
        <v>1534</v>
      </c>
      <c r="F1583" s="164">
        <v>10</v>
      </c>
      <c r="G1583" s="11">
        <f>F1583*45</f>
        <v>450</v>
      </c>
    </row>
    <row r="1584" spans="1:7">
      <c r="A1584" s="77" t="s">
        <v>1565</v>
      </c>
      <c r="B1584" s="68" t="s">
        <v>22</v>
      </c>
      <c r="C1584" s="68" t="s">
        <v>1533</v>
      </c>
      <c r="D1584" s="5">
        <v>2527</v>
      </c>
      <c r="E1584" s="68" t="s">
        <v>1536</v>
      </c>
      <c r="F1584" s="164">
        <v>42</v>
      </c>
      <c r="G1584" s="11"/>
    </row>
    <row r="1585" spans="1:7">
      <c r="A1585" s="77" t="s">
        <v>1565</v>
      </c>
      <c r="B1585" s="68" t="s">
        <v>22</v>
      </c>
      <c r="C1585" s="68" t="s">
        <v>31</v>
      </c>
      <c r="D1585" s="5">
        <v>6680</v>
      </c>
      <c r="E1585" s="68" t="s">
        <v>1536</v>
      </c>
      <c r="F1585" s="164">
        <v>255</v>
      </c>
      <c r="G1585" s="11">
        <f>F1585*5</f>
        <v>1275</v>
      </c>
    </row>
    <row r="1586" spans="1:7">
      <c r="A1586" s="77" t="s">
        <v>1566</v>
      </c>
      <c r="B1586" s="68" t="s">
        <v>1539</v>
      </c>
      <c r="C1586" s="68" t="s">
        <v>24</v>
      </c>
      <c r="D1586" s="5">
        <v>2340</v>
      </c>
      <c r="E1586" s="68" t="s">
        <v>1534</v>
      </c>
      <c r="F1586" s="164">
        <v>70</v>
      </c>
      <c r="G1586" s="11">
        <f t="shared" ref="G1586:G1587" si="7">F1586*45</f>
        <v>3150</v>
      </c>
    </row>
    <row r="1587" spans="1:7">
      <c r="A1587" s="77" t="s">
        <v>1566</v>
      </c>
      <c r="B1587" s="68" t="s">
        <v>22</v>
      </c>
      <c r="C1587" s="68" t="s">
        <v>24</v>
      </c>
      <c r="D1587" s="5">
        <v>1260</v>
      </c>
      <c r="E1587" s="68" t="s">
        <v>1534</v>
      </c>
      <c r="F1587" s="164">
        <v>35</v>
      </c>
      <c r="G1587" s="11">
        <f t="shared" si="7"/>
        <v>1575</v>
      </c>
    </row>
    <row r="1588" spans="1:7">
      <c r="A1588" s="77" t="s">
        <v>1566</v>
      </c>
      <c r="B1588" s="68" t="s">
        <v>1539</v>
      </c>
      <c r="C1588" s="68" t="s">
        <v>31</v>
      </c>
      <c r="D1588" s="5">
        <v>7200</v>
      </c>
      <c r="E1588" s="68" t="s">
        <v>1536</v>
      </c>
      <c r="F1588" s="163">
        <v>580</v>
      </c>
      <c r="G1588" s="11">
        <f>F1588*5</f>
        <v>2900</v>
      </c>
    </row>
    <row r="1589" spans="1:7">
      <c r="A1589" s="77" t="s">
        <v>1567</v>
      </c>
      <c r="B1589" s="68" t="s">
        <v>22</v>
      </c>
      <c r="C1589" s="68" t="s">
        <v>1533</v>
      </c>
      <c r="D1589" s="5">
        <v>4500</v>
      </c>
      <c r="E1589" s="68" t="s">
        <v>1534</v>
      </c>
      <c r="F1589" s="163">
        <v>68</v>
      </c>
      <c r="G1589" s="11"/>
    </row>
    <row r="1590" spans="1:7">
      <c r="A1590" s="77" t="s">
        <v>1567</v>
      </c>
      <c r="B1590" s="68" t="s">
        <v>1539</v>
      </c>
      <c r="C1590" s="68" t="s">
        <v>31</v>
      </c>
      <c r="D1590" s="5">
        <v>3600</v>
      </c>
      <c r="E1590" s="68" t="s">
        <v>1536</v>
      </c>
      <c r="F1590" s="163">
        <v>521</v>
      </c>
      <c r="G1590" s="11">
        <f t="shared" ref="G1590:G1591" si="8">F1590*5</f>
        <v>2605</v>
      </c>
    </row>
    <row r="1591" spans="1:7">
      <c r="A1591" s="77" t="s">
        <v>1567</v>
      </c>
      <c r="B1591" s="68" t="s">
        <v>22</v>
      </c>
      <c r="C1591" s="68" t="s">
        <v>31</v>
      </c>
      <c r="D1591" s="5">
        <v>1440</v>
      </c>
      <c r="E1591" s="68" t="s">
        <v>1536</v>
      </c>
      <c r="F1591" s="163">
        <v>138</v>
      </c>
      <c r="G1591" s="11">
        <f t="shared" si="8"/>
        <v>690</v>
      </c>
    </row>
    <row r="1592" spans="1:7">
      <c r="A1592" s="77" t="s">
        <v>1568</v>
      </c>
      <c r="B1592" s="68" t="s">
        <v>1539</v>
      </c>
      <c r="C1592" s="68" t="s">
        <v>24</v>
      </c>
      <c r="D1592" s="5">
        <v>900</v>
      </c>
      <c r="E1592" s="68" t="s">
        <v>1534</v>
      </c>
      <c r="F1592" s="163">
        <v>49</v>
      </c>
      <c r="G1592" s="11">
        <f>F1592*45</f>
        <v>2205</v>
      </c>
    </row>
    <row r="1593" spans="1:7">
      <c r="A1593" s="77" t="s">
        <v>1568</v>
      </c>
      <c r="B1593" s="68" t="s">
        <v>22</v>
      </c>
      <c r="C1593" s="68" t="s">
        <v>1533</v>
      </c>
      <c r="D1593" s="5">
        <v>3600</v>
      </c>
      <c r="E1593" s="68" t="s">
        <v>1534</v>
      </c>
      <c r="F1593" s="163">
        <v>70</v>
      </c>
      <c r="G1593" s="11"/>
    </row>
    <row r="1594" spans="1:7">
      <c r="A1594" s="77" t="s">
        <v>1568</v>
      </c>
      <c r="B1594" s="68" t="s">
        <v>1539</v>
      </c>
      <c r="C1594" s="76" t="s">
        <v>29</v>
      </c>
      <c r="D1594" s="5">
        <v>9720</v>
      </c>
      <c r="E1594" s="68" t="s">
        <v>1550</v>
      </c>
      <c r="F1594" s="163">
        <v>0</v>
      </c>
      <c r="G1594" s="11">
        <f>F1594*21</f>
        <v>0</v>
      </c>
    </row>
    <row r="1595" spans="1:7">
      <c r="A1595" s="77" t="s">
        <v>1568</v>
      </c>
      <c r="B1595" s="68" t="s">
        <v>22</v>
      </c>
      <c r="C1595" s="5" t="s">
        <v>31</v>
      </c>
      <c r="D1595" s="5">
        <v>3080</v>
      </c>
      <c r="E1595" s="68" t="s">
        <v>1536</v>
      </c>
      <c r="F1595" s="163">
        <v>100</v>
      </c>
      <c r="G1595" s="11">
        <f t="shared" ref="G1595:G1598" si="9">F1595*5</f>
        <v>500</v>
      </c>
    </row>
    <row r="1596" spans="1:7">
      <c r="A1596" s="77" t="s">
        <v>1568</v>
      </c>
      <c r="B1596" s="68" t="s">
        <v>1539</v>
      </c>
      <c r="C1596" s="5" t="s">
        <v>31</v>
      </c>
      <c r="D1596" s="5">
        <v>2340</v>
      </c>
      <c r="E1596" s="68" t="s">
        <v>1536</v>
      </c>
      <c r="F1596" s="163">
        <v>97</v>
      </c>
      <c r="G1596" s="11">
        <f t="shared" si="9"/>
        <v>485</v>
      </c>
    </row>
    <row r="1597" spans="1:7">
      <c r="A1597" s="77" t="s">
        <v>1569</v>
      </c>
      <c r="B1597" s="68" t="s">
        <v>1539</v>
      </c>
      <c r="C1597" s="68" t="s">
        <v>31</v>
      </c>
      <c r="D1597" s="5">
        <v>3470</v>
      </c>
      <c r="E1597" s="68" t="s">
        <v>1536</v>
      </c>
      <c r="F1597" s="163">
        <v>265</v>
      </c>
      <c r="G1597" s="11">
        <f t="shared" si="9"/>
        <v>1325</v>
      </c>
    </row>
    <row r="1598" spans="1:7">
      <c r="A1598" s="77" t="s">
        <v>1569</v>
      </c>
      <c r="B1598" s="68" t="s">
        <v>22</v>
      </c>
      <c r="C1598" s="68" t="s">
        <v>31</v>
      </c>
      <c r="D1598" s="5">
        <v>1800</v>
      </c>
      <c r="E1598" s="68" t="s">
        <v>1536</v>
      </c>
      <c r="F1598" s="163">
        <v>275</v>
      </c>
      <c r="G1598" s="11">
        <f t="shared" si="9"/>
        <v>1375</v>
      </c>
    </row>
    <row r="1599" spans="1:7">
      <c r="A1599" s="77" t="s">
        <v>1570</v>
      </c>
      <c r="B1599" s="68" t="s">
        <v>22</v>
      </c>
      <c r="C1599" s="76" t="s">
        <v>29</v>
      </c>
      <c r="D1599" s="5">
        <v>5600</v>
      </c>
      <c r="E1599" s="68" t="s">
        <v>1550</v>
      </c>
      <c r="F1599" s="163">
        <v>0</v>
      </c>
      <c r="G1599" s="11">
        <f>F1599*21</f>
        <v>0</v>
      </c>
    </row>
    <row r="1600" spans="1:7">
      <c r="A1600" s="77" t="s">
        <v>1570</v>
      </c>
      <c r="B1600" s="68" t="s">
        <v>22</v>
      </c>
      <c r="C1600" s="68" t="s">
        <v>31</v>
      </c>
      <c r="D1600" s="5">
        <v>900</v>
      </c>
      <c r="E1600" s="68" t="s">
        <v>1536</v>
      </c>
      <c r="F1600" s="163">
        <v>100</v>
      </c>
      <c r="G1600" s="11">
        <f t="shared" ref="G1600:G1601" si="10">F1600*5</f>
        <v>500</v>
      </c>
    </row>
    <row r="1601" spans="1:7">
      <c r="A1601" s="77" t="s">
        <v>1570</v>
      </c>
      <c r="B1601" s="68" t="s">
        <v>1539</v>
      </c>
      <c r="C1601" s="68" t="s">
        <v>31</v>
      </c>
      <c r="D1601" s="5">
        <v>1620</v>
      </c>
      <c r="E1601" s="68" t="s">
        <v>1536</v>
      </c>
      <c r="F1601" s="164">
        <v>163</v>
      </c>
      <c r="G1601" s="11">
        <f t="shared" si="10"/>
        <v>815</v>
      </c>
    </row>
    <row r="1602" spans="1:7">
      <c r="A1602" s="77" t="s">
        <v>1571</v>
      </c>
      <c r="B1602" s="68" t="s">
        <v>22</v>
      </c>
      <c r="C1602" s="76" t="s">
        <v>29</v>
      </c>
      <c r="D1602" s="5">
        <v>1730</v>
      </c>
      <c r="E1602" s="68" t="s">
        <v>1560</v>
      </c>
      <c r="F1602" s="164">
        <v>3</v>
      </c>
      <c r="G1602" s="11">
        <f t="shared" ref="G1602:G1603" si="11">F1602*21</f>
        <v>63</v>
      </c>
    </row>
    <row r="1603" spans="1:7">
      <c r="A1603" s="77" t="s">
        <v>1571</v>
      </c>
      <c r="B1603" s="68" t="s">
        <v>22</v>
      </c>
      <c r="C1603" s="76" t="s">
        <v>29</v>
      </c>
      <c r="D1603" s="5">
        <v>12155</v>
      </c>
      <c r="E1603" s="68" t="s">
        <v>1550</v>
      </c>
      <c r="F1603" s="164">
        <v>0</v>
      </c>
      <c r="G1603" s="11">
        <f t="shared" si="11"/>
        <v>0</v>
      </c>
    </row>
    <row r="1604" spans="1:7">
      <c r="A1604" s="77" t="s">
        <v>1571</v>
      </c>
      <c r="B1604" s="68" t="s">
        <v>22</v>
      </c>
      <c r="C1604" s="68" t="s">
        <v>1533</v>
      </c>
      <c r="D1604" s="5">
        <v>7020</v>
      </c>
      <c r="E1604" s="68" t="s">
        <v>1534</v>
      </c>
      <c r="F1604" s="163">
        <v>135</v>
      </c>
      <c r="G1604" s="11"/>
    </row>
    <row r="1605" spans="1:7">
      <c r="A1605" s="77" t="s">
        <v>1571</v>
      </c>
      <c r="B1605" s="68" t="s">
        <v>1539</v>
      </c>
      <c r="C1605" s="68" t="s">
        <v>31</v>
      </c>
      <c r="D1605" s="5">
        <v>4860</v>
      </c>
      <c r="E1605" s="68" t="s">
        <v>1536</v>
      </c>
      <c r="F1605" s="163">
        <v>200</v>
      </c>
      <c r="G1605" s="11">
        <f t="shared" ref="G1605:G1606" si="12">F1605*5</f>
        <v>1000</v>
      </c>
    </row>
    <row r="1606" spans="1:7">
      <c r="A1606" s="77" t="s">
        <v>1571</v>
      </c>
      <c r="B1606" s="68" t="s">
        <v>22</v>
      </c>
      <c r="C1606" s="68" t="s">
        <v>31</v>
      </c>
      <c r="D1606" s="5">
        <v>2730</v>
      </c>
      <c r="E1606" s="68" t="s">
        <v>1536</v>
      </c>
      <c r="F1606" s="163">
        <v>137</v>
      </c>
      <c r="G1606" s="11">
        <f t="shared" si="12"/>
        <v>685</v>
      </c>
    </row>
    <row r="1607" spans="1:7">
      <c r="A1607" s="77" t="s">
        <v>1572</v>
      </c>
      <c r="B1607" s="68" t="s">
        <v>22</v>
      </c>
      <c r="C1607" s="76" t="s">
        <v>27</v>
      </c>
      <c r="D1607" s="5">
        <v>29200</v>
      </c>
      <c r="E1607" s="68" t="s">
        <v>1550</v>
      </c>
      <c r="F1607" s="163">
        <v>0</v>
      </c>
      <c r="G1607" s="11">
        <f>F1607*34</f>
        <v>0</v>
      </c>
    </row>
    <row r="1608" spans="1:7">
      <c r="A1608" s="77" t="s">
        <v>1572</v>
      </c>
      <c r="B1608" s="68" t="s">
        <v>22</v>
      </c>
      <c r="C1608" s="68" t="s">
        <v>1533</v>
      </c>
      <c r="D1608" s="5">
        <v>5220</v>
      </c>
      <c r="E1608" s="68" t="s">
        <v>1534</v>
      </c>
      <c r="F1608" s="163">
        <v>140</v>
      </c>
      <c r="G1608" s="11"/>
    </row>
    <row r="1609" spans="1:7">
      <c r="A1609" s="77" t="s">
        <v>1572</v>
      </c>
      <c r="B1609" s="68" t="s">
        <v>1539</v>
      </c>
      <c r="C1609" s="68" t="s">
        <v>31</v>
      </c>
      <c r="D1609" s="5">
        <v>1620</v>
      </c>
      <c r="E1609" s="68" t="s">
        <v>1536</v>
      </c>
      <c r="F1609" s="163">
        <v>79</v>
      </c>
      <c r="G1609" s="11">
        <f t="shared" ref="G1609:G1610" si="13">F1609*5</f>
        <v>395</v>
      </c>
    </row>
    <row r="1610" spans="1:7">
      <c r="A1610" s="77" t="s">
        <v>1572</v>
      </c>
      <c r="B1610" s="68" t="s">
        <v>22</v>
      </c>
      <c r="C1610" s="68" t="s">
        <v>31</v>
      </c>
      <c r="D1610" s="5">
        <v>2160</v>
      </c>
      <c r="E1610" s="68" t="s">
        <v>1536</v>
      </c>
      <c r="F1610" s="163">
        <v>100</v>
      </c>
      <c r="G1610" s="11">
        <f t="shared" si="13"/>
        <v>500</v>
      </c>
    </row>
    <row r="1611" spans="1:7">
      <c r="A1611" s="77" t="s">
        <v>1573</v>
      </c>
      <c r="B1611" s="68" t="s">
        <v>22</v>
      </c>
      <c r="C1611" s="76" t="s">
        <v>29</v>
      </c>
      <c r="D1611" s="5">
        <v>14310</v>
      </c>
      <c r="E1611" s="68" t="s">
        <v>1550</v>
      </c>
      <c r="F1611" s="163">
        <v>0</v>
      </c>
      <c r="G1611" s="11">
        <f>F1611*21</f>
        <v>0</v>
      </c>
    </row>
    <row r="1612" spans="1:7">
      <c r="A1612" s="77" t="s">
        <v>1573</v>
      </c>
      <c r="B1612" s="68" t="s">
        <v>1539</v>
      </c>
      <c r="C1612" s="68" t="s">
        <v>31</v>
      </c>
      <c r="D1612" s="5">
        <v>1440</v>
      </c>
      <c r="E1612" s="68" t="s">
        <v>1536</v>
      </c>
      <c r="F1612" s="163">
        <v>95</v>
      </c>
      <c r="G1612" s="11">
        <f t="shared" ref="G1612:G1613" si="14">F1612*5</f>
        <v>475</v>
      </c>
    </row>
    <row r="1613" spans="1:7">
      <c r="A1613" s="77" t="s">
        <v>1573</v>
      </c>
      <c r="B1613" s="68" t="s">
        <v>22</v>
      </c>
      <c r="C1613" s="68" t="s">
        <v>31</v>
      </c>
      <c r="D1613" s="5">
        <v>1980</v>
      </c>
      <c r="E1613" s="68" t="s">
        <v>1536</v>
      </c>
      <c r="F1613" s="163">
        <v>63</v>
      </c>
      <c r="G1613" s="11">
        <f t="shared" si="14"/>
        <v>315</v>
      </c>
    </row>
    <row r="1614" spans="1:7">
      <c r="A1614" s="77" t="s">
        <v>1574</v>
      </c>
      <c r="B1614" s="68" t="s">
        <v>22</v>
      </c>
      <c r="C1614" s="76" t="s">
        <v>29</v>
      </c>
      <c r="D1614" s="5">
        <v>3468</v>
      </c>
      <c r="E1614" s="68" t="s">
        <v>1560</v>
      </c>
      <c r="F1614" s="163">
        <v>73</v>
      </c>
      <c r="G1614" s="11">
        <f t="shared" ref="G1614:G1615" si="15">F1614*21</f>
        <v>1533</v>
      </c>
    </row>
    <row r="1615" spans="1:7">
      <c r="A1615" s="77" t="s">
        <v>1574</v>
      </c>
      <c r="B1615" s="68" t="s">
        <v>1539</v>
      </c>
      <c r="C1615" s="76" t="s">
        <v>29</v>
      </c>
      <c r="D1615" s="5">
        <v>3250</v>
      </c>
      <c r="E1615" s="68" t="s">
        <v>1550</v>
      </c>
      <c r="F1615" s="163">
        <v>0</v>
      </c>
      <c r="G1615" s="11">
        <f t="shared" si="15"/>
        <v>0</v>
      </c>
    </row>
    <row r="1616" spans="1:7">
      <c r="A1616" s="77" t="s">
        <v>1574</v>
      </c>
      <c r="B1616" s="68" t="s">
        <v>22</v>
      </c>
      <c r="C1616" s="76" t="s">
        <v>27</v>
      </c>
      <c r="D1616" s="5">
        <v>2754</v>
      </c>
      <c r="E1616" s="68" t="s">
        <v>1550</v>
      </c>
      <c r="F1616" s="163">
        <v>0</v>
      </c>
      <c r="G1616" s="11">
        <f>F1616*34</f>
        <v>0</v>
      </c>
    </row>
    <row r="1617" spans="1:7">
      <c r="A1617" s="77" t="s">
        <v>1576</v>
      </c>
      <c r="B1617" s="68" t="s">
        <v>22</v>
      </c>
      <c r="C1617" s="76" t="s">
        <v>29</v>
      </c>
      <c r="D1617" s="5">
        <v>8109</v>
      </c>
      <c r="E1617" s="68" t="s">
        <v>1550</v>
      </c>
      <c r="F1617" s="163">
        <v>0</v>
      </c>
      <c r="G1617" s="11">
        <f>F1617*21</f>
        <v>0</v>
      </c>
    </row>
    <row r="1618" spans="1:7">
      <c r="A1618" s="77" t="s">
        <v>1576</v>
      </c>
      <c r="B1618" s="68" t="s">
        <v>22</v>
      </c>
      <c r="C1618" s="76" t="s">
        <v>27</v>
      </c>
      <c r="D1618" s="5">
        <v>7344</v>
      </c>
      <c r="E1618" s="68" t="s">
        <v>1550</v>
      </c>
      <c r="F1618" s="163">
        <v>0</v>
      </c>
      <c r="G1618" s="11">
        <f>F1618*34</f>
        <v>0</v>
      </c>
    </row>
    <row r="1619" spans="1:7">
      <c r="A1619" s="77" t="s">
        <v>1576</v>
      </c>
      <c r="B1619" s="68" t="s">
        <v>22</v>
      </c>
      <c r="C1619" s="68" t="s">
        <v>1533</v>
      </c>
      <c r="D1619" s="5">
        <v>3635</v>
      </c>
      <c r="E1619" s="68" t="s">
        <v>1534</v>
      </c>
      <c r="F1619" s="163">
        <v>5</v>
      </c>
      <c r="G1619" s="11"/>
    </row>
    <row r="1620" spans="1:7">
      <c r="A1620" s="77" t="s">
        <v>1576</v>
      </c>
      <c r="B1620" s="68" t="s">
        <v>22</v>
      </c>
      <c r="C1620" s="68" t="s">
        <v>1533</v>
      </c>
      <c r="D1620" s="5">
        <v>7920</v>
      </c>
      <c r="E1620" s="68" t="s">
        <v>1560</v>
      </c>
      <c r="F1620" s="163">
        <v>85</v>
      </c>
      <c r="G1620" s="11"/>
    </row>
    <row r="1621" spans="1:7">
      <c r="A1621" s="77" t="s">
        <v>1576</v>
      </c>
      <c r="B1621" s="68" t="s">
        <v>1539</v>
      </c>
      <c r="C1621" s="68" t="s">
        <v>31</v>
      </c>
      <c r="D1621" s="5">
        <v>2160</v>
      </c>
      <c r="E1621" s="68" t="s">
        <v>1536</v>
      </c>
      <c r="F1621" s="163">
        <v>75</v>
      </c>
      <c r="G1621" s="11">
        <f t="shared" ref="G1621:G1622" si="16">F1621*5</f>
        <v>375</v>
      </c>
    </row>
    <row r="1622" spans="1:7">
      <c r="A1622" s="77" t="s">
        <v>1576</v>
      </c>
      <c r="B1622" s="68" t="s">
        <v>22</v>
      </c>
      <c r="C1622" s="68" t="s">
        <v>31</v>
      </c>
      <c r="D1622" s="5">
        <v>2435</v>
      </c>
      <c r="E1622" s="68" t="s">
        <v>1536</v>
      </c>
      <c r="F1622" s="163">
        <v>75</v>
      </c>
      <c r="G1622" s="11">
        <f t="shared" si="16"/>
        <v>375</v>
      </c>
    </row>
    <row r="1623" spans="1:7">
      <c r="A1623" s="77" t="s">
        <v>1577</v>
      </c>
      <c r="B1623" s="68" t="s">
        <v>22</v>
      </c>
      <c r="C1623" s="68" t="s">
        <v>1533</v>
      </c>
      <c r="D1623" s="5">
        <v>4680</v>
      </c>
      <c r="E1623" s="68" t="s">
        <v>1534</v>
      </c>
      <c r="F1623" s="164">
        <v>85</v>
      </c>
      <c r="G1623" s="11"/>
    </row>
    <row r="1624" spans="1:7">
      <c r="A1624" s="77" t="s">
        <v>1577</v>
      </c>
      <c r="B1624" s="68" t="s">
        <v>22</v>
      </c>
      <c r="C1624" s="76" t="s">
        <v>29</v>
      </c>
      <c r="D1624" s="5">
        <v>10886</v>
      </c>
      <c r="E1624" s="68" t="s">
        <v>1550</v>
      </c>
      <c r="F1624" s="164">
        <v>0</v>
      </c>
      <c r="G1624" s="11">
        <f t="shared" ref="G1624:G1625" si="17">F1624*21</f>
        <v>0</v>
      </c>
    </row>
    <row r="1625" spans="1:7">
      <c r="A1625" s="77" t="s">
        <v>1577</v>
      </c>
      <c r="B1625" s="68" t="s">
        <v>22</v>
      </c>
      <c r="C1625" s="76" t="s">
        <v>29</v>
      </c>
      <c r="D1625" s="5">
        <v>5320</v>
      </c>
      <c r="E1625" s="68" t="s">
        <v>1560</v>
      </c>
      <c r="F1625" s="164">
        <v>123</v>
      </c>
      <c r="G1625" s="11">
        <f t="shared" si="17"/>
        <v>2583</v>
      </c>
    </row>
    <row r="1626" spans="1:7">
      <c r="A1626" s="77" t="s">
        <v>1577</v>
      </c>
      <c r="B1626" s="68" t="s">
        <v>1539</v>
      </c>
      <c r="C1626" s="68" t="s">
        <v>31</v>
      </c>
      <c r="D1626" s="5">
        <v>3420</v>
      </c>
      <c r="E1626" s="68" t="s">
        <v>1536</v>
      </c>
      <c r="F1626" s="164">
        <v>133</v>
      </c>
      <c r="G1626" s="11">
        <f>F1626*5</f>
        <v>665</v>
      </c>
    </row>
    <row r="1627" spans="1:7">
      <c r="A1627" s="77" t="s">
        <v>1578</v>
      </c>
      <c r="B1627" s="68" t="s">
        <v>22</v>
      </c>
      <c r="C1627" s="68" t="s">
        <v>1533</v>
      </c>
      <c r="D1627" s="5">
        <v>3240</v>
      </c>
      <c r="E1627" s="68" t="s">
        <v>1534</v>
      </c>
      <c r="F1627" s="164">
        <v>110</v>
      </c>
      <c r="G1627" s="11"/>
    </row>
    <row r="1628" spans="1:7">
      <c r="A1628" s="77" t="s">
        <v>1578</v>
      </c>
      <c r="B1628" s="68" t="s">
        <v>22</v>
      </c>
      <c r="C1628" s="68" t="s">
        <v>1533</v>
      </c>
      <c r="D1628" s="5">
        <v>7200</v>
      </c>
      <c r="E1628" s="68" t="s">
        <v>1560</v>
      </c>
      <c r="F1628" s="164">
        <v>168</v>
      </c>
      <c r="G1628" s="11"/>
    </row>
    <row r="1629" spans="1:7">
      <c r="A1629" s="77" t="s">
        <v>1578</v>
      </c>
      <c r="B1629" s="68" t="s">
        <v>22</v>
      </c>
      <c r="C1629" s="76" t="s">
        <v>29</v>
      </c>
      <c r="D1629" s="5">
        <v>10098</v>
      </c>
      <c r="E1629" s="68" t="s">
        <v>1550</v>
      </c>
      <c r="F1629" s="164">
        <v>198</v>
      </c>
      <c r="G1629" s="11">
        <f t="shared" ref="G1629:G1630" si="18">F1629*21</f>
        <v>4158</v>
      </c>
    </row>
    <row r="1630" spans="1:7">
      <c r="A1630" s="77" t="s">
        <v>1578</v>
      </c>
      <c r="B1630" s="68" t="s">
        <v>22</v>
      </c>
      <c r="C1630" s="76" t="s">
        <v>29</v>
      </c>
      <c r="D1630" s="5">
        <v>5508</v>
      </c>
      <c r="E1630" s="68" t="s">
        <v>1550</v>
      </c>
      <c r="F1630" s="164">
        <v>0</v>
      </c>
      <c r="G1630" s="11">
        <f t="shared" si="18"/>
        <v>0</v>
      </c>
    </row>
    <row r="1631" spans="1:7">
      <c r="A1631" s="77" t="s">
        <v>1578</v>
      </c>
      <c r="B1631" s="68" t="s">
        <v>22</v>
      </c>
      <c r="C1631" s="76" t="s">
        <v>27</v>
      </c>
      <c r="D1631" s="5">
        <v>4986</v>
      </c>
      <c r="E1631" s="68" t="s">
        <v>1550</v>
      </c>
      <c r="F1631" s="164">
        <v>0</v>
      </c>
      <c r="G1631" s="11">
        <f>F1631*34</f>
        <v>0</v>
      </c>
    </row>
    <row r="1632" spans="1:7">
      <c r="A1632" s="77" t="s">
        <v>1578</v>
      </c>
      <c r="B1632" s="68" t="s">
        <v>1539</v>
      </c>
      <c r="C1632" s="68" t="s">
        <v>31</v>
      </c>
      <c r="D1632" s="5">
        <v>2880</v>
      </c>
      <c r="E1632" s="68" t="s">
        <v>1536</v>
      </c>
      <c r="F1632" s="164">
        <v>124</v>
      </c>
      <c r="G1632" s="11">
        <f>F1632*5</f>
        <v>620</v>
      </c>
    </row>
    <row r="1633" spans="1:7">
      <c r="A1633" s="77" t="s">
        <v>1579</v>
      </c>
      <c r="B1633" s="68" t="s">
        <v>22</v>
      </c>
      <c r="C1633" s="68" t="s">
        <v>1533</v>
      </c>
      <c r="D1633" s="5">
        <v>7920</v>
      </c>
      <c r="E1633" s="68" t="s">
        <v>1534</v>
      </c>
      <c r="F1633" s="164">
        <v>72</v>
      </c>
      <c r="G1633" s="11"/>
    </row>
    <row r="1634" spans="1:7">
      <c r="A1634" s="77" t="s">
        <v>1579</v>
      </c>
      <c r="B1634" s="68" t="s">
        <v>22</v>
      </c>
      <c r="C1634" s="68" t="s">
        <v>1533</v>
      </c>
      <c r="D1634" s="5">
        <v>3060</v>
      </c>
      <c r="E1634" s="68" t="s">
        <v>1560</v>
      </c>
      <c r="F1634" s="164">
        <v>25</v>
      </c>
      <c r="G1634" s="11"/>
    </row>
    <row r="1635" spans="1:7">
      <c r="A1635" s="77" t="s">
        <v>1579</v>
      </c>
      <c r="B1635" s="68" t="s">
        <v>22</v>
      </c>
      <c r="C1635" s="76" t="s">
        <v>27</v>
      </c>
      <c r="D1635" s="5">
        <v>16155</v>
      </c>
      <c r="E1635" s="68" t="s">
        <v>1550</v>
      </c>
      <c r="F1635" s="164">
        <v>0</v>
      </c>
      <c r="G1635" s="11">
        <f>F1635*34</f>
        <v>0</v>
      </c>
    </row>
    <row r="1636" spans="1:7">
      <c r="A1636" s="77" t="s">
        <v>1579</v>
      </c>
      <c r="B1636" s="68" t="s">
        <v>22</v>
      </c>
      <c r="C1636" s="76" t="s">
        <v>29</v>
      </c>
      <c r="D1636" s="5">
        <v>5363</v>
      </c>
      <c r="E1636" s="68" t="s">
        <v>1550</v>
      </c>
      <c r="F1636" s="164">
        <v>0</v>
      </c>
      <c r="G1636" s="11">
        <f t="shared" ref="G1636:G1638" si="19">F1636*21</f>
        <v>0</v>
      </c>
    </row>
    <row r="1637" spans="1:7">
      <c r="A1637" s="77" t="s">
        <v>1579</v>
      </c>
      <c r="B1637" s="68" t="s">
        <v>22</v>
      </c>
      <c r="C1637" s="76" t="s">
        <v>29</v>
      </c>
      <c r="D1637" s="5">
        <v>12305</v>
      </c>
      <c r="E1637" s="68" t="s">
        <v>1550</v>
      </c>
      <c r="F1637" s="164">
        <v>0</v>
      </c>
      <c r="G1637" s="11">
        <f t="shared" si="19"/>
        <v>0</v>
      </c>
    </row>
    <row r="1638" spans="1:7">
      <c r="A1638" s="77" t="s">
        <v>1579</v>
      </c>
      <c r="B1638" s="68" t="s">
        <v>22</v>
      </c>
      <c r="C1638" s="76" t="s">
        <v>29</v>
      </c>
      <c r="D1638" s="5">
        <v>2765</v>
      </c>
      <c r="E1638" s="68" t="s">
        <v>1560</v>
      </c>
      <c r="F1638" s="164">
        <v>38</v>
      </c>
      <c r="G1638" s="11">
        <f t="shared" si="19"/>
        <v>798</v>
      </c>
    </row>
    <row r="1639" spans="1:7">
      <c r="A1639" s="77" t="s">
        <v>1579</v>
      </c>
      <c r="B1639" s="68" t="s">
        <v>1539</v>
      </c>
      <c r="C1639" s="68" t="s">
        <v>31</v>
      </c>
      <c r="D1639" s="5">
        <v>3060</v>
      </c>
      <c r="E1639" s="68" t="s">
        <v>1536</v>
      </c>
      <c r="F1639" s="164">
        <v>273</v>
      </c>
      <c r="G1639" s="11">
        <f t="shared" ref="G1639:G1640" si="20">F1639*5</f>
        <v>1365</v>
      </c>
    </row>
    <row r="1640" spans="1:7">
      <c r="A1640" s="77" t="s">
        <v>1579</v>
      </c>
      <c r="B1640" s="68" t="s">
        <v>22</v>
      </c>
      <c r="C1640" s="68" t="s">
        <v>31</v>
      </c>
      <c r="D1640" s="5">
        <v>1045</v>
      </c>
      <c r="E1640" s="68" t="s">
        <v>1536</v>
      </c>
      <c r="F1640" s="164">
        <v>46</v>
      </c>
      <c r="G1640" s="11">
        <f t="shared" si="20"/>
        <v>230</v>
      </c>
    </row>
    <row r="1641" spans="1:7">
      <c r="A1641" s="67" t="s">
        <v>1580</v>
      </c>
      <c r="B1641" s="68" t="s">
        <v>22</v>
      </c>
      <c r="C1641" s="68" t="s">
        <v>1533</v>
      </c>
      <c r="D1641" s="5">
        <v>5346</v>
      </c>
      <c r="E1641" s="68" t="s">
        <v>1534</v>
      </c>
      <c r="F1641" s="163">
        <v>150</v>
      </c>
      <c r="G1641" s="11"/>
    </row>
    <row r="1642" spans="1:7">
      <c r="A1642" s="67" t="s">
        <v>1580</v>
      </c>
      <c r="B1642" s="5" t="s">
        <v>22</v>
      </c>
      <c r="C1642" s="76" t="s">
        <v>29</v>
      </c>
      <c r="D1642" s="5">
        <v>8262</v>
      </c>
      <c r="E1642" s="5" t="s">
        <v>1550</v>
      </c>
      <c r="F1642" s="164">
        <v>0</v>
      </c>
      <c r="G1642" s="11">
        <f t="shared" ref="G1642:G1643" si="21">F1642*21</f>
        <v>0</v>
      </c>
    </row>
    <row r="1643" spans="1:7">
      <c r="A1643" s="67" t="s">
        <v>1580</v>
      </c>
      <c r="B1643" s="5" t="s">
        <v>22</v>
      </c>
      <c r="C1643" s="76" t="s">
        <v>29</v>
      </c>
      <c r="D1643" s="5">
        <v>4590</v>
      </c>
      <c r="E1643" s="5" t="s">
        <v>1550</v>
      </c>
      <c r="F1643" s="164">
        <v>0</v>
      </c>
      <c r="G1643" s="11">
        <f t="shared" si="21"/>
        <v>0</v>
      </c>
    </row>
    <row r="1644" spans="1:7">
      <c r="A1644" s="67" t="s">
        <v>1580</v>
      </c>
      <c r="B1644" s="5" t="s">
        <v>22</v>
      </c>
      <c r="C1644" s="76" t="s">
        <v>27</v>
      </c>
      <c r="D1644" s="5">
        <v>13770</v>
      </c>
      <c r="E1644" s="5" t="s">
        <v>1550</v>
      </c>
      <c r="F1644" s="164">
        <v>0</v>
      </c>
      <c r="G1644" s="11">
        <f>F1644*34</f>
        <v>0</v>
      </c>
    </row>
    <row r="1645" spans="1:7">
      <c r="A1645" s="67" t="s">
        <v>1580</v>
      </c>
      <c r="B1645" s="5" t="s">
        <v>22</v>
      </c>
      <c r="C1645" s="5" t="s">
        <v>31</v>
      </c>
      <c r="D1645" s="5">
        <v>7020</v>
      </c>
      <c r="E1645" s="5" t="s">
        <v>1536</v>
      </c>
      <c r="F1645" s="164">
        <v>734</v>
      </c>
      <c r="G1645" s="11">
        <f>F1645*5</f>
        <v>3670</v>
      </c>
    </row>
    <row r="1646" spans="1:7">
      <c r="A1646" s="67" t="s">
        <v>1581</v>
      </c>
      <c r="B1646" s="10" t="s">
        <v>22</v>
      </c>
      <c r="C1646" s="68" t="s">
        <v>1533</v>
      </c>
      <c r="D1646" s="5">
        <v>7373</v>
      </c>
      <c r="E1646" s="10" t="s">
        <v>1534</v>
      </c>
      <c r="F1646" s="163">
        <v>162</v>
      </c>
      <c r="G1646" s="11"/>
    </row>
    <row r="1647" spans="1:7">
      <c r="A1647" s="67" t="s">
        <v>1581</v>
      </c>
      <c r="B1647" s="10" t="s">
        <v>22</v>
      </c>
      <c r="C1647" s="76" t="s">
        <v>27</v>
      </c>
      <c r="D1647" s="5">
        <v>9180</v>
      </c>
      <c r="E1647" s="10" t="s">
        <v>1550</v>
      </c>
      <c r="F1647" s="163">
        <v>0</v>
      </c>
      <c r="G1647" s="11">
        <f>F1647*34</f>
        <v>0</v>
      </c>
    </row>
    <row r="1648" spans="1:7">
      <c r="A1648" s="67" t="s">
        <v>1581</v>
      </c>
      <c r="B1648" s="10" t="s">
        <v>22</v>
      </c>
      <c r="C1648" s="76" t="s">
        <v>29</v>
      </c>
      <c r="D1648" s="5">
        <v>2754</v>
      </c>
      <c r="E1648" s="10" t="s">
        <v>1550</v>
      </c>
      <c r="F1648" s="163">
        <v>0</v>
      </c>
      <c r="G1648" s="11">
        <f t="shared" ref="G1648:G1649" si="22">F1648*21</f>
        <v>0</v>
      </c>
    </row>
    <row r="1649" spans="1:7">
      <c r="A1649" s="67" t="s">
        <v>1581</v>
      </c>
      <c r="B1649" s="10" t="s">
        <v>22</v>
      </c>
      <c r="C1649" s="76" t="s">
        <v>29</v>
      </c>
      <c r="D1649" s="5">
        <v>7344</v>
      </c>
      <c r="E1649" s="10" t="s">
        <v>1550</v>
      </c>
      <c r="F1649" s="163">
        <v>0</v>
      </c>
      <c r="G1649" s="11">
        <f t="shared" si="22"/>
        <v>0</v>
      </c>
    </row>
    <row r="1650" spans="1:7">
      <c r="A1650" s="67" t="s">
        <v>1581</v>
      </c>
      <c r="B1650" s="10" t="s">
        <v>1539</v>
      </c>
      <c r="C1650" s="10" t="s">
        <v>31</v>
      </c>
      <c r="D1650" s="5">
        <v>3230</v>
      </c>
      <c r="E1650" s="10" t="s">
        <v>1536</v>
      </c>
      <c r="F1650" s="163">
        <v>270</v>
      </c>
      <c r="G1650" s="11">
        <f t="shared" ref="G1650:G1652" si="23">F1650*5</f>
        <v>1350</v>
      </c>
    </row>
    <row r="1651" spans="1:7">
      <c r="A1651" s="67" t="s">
        <v>1581</v>
      </c>
      <c r="B1651" s="10" t="s">
        <v>22</v>
      </c>
      <c r="C1651" s="10" t="s">
        <v>31</v>
      </c>
      <c r="D1651" s="5">
        <v>1765</v>
      </c>
      <c r="E1651" s="10" t="s">
        <v>1536</v>
      </c>
      <c r="F1651" s="163">
        <v>112</v>
      </c>
      <c r="G1651" s="11">
        <f t="shared" si="23"/>
        <v>560</v>
      </c>
    </row>
    <row r="1652" spans="1:7">
      <c r="A1652" s="67" t="s">
        <v>1582</v>
      </c>
      <c r="B1652" s="10" t="s">
        <v>1539</v>
      </c>
      <c r="C1652" s="10" t="s">
        <v>31</v>
      </c>
      <c r="D1652" s="5">
        <v>1700</v>
      </c>
      <c r="E1652" s="10" t="s">
        <v>1536</v>
      </c>
      <c r="F1652" s="163">
        <v>206</v>
      </c>
      <c r="G1652" s="11">
        <f t="shared" si="23"/>
        <v>1030</v>
      </c>
    </row>
    <row r="1653" spans="1:7">
      <c r="A1653" s="67" t="s">
        <v>1583</v>
      </c>
      <c r="B1653" s="10" t="s">
        <v>22</v>
      </c>
      <c r="C1653" s="76" t="s">
        <v>29</v>
      </c>
      <c r="D1653" s="5">
        <v>6426</v>
      </c>
      <c r="E1653" s="10" t="s">
        <v>1550</v>
      </c>
      <c r="F1653" s="163">
        <v>0</v>
      </c>
      <c r="G1653" s="11">
        <f>F1653*21</f>
        <v>0</v>
      </c>
    </row>
    <row r="1654" spans="1:7">
      <c r="A1654" s="67" t="s">
        <v>1583</v>
      </c>
      <c r="B1654" s="10" t="s">
        <v>22</v>
      </c>
      <c r="C1654" s="76" t="s">
        <v>27</v>
      </c>
      <c r="D1654" s="10">
        <v>7344</v>
      </c>
      <c r="E1654" s="10" t="s">
        <v>1550</v>
      </c>
      <c r="F1654" s="163">
        <v>0</v>
      </c>
      <c r="G1654" s="11">
        <f>F1654*34</f>
        <v>0</v>
      </c>
    </row>
    <row r="1655" spans="1:7">
      <c r="A1655" s="67" t="s">
        <v>1583</v>
      </c>
      <c r="B1655" s="10" t="s">
        <v>1539</v>
      </c>
      <c r="C1655" s="10" t="s">
        <v>31</v>
      </c>
      <c r="D1655" s="10">
        <v>5480</v>
      </c>
      <c r="E1655" s="10" t="s">
        <v>1536</v>
      </c>
      <c r="F1655" s="163">
        <v>685</v>
      </c>
      <c r="G1655" s="11">
        <f>F1655*5</f>
        <v>3425</v>
      </c>
    </row>
    <row r="1656" spans="1:7">
      <c r="A1656" s="67" t="s">
        <v>1584</v>
      </c>
      <c r="B1656" s="10" t="s">
        <v>22</v>
      </c>
      <c r="C1656" s="76" t="s">
        <v>29</v>
      </c>
      <c r="D1656" s="10">
        <v>6426</v>
      </c>
      <c r="E1656" s="10" t="s">
        <v>1550</v>
      </c>
      <c r="F1656" s="163">
        <v>0</v>
      </c>
      <c r="G1656" s="11">
        <f>F1656*21</f>
        <v>0</v>
      </c>
    </row>
    <row r="1657" spans="1:7">
      <c r="A1657" s="67" t="s">
        <v>1584</v>
      </c>
      <c r="B1657" s="10" t="s">
        <v>22</v>
      </c>
      <c r="C1657" s="76" t="s">
        <v>27</v>
      </c>
      <c r="D1657" s="10">
        <v>6426</v>
      </c>
      <c r="E1657" s="10" t="s">
        <v>1550</v>
      </c>
      <c r="F1657" s="163">
        <v>0</v>
      </c>
      <c r="G1657" s="11">
        <f>F1657*34</f>
        <v>0</v>
      </c>
    </row>
    <row r="1658" spans="1:7">
      <c r="A1658" s="67" t="s">
        <v>1584</v>
      </c>
      <c r="B1658" s="10" t="s">
        <v>22</v>
      </c>
      <c r="C1658" s="68" t="s">
        <v>1533</v>
      </c>
      <c r="D1658" s="10">
        <v>5940</v>
      </c>
      <c r="E1658" s="10" t="s">
        <v>1534</v>
      </c>
      <c r="F1658" s="163">
        <v>252</v>
      </c>
      <c r="G1658" s="11"/>
    </row>
    <row r="1659" spans="1:7">
      <c r="A1659" s="67" t="s">
        <v>1584</v>
      </c>
      <c r="B1659" s="10" t="s">
        <v>1539</v>
      </c>
      <c r="C1659" s="10" t="s">
        <v>31</v>
      </c>
      <c r="D1659" s="10">
        <v>5750</v>
      </c>
      <c r="E1659" s="10" t="s">
        <v>1536</v>
      </c>
      <c r="F1659" s="163">
        <v>380</v>
      </c>
      <c r="G1659" s="11">
        <f>F1659*5</f>
        <v>1900</v>
      </c>
    </row>
    <row r="1660" spans="1:7">
      <c r="A1660" s="67" t="s">
        <v>1585</v>
      </c>
      <c r="B1660" s="10" t="s">
        <v>22</v>
      </c>
      <c r="C1660" s="10" t="s">
        <v>24</v>
      </c>
      <c r="D1660" s="10">
        <v>5604</v>
      </c>
      <c r="E1660" s="10" t="s">
        <v>1534</v>
      </c>
      <c r="F1660" s="163">
        <v>141</v>
      </c>
      <c r="G1660" s="11">
        <f>F1660*45</f>
        <v>6345</v>
      </c>
    </row>
    <row r="1661" spans="1:7">
      <c r="A1661" s="67" t="s">
        <v>1585</v>
      </c>
      <c r="B1661" s="10" t="s">
        <v>22</v>
      </c>
      <c r="C1661" s="76" t="s">
        <v>29</v>
      </c>
      <c r="D1661" s="10">
        <v>6426</v>
      </c>
      <c r="E1661" s="10" t="s">
        <v>1550</v>
      </c>
      <c r="F1661" s="163">
        <v>0</v>
      </c>
      <c r="G1661" s="11">
        <f>F1661*21</f>
        <v>0</v>
      </c>
    </row>
    <row r="1662" spans="1:7">
      <c r="A1662" s="67" t="s">
        <v>1585</v>
      </c>
      <c r="B1662" s="10" t="s">
        <v>22</v>
      </c>
      <c r="C1662" s="76" t="s">
        <v>27</v>
      </c>
      <c r="D1662" s="10">
        <v>7344</v>
      </c>
      <c r="E1662" s="10" t="s">
        <v>1550</v>
      </c>
      <c r="F1662" s="163">
        <v>0</v>
      </c>
      <c r="G1662" s="11">
        <f>F1662*34</f>
        <v>0</v>
      </c>
    </row>
    <row r="1663" spans="1:7">
      <c r="A1663" s="67" t="s">
        <v>1585</v>
      </c>
      <c r="B1663" s="10" t="s">
        <v>1539</v>
      </c>
      <c r="C1663" s="10" t="s">
        <v>31</v>
      </c>
      <c r="D1663" s="10">
        <v>5580</v>
      </c>
      <c r="E1663" s="10" t="s">
        <v>1536</v>
      </c>
      <c r="F1663" s="163">
        <v>301</v>
      </c>
      <c r="G1663" s="11">
        <f t="shared" ref="G1663:G1664" si="24">F1663*5</f>
        <v>1505</v>
      </c>
    </row>
    <row r="1664" spans="1:7">
      <c r="A1664" s="67" t="s">
        <v>1585</v>
      </c>
      <c r="B1664" s="10" t="s">
        <v>1552</v>
      </c>
      <c r="C1664" s="10" t="s">
        <v>31</v>
      </c>
      <c r="D1664" s="10">
        <v>1900</v>
      </c>
      <c r="E1664" s="10" t="s">
        <v>1536</v>
      </c>
      <c r="F1664" s="163">
        <v>235</v>
      </c>
      <c r="G1664" s="11">
        <f t="shared" si="24"/>
        <v>1175</v>
      </c>
    </row>
    <row r="1665" spans="1:7">
      <c r="A1665" s="67" t="s">
        <v>1586</v>
      </c>
      <c r="B1665" s="10" t="s">
        <v>22</v>
      </c>
      <c r="C1665" s="10" t="s">
        <v>24</v>
      </c>
      <c r="D1665" s="10">
        <v>5805</v>
      </c>
      <c r="E1665" s="10" t="s">
        <v>1534</v>
      </c>
      <c r="F1665" s="163">
        <v>135</v>
      </c>
      <c r="G1665" s="11">
        <f>F1665*45</f>
        <v>6075</v>
      </c>
    </row>
    <row r="1666" spans="1:7">
      <c r="A1666" s="67" t="s">
        <v>1586</v>
      </c>
      <c r="B1666" s="10" t="s">
        <v>22</v>
      </c>
      <c r="C1666" s="76" t="s">
        <v>29</v>
      </c>
      <c r="D1666" s="10">
        <v>2754</v>
      </c>
      <c r="E1666" s="10" t="s">
        <v>1550</v>
      </c>
      <c r="F1666" s="163">
        <v>0</v>
      </c>
      <c r="G1666" s="11">
        <f>F1666*21</f>
        <v>0</v>
      </c>
    </row>
    <row r="1667" spans="1:7">
      <c r="A1667" s="67" t="s">
        <v>1586</v>
      </c>
      <c r="B1667" s="10" t="s">
        <v>22</v>
      </c>
      <c r="C1667" s="76" t="s">
        <v>27</v>
      </c>
      <c r="D1667" s="10">
        <v>6426</v>
      </c>
      <c r="E1667" s="10" t="s">
        <v>1550</v>
      </c>
      <c r="F1667" s="163">
        <v>0</v>
      </c>
      <c r="G1667" s="11">
        <f>F1667*34</f>
        <v>0</v>
      </c>
    </row>
    <row r="1668" spans="1:7">
      <c r="A1668" s="67" t="s">
        <v>1586</v>
      </c>
      <c r="B1668" s="10" t="s">
        <v>22</v>
      </c>
      <c r="C1668" s="76" t="s">
        <v>29</v>
      </c>
      <c r="D1668" s="10">
        <v>2413</v>
      </c>
      <c r="E1668" s="10" t="s">
        <v>1550</v>
      </c>
      <c r="F1668" s="163">
        <v>0</v>
      </c>
      <c r="G1668" s="11">
        <f>F1668*21</f>
        <v>0</v>
      </c>
    </row>
    <row r="1669" spans="1:7">
      <c r="A1669" s="67" t="s">
        <v>1586</v>
      </c>
      <c r="B1669" s="10" t="s">
        <v>1539</v>
      </c>
      <c r="C1669" s="10" t="s">
        <v>31</v>
      </c>
      <c r="D1669" s="10">
        <v>5040</v>
      </c>
      <c r="E1669" s="10" t="s">
        <v>1536</v>
      </c>
      <c r="F1669" s="163">
        <v>500</v>
      </c>
      <c r="G1669" s="11">
        <f t="shared" ref="G1669:G1670" si="25">F1669*5</f>
        <v>2500</v>
      </c>
    </row>
    <row r="1670" spans="1:7">
      <c r="A1670" s="67" t="s">
        <v>1586</v>
      </c>
      <c r="B1670" s="10" t="s">
        <v>1552</v>
      </c>
      <c r="C1670" s="10" t="s">
        <v>31</v>
      </c>
      <c r="D1670" s="10">
        <v>1900</v>
      </c>
      <c r="E1670" s="10" t="s">
        <v>1536</v>
      </c>
      <c r="F1670" s="163">
        <v>186</v>
      </c>
      <c r="G1670" s="11">
        <f t="shared" si="25"/>
        <v>930</v>
      </c>
    </row>
    <row r="1671" spans="1:7">
      <c r="A1671" s="67" t="s">
        <v>1587</v>
      </c>
      <c r="B1671" s="10" t="s">
        <v>22</v>
      </c>
      <c r="C1671" s="10" t="s">
        <v>24</v>
      </c>
      <c r="D1671" s="10">
        <v>3750</v>
      </c>
      <c r="E1671" s="10" t="s">
        <v>1588</v>
      </c>
      <c r="F1671" s="163">
        <v>108</v>
      </c>
      <c r="G1671" s="11">
        <f t="shared" ref="G1671:G1672" si="26">F1671*45</f>
        <v>4860</v>
      </c>
    </row>
    <row r="1672" spans="1:7">
      <c r="A1672" s="67" t="s">
        <v>1587</v>
      </c>
      <c r="B1672" s="10" t="s">
        <v>22</v>
      </c>
      <c r="C1672" s="10" t="s">
        <v>24</v>
      </c>
      <c r="D1672" s="10">
        <v>2295</v>
      </c>
      <c r="E1672" s="10" t="s">
        <v>1534</v>
      </c>
      <c r="F1672" s="163">
        <v>87</v>
      </c>
      <c r="G1672" s="11">
        <f t="shared" si="26"/>
        <v>3915</v>
      </c>
    </row>
    <row r="1673" spans="1:7">
      <c r="A1673" s="67" t="s">
        <v>1587</v>
      </c>
      <c r="B1673" s="10" t="s">
        <v>22</v>
      </c>
      <c r="C1673" s="76" t="s">
        <v>27</v>
      </c>
      <c r="D1673" s="10">
        <v>6243</v>
      </c>
      <c r="E1673" s="10" t="s">
        <v>1550</v>
      </c>
      <c r="F1673" s="163">
        <v>0</v>
      </c>
      <c r="G1673" s="11">
        <f>F1673*34</f>
        <v>0</v>
      </c>
    </row>
    <row r="1674" spans="1:7">
      <c r="A1674" s="67" t="s">
        <v>1587</v>
      </c>
      <c r="B1674" s="10" t="s">
        <v>22</v>
      </c>
      <c r="C1674" s="76" t="s">
        <v>29</v>
      </c>
      <c r="D1674" s="10">
        <v>5508</v>
      </c>
      <c r="E1674" s="10" t="s">
        <v>1550</v>
      </c>
      <c r="F1674" s="163">
        <v>0</v>
      </c>
      <c r="G1674" s="11">
        <f>F1674*21</f>
        <v>0</v>
      </c>
    </row>
    <row r="1675" spans="1:7">
      <c r="A1675" s="67" t="s">
        <v>1587</v>
      </c>
      <c r="B1675" s="10" t="s">
        <v>1539</v>
      </c>
      <c r="C1675" s="10" t="s">
        <v>31</v>
      </c>
      <c r="D1675" s="10">
        <v>2880</v>
      </c>
      <c r="E1675" s="10" t="s">
        <v>1536</v>
      </c>
      <c r="F1675" s="163">
        <v>300</v>
      </c>
      <c r="G1675" s="11">
        <f t="shared" ref="G1675:G1676" si="27">F1675*5</f>
        <v>1500</v>
      </c>
    </row>
    <row r="1676" spans="1:7">
      <c r="A1676" s="67" t="s">
        <v>1587</v>
      </c>
      <c r="B1676" s="10" t="s">
        <v>1552</v>
      </c>
      <c r="C1676" s="10" t="s">
        <v>31</v>
      </c>
      <c r="D1676" s="10">
        <v>950</v>
      </c>
      <c r="E1676" s="10" t="s">
        <v>1536</v>
      </c>
      <c r="F1676" s="163">
        <v>80</v>
      </c>
      <c r="G1676" s="11">
        <f t="shared" si="27"/>
        <v>400</v>
      </c>
    </row>
    <row r="1677" spans="1:7">
      <c r="A1677" s="67" t="s">
        <v>1589</v>
      </c>
      <c r="B1677" s="10" t="s">
        <v>22</v>
      </c>
      <c r="C1677" s="10" t="s">
        <v>24</v>
      </c>
      <c r="D1677" s="10">
        <v>3855</v>
      </c>
      <c r="E1677" s="10" t="s">
        <v>1534</v>
      </c>
      <c r="F1677" s="163">
        <v>39</v>
      </c>
      <c r="G1677" s="11">
        <f t="shared" ref="G1677:G1678" si="28">F1677*45</f>
        <v>1755</v>
      </c>
    </row>
    <row r="1678" spans="1:7">
      <c r="A1678" s="67" t="s">
        <v>1589</v>
      </c>
      <c r="B1678" s="10" t="s">
        <v>22</v>
      </c>
      <c r="C1678" s="10" t="s">
        <v>24</v>
      </c>
      <c r="D1678" s="10">
        <v>3880</v>
      </c>
      <c r="E1678" s="10" t="s">
        <v>1588</v>
      </c>
      <c r="F1678" s="163">
        <v>64</v>
      </c>
      <c r="G1678" s="11">
        <f t="shared" si="28"/>
        <v>2880</v>
      </c>
    </row>
    <row r="1679" spans="1:7">
      <c r="A1679" s="67" t="s">
        <v>1589</v>
      </c>
      <c r="B1679" s="10" t="s">
        <v>22</v>
      </c>
      <c r="C1679" s="76" t="s">
        <v>29</v>
      </c>
      <c r="D1679" s="10">
        <v>1284</v>
      </c>
      <c r="E1679" s="10" t="s">
        <v>1550</v>
      </c>
      <c r="F1679" s="163">
        <v>0</v>
      </c>
      <c r="G1679" s="11">
        <f>F1679*21</f>
        <v>0</v>
      </c>
    </row>
    <row r="1680" spans="1:7">
      <c r="A1680" s="67" t="s">
        <v>1589</v>
      </c>
      <c r="B1680" s="10" t="s">
        <v>22</v>
      </c>
      <c r="C1680" s="76" t="s">
        <v>27</v>
      </c>
      <c r="D1680" s="10">
        <v>6060</v>
      </c>
      <c r="E1680" s="10" t="s">
        <v>1550</v>
      </c>
      <c r="F1680" s="163">
        <v>0</v>
      </c>
      <c r="G1680" s="11">
        <f>F1680*34</f>
        <v>0</v>
      </c>
    </row>
    <row r="1681" spans="1:7">
      <c r="A1681" s="67" t="s">
        <v>1589</v>
      </c>
      <c r="B1681" s="10" t="s">
        <v>1539</v>
      </c>
      <c r="C1681" s="10" t="s">
        <v>31</v>
      </c>
      <c r="D1681" s="10">
        <v>3060</v>
      </c>
      <c r="E1681" s="10" t="s">
        <v>1536</v>
      </c>
      <c r="F1681" s="163">
        <v>80</v>
      </c>
      <c r="G1681" s="11">
        <f t="shared" ref="G1681:G1682" si="29">F1681*5</f>
        <v>400</v>
      </c>
    </row>
    <row r="1682" spans="1:7">
      <c r="A1682" s="67" t="s">
        <v>1589</v>
      </c>
      <c r="B1682" s="10" t="s">
        <v>1552</v>
      </c>
      <c r="C1682" s="10" t="s">
        <v>31</v>
      </c>
      <c r="D1682" s="10">
        <v>1710</v>
      </c>
      <c r="E1682" s="10" t="s">
        <v>1536</v>
      </c>
      <c r="F1682" s="163">
        <v>60</v>
      </c>
      <c r="G1682" s="11">
        <f t="shared" si="29"/>
        <v>300</v>
      </c>
    </row>
    <row r="1683" spans="1:7">
      <c r="A1683" s="67" t="s">
        <v>1590</v>
      </c>
      <c r="B1683" s="10" t="s">
        <v>22</v>
      </c>
      <c r="C1683" s="10" t="s">
        <v>24</v>
      </c>
      <c r="D1683" s="10">
        <v>3213</v>
      </c>
      <c r="E1683" s="10" t="s">
        <v>1534</v>
      </c>
      <c r="F1683" s="163">
        <v>64</v>
      </c>
      <c r="G1683" s="11">
        <f t="shared" ref="G1683:G1684" si="30">F1683*45</f>
        <v>2880</v>
      </c>
    </row>
    <row r="1684" spans="1:7">
      <c r="A1684" s="67" t="s">
        <v>1590</v>
      </c>
      <c r="B1684" s="10" t="s">
        <v>22</v>
      </c>
      <c r="C1684" s="10" t="s">
        <v>24</v>
      </c>
      <c r="D1684" s="10">
        <v>3660</v>
      </c>
      <c r="E1684" s="10" t="s">
        <v>1588</v>
      </c>
      <c r="F1684" s="163">
        <v>0</v>
      </c>
      <c r="G1684" s="11">
        <f t="shared" si="30"/>
        <v>0</v>
      </c>
    </row>
    <row r="1685" spans="1:7">
      <c r="A1685" s="67" t="s">
        <v>1590</v>
      </c>
      <c r="B1685" s="10" t="s">
        <v>1552</v>
      </c>
      <c r="C1685" s="10" t="s">
        <v>31</v>
      </c>
      <c r="D1685" s="10">
        <v>3230</v>
      </c>
      <c r="E1685" s="10" t="s">
        <v>1536</v>
      </c>
      <c r="F1685" s="163">
        <v>200</v>
      </c>
      <c r="G1685" s="11">
        <f t="shared" ref="G1685:G1686" si="31">F1685*5</f>
        <v>1000</v>
      </c>
    </row>
    <row r="1686" spans="1:7">
      <c r="A1686" s="67" t="s">
        <v>1590</v>
      </c>
      <c r="B1686" s="10" t="s">
        <v>1539</v>
      </c>
      <c r="C1686" s="10" t="s">
        <v>31</v>
      </c>
      <c r="D1686" s="10">
        <v>1470</v>
      </c>
      <c r="E1686" s="10" t="s">
        <v>1536</v>
      </c>
      <c r="F1686" s="163">
        <v>186</v>
      </c>
      <c r="G1686" s="11">
        <f t="shared" si="31"/>
        <v>930</v>
      </c>
    </row>
    <row r="1687" spans="1:7">
      <c r="A1687" s="67" t="s">
        <v>1591</v>
      </c>
      <c r="B1687" s="10" t="s">
        <v>22</v>
      </c>
      <c r="C1687" s="10" t="s">
        <v>24</v>
      </c>
      <c r="D1687" s="10">
        <v>7344</v>
      </c>
      <c r="E1687" s="10" t="s">
        <v>1550</v>
      </c>
      <c r="F1687" s="163">
        <v>0</v>
      </c>
      <c r="G1687" s="11">
        <f t="shared" ref="G1687:G1688" si="32">F1687*45</f>
        <v>0</v>
      </c>
    </row>
    <row r="1688" spans="1:7">
      <c r="A1688" s="67" t="s">
        <v>1591</v>
      </c>
      <c r="B1688" s="10" t="s">
        <v>22</v>
      </c>
      <c r="C1688" s="10" t="s">
        <v>24</v>
      </c>
      <c r="D1688" s="10">
        <v>5159</v>
      </c>
      <c r="E1688" s="10" t="s">
        <v>1534</v>
      </c>
      <c r="F1688" s="163">
        <v>185</v>
      </c>
      <c r="G1688" s="11">
        <f t="shared" si="32"/>
        <v>8325</v>
      </c>
    </row>
    <row r="1689" spans="1:7">
      <c r="A1689" s="67" t="s">
        <v>1591</v>
      </c>
      <c r="B1689" s="10" t="s">
        <v>1552</v>
      </c>
      <c r="C1689" s="10" t="s">
        <v>31</v>
      </c>
      <c r="D1689" s="10">
        <v>760</v>
      </c>
      <c r="E1689" s="10" t="s">
        <v>1536</v>
      </c>
      <c r="F1689" s="163">
        <v>24</v>
      </c>
      <c r="G1689" s="11">
        <f t="shared" ref="G1689:G1690" si="33">F1689*5</f>
        <v>120</v>
      </c>
    </row>
    <row r="1690" spans="1:7">
      <c r="A1690" s="67" t="s">
        <v>1591</v>
      </c>
      <c r="B1690" s="10" t="s">
        <v>1539</v>
      </c>
      <c r="C1690" s="10" t="s">
        <v>31</v>
      </c>
      <c r="D1690" s="10">
        <v>7110</v>
      </c>
      <c r="E1690" s="10" t="s">
        <v>1536</v>
      </c>
      <c r="F1690" s="163">
        <v>700</v>
      </c>
      <c r="G1690" s="11">
        <f t="shared" si="33"/>
        <v>3500</v>
      </c>
    </row>
    <row r="1691" spans="1:7">
      <c r="A1691" s="67" t="s">
        <v>1592</v>
      </c>
      <c r="B1691" s="10" t="s">
        <v>22</v>
      </c>
      <c r="C1691" s="10" t="s">
        <v>24</v>
      </c>
      <c r="D1691" s="10">
        <v>7191</v>
      </c>
      <c r="E1691" s="10" t="s">
        <v>1534</v>
      </c>
      <c r="F1691" s="163">
        <v>100</v>
      </c>
      <c r="G1691" s="11">
        <f>F1691*45</f>
        <v>4500</v>
      </c>
    </row>
    <row r="1692" spans="1:7">
      <c r="A1692" s="67" t="s">
        <v>1592</v>
      </c>
      <c r="B1692" s="10" t="s">
        <v>22</v>
      </c>
      <c r="C1692" s="76" t="s">
        <v>27</v>
      </c>
      <c r="D1692" s="10">
        <v>3858</v>
      </c>
      <c r="E1692" s="10" t="s">
        <v>1550</v>
      </c>
      <c r="F1692" s="163">
        <v>0</v>
      </c>
      <c r="G1692" s="11">
        <f>F1692*34</f>
        <v>0</v>
      </c>
    </row>
    <row r="1693" spans="1:7">
      <c r="A1693" s="67" t="s">
        <v>1592</v>
      </c>
      <c r="B1693" s="10" t="s">
        <v>22</v>
      </c>
      <c r="C1693" s="10" t="s">
        <v>24</v>
      </c>
      <c r="D1693" s="10">
        <v>8262</v>
      </c>
      <c r="E1693" s="10" t="s">
        <v>1550</v>
      </c>
      <c r="F1693" s="163">
        <v>0</v>
      </c>
      <c r="G1693" s="11">
        <f>F1693*45</f>
        <v>0</v>
      </c>
    </row>
    <row r="1694" spans="1:7">
      <c r="A1694" s="67" t="s">
        <v>1592</v>
      </c>
      <c r="B1694" s="10" t="s">
        <v>22</v>
      </c>
      <c r="C1694" s="10" t="s">
        <v>31</v>
      </c>
      <c r="D1694" s="10">
        <v>8540</v>
      </c>
      <c r="E1694" s="10" t="s">
        <v>1536</v>
      </c>
      <c r="F1694" s="163">
        <v>230</v>
      </c>
      <c r="G1694" s="11">
        <f>F1694*5</f>
        <v>1150</v>
      </c>
    </row>
    <row r="1695" spans="1:7">
      <c r="A1695" s="38" t="s">
        <v>1593</v>
      </c>
      <c r="B1695" s="10" t="s">
        <v>22</v>
      </c>
      <c r="C1695" s="10" t="s">
        <v>24</v>
      </c>
      <c r="D1695" s="10">
        <v>3825</v>
      </c>
      <c r="E1695" s="10" t="s">
        <v>1534</v>
      </c>
      <c r="F1695" s="163">
        <v>74</v>
      </c>
      <c r="G1695" s="11">
        <f>F1695*45</f>
        <v>3330</v>
      </c>
    </row>
    <row r="1696" spans="1:7">
      <c r="A1696" s="38" t="s">
        <v>1593</v>
      </c>
      <c r="B1696" s="10" t="s">
        <v>22</v>
      </c>
      <c r="C1696" s="10" t="s">
        <v>31</v>
      </c>
      <c r="D1696" s="10">
        <v>7085</v>
      </c>
      <c r="E1696" s="10" t="s">
        <v>1536</v>
      </c>
      <c r="F1696" s="163">
        <v>218</v>
      </c>
      <c r="G1696" s="11">
        <f>F1696*5</f>
        <v>1090</v>
      </c>
    </row>
    <row r="1697" spans="1:7">
      <c r="A1697" s="38" t="s">
        <v>1594</v>
      </c>
      <c r="B1697" s="10" t="s">
        <v>22</v>
      </c>
      <c r="C1697" s="10" t="s">
        <v>24</v>
      </c>
      <c r="D1697" s="10">
        <v>3213</v>
      </c>
      <c r="E1697" s="10" t="s">
        <v>1534</v>
      </c>
      <c r="F1697" s="163">
        <v>124</v>
      </c>
      <c r="G1697" s="11">
        <f>F1697*45</f>
        <v>5580</v>
      </c>
    </row>
    <row r="1698" spans="1:7">
      <c r="A1698" s="38" t="s">
        <v>1594</v>
      </c>
      <c r="B1698" s="10" t="s">
        <v>22</v>
      </c>
      <c r="C1698" s="76" t="s">
        <v>27</v>
      </c>
      <c r="D1698" s="10">
        <v>3301</v>
      </c>
      <c r="E1698" s="10" t="s">
        <v>1534</v>
      </c>
      <c r="F1698" s="163">
        <v>58</v>
      </c>
      <c r="G1698" s="11">
        <f>F1698*34</f>
        <v>1972</v>
      </c>
    </row>
    <row r="1699" spans="1:7">
      <c r="A1699" s="38" t="s">
        <v>1594</v>
      </c>
      <c r="B1699" s="10" t="s">
        <v>22</v>
      </c>
      <c r="C1699" s="76" t="s">
        <v>29</v>
      </c>
      <c r="D1699" s="10">
        <v>1836</v>
      </c>
      <c r="E1699" s="10" t="s">
        <v>1550</v>
      </c>
      <c r="F1699" s="163">
        <v>0</v>
      </c>
      <c r="G1699" s="11">
        <f>F1699*21</f>
        <v>0</v>
      </c>
    </row>
    <row r="1700" spans="1:7">
      <c r="A1700" s="38" t="s">
        <v>1594</v>
      </c>
      <c r="B1700" s="10" t="s">
        <v>22</v>
      </c>
      <c r="C1700" s="76" t="s">
        <v>27</v>
      </c>
      <c r="D1700" s="10">
        <v>13770</v>
      </c>
      <c r="E1700" s="10" t="s">
        <v>1550</v>
      </c>
      <c r="F1700" s="163">
        <v>0</v>
      </c>
      <c r="G1700" s="11">
        <f>F1700*34</f>
        <v>0</v>
      </c>
    </row>
    <row r="1701" spans="1:7">
      <c r="A1701" s="38" t="s">
        <v>1594</v>
      </c>
      <c r="B1701" s="10" t="s">
        <v>22</v>
      </c>
      <c r="C1701" s="10" t="s">
        <v>31</v>
      </c>
      <c r="D1701" s="10">
        <v>8160</v>
      </c>
      <c r="E1701" s="10" t="s">
        <v>1536</v>
      </c>
      <c r="F1701" s="163">
        <v>1481</v>
      </c>
      <c r="G1701" s="11">
        <f>F1701*5</f>
        <v>7405</v>
      </c>
    </row>
    <row r="1702" spans="1:7">
      <c r="A1702" s="77" t="s">
        <v>1595</v>
      </c>
      <c r="B1702" s="10" t="s">
        <v>22</v>
      </c>
      <c r="C1702" s="76" t="s">
        <v>27</v>
      </c>
      <c r="D1702" s="10">
        <v>8498</v>
      </c>
      <c r="E1702" s="10" t="s">
        <v>1534</v>
      </c>
      <c r="F1702" s="163">
        <v>74</v>
      </c>
      <c r="G1702" s="11">
        <f t="shared" ref="G1702:G1703" si="34">F1702*34</f>
        <v>2516</v>
      </c>
    </row>
    <row r="1703" spans="1:7">
      <c r="A1703" s="77" t="s">
        <v>1595</v>
      </c>
      <c r="B1703" s="10" t="s">
        <v>22</v>
      </c>
      <c r="C1703" s="76" t="s">
        <v>27</v>
      </c>
      <c r="D1703" s="10">
        <v>4590</v>
      </c>
      <c r="E1703" s="10" t="s">
        <v>1550</v>
      </c>
      <c r="F1703" s="163">
        <v>0</v>
      </c>
      <c r="G1703" s="11">
        <f t="shared" si="34"/>
        <v>0</v>
      </c>
    </row>
    <row r="1704" spans="1:7">
      <c r="A1704" s="77" t="s">
        <v>1595</v>
      </c>
      <c r="B1704" s="10" t="s">
        <v>22</v>
      </c>
      <c r="C1704" s="76" t="s">
        <v>29</v>
      </c>
      <c r="D1704" s="10">
        <v>3672</v>
      </c>
      <c r="E1704" s="10" t="s">
        <v>1550</v>
      </c>
      <c r="F1704" s="163">
        <v>0</v>
      </c>
      <c r="G1704" s="11">
        <f>F1704*21</f>
        <v>0</v>
      </c>
    </row>
    <row r="1705" spans="1:7">
      <c r="A1705" s="77" t="s">
        <v>1595</v>
      </c>
      <c r="B1705" s="10" t="s">
        <v>22</v>
      </c>
      <c r="C1705" s="76" t="s">
        <v>27</v>
      </c>
      <c r="D1705" s="10">
        <v>8330</v>
      </c>
      <c r="E1705" s="10" t="s">
        <v>1536</v>
      </c>
      <c r="F1705" s="163">
        <v>102</v>
      </c>
      <c r="G1705" s="11">
        <f>F1705*34</f>
        <v>3468</v>
      </c>
    </row>
    <row r="1706" spans="1:7">
      <c r="A1706" s="77" t="s">
        <v>1596</v>
      </c>
      <c r="B1706" s="10" t="s">
        <v>22</v>
      </c>
      <c r="C1706" s="10" t="s">
        <v>24</v>
      </c>
      <c r="D1706" s="10">
        <v>4743</v>
      </c>
      <c r="E1706" s="10" t="s">
        <v>1550</v>
      </c>
      <c r="F1706" s="163">
        <v>0</v>
      </c>
      <c r="G1706" s="11">
        <f>F1706*45</f>
        <v>0</v>
      </c>
    </row>
    <row r="1707" spans="1:7">
      <c r="A1707" s="77" t="s">
        <v>1596</v>
      </c>
      <c r="B1707" s="10" t="s">
        <v>22</v>
      </c>
      <c r="C1707" s="76" t="s">
        <v>27</v>
      </c>
      <c r="D1707" s="10">
        <v>6534</v>
      </c>
      <c r="E1707" s="10" t="s">
        <v>1534</v>
      </c>
      <c r="F1707" s="163">
        <v>68</v>
      </c>
      <c r="G1707" s="11">
        <f>F1707*34</f>
        <v>2312</v>
      </c>
    </row>
    <row r="1708" spans="1:7">
      <c r="A1708" s="77" t="s">
        <v>1596</v>
      </c>
      <c r="B1708" s="10" t="s">
        <v>22</v>
      </c>
      <c r="C1708" s="10" t="s">
        <v>24</v>
      </c>
      <c r="D1708" s="10">
        <v>2306</v>
      </c>
      <c r="E1708" s="10" t="s">
        <v>1536</v>
      </c>
      <c r="F1708" s="163">
        <v>189</v>
      </c>
      <c r="G1708" s="11">
        <f>F1708*45</f>
        <v>8505</v>
      </c>
    </row>
    <row r="1709" spans="1:7">
      <c r="A1709" s="77" t="s">
        <v>1596</v>
      </c>
      <c r="B1709" s="5" t="s">
        <v>22</v>
      </c>
      <c r="C1709" s="76" t="s">
        <v>27</v>
      </c>
      <c r="D1709" s="10">
        <v>5325</v>
      </c>
      <c r="E1709" s="5" t="s">
        <v>1536</v>
      </c>
      <c r="F1709" s="164">
        <v>92</v>
      </c>
      <c r="G1709" s="11">
        <f t="shared" ref="G1709:G1710" si="35">F1709*34</f>
        <v>3128</v>
      </c>
    </row>
    <row r="1710" spans="1:7">
      <c r="A1710" s="77" t="s">
        <v>1597</v>
      </c>
      <c r="B1710" s="10" t="s">
        <v>22</v>
      </c>
      <c r="C1710" s="76" t="s">
        <v>27</v>
      </c>
      <c r="D1710" s="10">
        <v>10098</v>
      </c>
      <c r="E1710" s="10" t="s">
        <v>1550</v>
      </c>
      <c r="F1710" s="163">
        <v>0</v>
      </c>
      <c r="G1710" s="11">
        <f t="shared" si="35"/>
        <v>0</v>
      </c>
    </row>
    <row r="1711" spans="1:7">
      <c r="A1711" s="77" t="s">
        <v>1597</v>
      </c>
      <c r="B1711" s="10" t="s">
        <v>22</v>
      </c>
      <c r="C1711" s="76" t="s">
        <v>29</v>
      </c>
      <c r="D1711" s="10">
        <v>13581</v>
      </c>
      <c r="E1711" s="10" t="s">
        <v>1550</v>
      </c>
      <c r="F1711" s="163">
        <v>0</v>
      </c>
      <c r="G1711" s="11">
        <f>F1711*21</f>
        <v>0</v>
      </c>
    </row>
    <row r="1712" spans="1:7">
      <c r="A1712" s="77" t="s">
        <v>1597</v>
      </c>
      <c r="B1712" s="10" t="s">
        <v>22</v>
      </c>
      <c r="C1712" s="10" t="s">
        <v>24</v>
      </c>
      <c r="D1712" s="10">
        <v>4500</v>
      </c>
      <c r="E1712" s="68" t="s">
        <v>1559</v>
      </c>
      <c r="F1712" s="163">
        <v>0</v>
      </c>
      <c r="G1712" s="11">
        <f>F1712*45</f>
        <v>0</v>
      </c>
    </row>
    <row r="1713" spans="1:7">
      <c r="A1713" s="77" t="s">
        <v>1597</v>
      </c>
      <c r="B1713" s="10" t="s">
        <v>1539</v>
      </c>
      <c r="C1713" s="76" t="s">
        <v>29</v>
      </c>
      <c r="D1713" s="10">
        <v>3600</v>
      </c>
      <c r="E1713" s="68" t="s">
        <v>1531</v>
      </c>
      <c r="F1713" s="163">
        <v>27</v>
      </c>
      <c r="G1713" s="11">
        <f t="shared" ref="G1713:G1714" si="36">F1713*21</f>
        <v>567</v>
      </c>
    </row>
    <row r="1714" spans="1:7">
      <c r="A1714" s="77" t="s">
        <v>1597</v>
      </c>
      <c r="B1714" s="10" t="s">
        <v>1539</v>
      </c>
      <c r="C1714" s="76" t="s">
        <v>29</v>
      </c>
      <c r="D1714" s="10">
        <v>9720</v>
      </c>
      <c r="E1714" s="10" t="s">
        <v>1534</v>
      </c>
      <c r="F1714" s="163">
        <v>132</v>
      </c>
      <c r="G1714" s="11">
        <f t="shared" si="36"/>
        <v>2772</v>
      </c>
    </row>
    <row r="1715" spans="1:7">
      <c r="A1715" s="77" t="s">
        <v>1597</v>
      </c>
      <c r="B1715" s="10" t="s">
        <v>22</v>
      </c>
      <c r="C1715" s="76" t="s">
        <v>27</v>
      </c>
      <c r="D1715" s="10">
        <v>4672</v>
      </c>
      <c r="E1715" s="10" t="s">
        <v>1536</v>
      </c>
      <c r="F1715" s="163">
        <v>89</v>
      </c>
      <c r="G1715" s="11">
        <f t="shared" ref="G1715:G1716" si="37">F1715*34</f>
        <v>3026</v>
      </c>
    </row>
    <row r="1716" spans="1:7">
      <c r="A1716" s="77" t="s">
        <v>1598</v>
      </c>
      <c r="B1716" s="5" t="s">
        <v>22</v>
      </c>
      <c r="C1716" s="76" t="s">
        <v>27</v>
      </c>
      <c r="D1716" s="10">
        <v>10098</v>
      </c>
      <c r="E1716" s="5" t="s">
        <v>1550</v>
      </c>
      <c r="F1716" s="164">
        <v>0</v>
      </c>
      <c r="G1716" s="11">
        <f t="shared" si="37"/>
        <v>0</v>
      </c>
    </row>
    <row r="1717" spans="1:7">
      <c r="A1717" s="77" t="s">
        <v>1598</v>
      </c>
      <c r="B1717" s="5" t="s">
        <v>22</v>
      </c>
      <c r="C1717" s="76" t="s">
        <v>29</v>
      </c>
      <c r="D1717" s="10">
        <v>6606</v>
      </c>
      <c r="E1717" s="5" t="s">
        <v>1550</v>
      </c>
      <c r="F1717" s="164">
        <v>0</v>
      </c>
      <c r="G1717" s="11">
        <f>F1717*21</f>
        <v>0</v>
      </c>
    </row>
    <row r="1718" spans="1:7">
      <c r="A1718" s="77" t="s">
        <v>1598</v>
      </c>
      <c r="B1718" s="5" t="s">
        <v>22</v>
      </c>
      <c r="C1718" s="5" t="s">
        <v>24</v>
      </c>
      <c r="D1718" s="10">
        <v>6480</v>
      </c>
      <c r="E1718" s="68" t="s">
        <v>1559</v>
      </c>
      <c r="F1718" s="164">
        <v>0</v>
      </c>
      <c r="G1718" s="11">
        <f>F1718*45</f>
        <v>0</v>
      </c>
    </row>
    <row r="1719" spans="1:7">
      <c r="A1719" s="77" t="s">
        <v>1598</v>
      </c>
      <c r="B1719" s="5" t="s">
        <v>1539</v>
      </c>
      <c r="C1719" s="76" t="s">
        <v>29</v>
      </c>
      <c r="D1719" s="10">
        <v>6300</v>
      </c>
      <c r="E1719" s="68" t="s">
        <v>1531</v>
      </c>
      <c r="F1719" s="164">
        <v>40</v>
      </c>
      <c r="G1719" s="11">
        <f t="shared" ref="G1719:G1720" si="38">F1719*21</f>
        <v>840</v>
      </c>
    </row>
    <row r="1720" spans="1:7">
      <c r="A1720" s="77" t="s">
        <v>1598</v>
      </c>
      <c r="B1720" s="5" t="s">
        <v>1539</v>
      </c>
      <c r="C1720" s="76" t="s">
        <v>29</v>
      </c>
      <c r="D1720" s="10">
        <v>10260</v>
      </c>
      <c r="E1720" s="5" t="s">
        <v>1534</v>
      </c>
      <c r="F1720" s="164">
        <v>98</v>
      </c>
      <c r="G1720" s="11">
        <f t="shared" si="38"/>
        <v>2058</v>
      </c>
    </row>
    <row r="1721" spans="1:7">
      <c r="A1721" s="77" t="s">
        <v>1599</v>
      </c>
      <c r="B1721" s="10" t="s">
        <v>22</v>
      </c>
      <c r="C1721" s="76" t="s">
        <v>27</v>
      </c>
      <c r="D1721" s="10">
        <v>16524</v>
      </c>
      <c r="E1721" s="10" t="s">
        <v>1550</v>
      </c>
      <c r="F1721" s="163">
        <v>0</v>
      </c>
      <c r="G1721" s="11">
        <f>F1721*34</f>
        <v>0</v>
      </c>
    </row>
    <row r="1722" spans="1:7">
      <c r="A1722" s="77" t="s">
        <v>1599</v>
      </c>
      <c r="B1722" s="10" t="s">
        <v>22</v>
      </c>
      <c r="C1722" s="10" t="s">
        <v>24</v>
      </c>
      <c r="D1722" s="10">
        <v>7344</v>
      </c>
      <c r="E1722" s="10" t="s">
        <v>1550</v>
      </c>
      <c r="F1722" s="163">
        <v>0</v>
      </c>
      <c r="G1722" s="11">
        <f>F1722*45</f>
        <v>0</v>
      </c>
    </row>
    <row r="1723" spans="1:7">
      <c r="A1723" s="77" t="s">
        <v>1599</v>
      </c>
      <c r="B1723" s="10" t="s">
        <v>1539</v>
      </c>
      <c r="C1723" s="76" t="s">
        <v>29</v>
      </c>
      <c r="D1723" s="10">
        <v>5040</v>
      </c>
      <c r="E1723" s="68" t="s">
        <v>1531</v>
      </c>
      <c r="F1723" s="163">
        <v>68</v>
      </c>
      <c r="G1723" s="11">
        <f t="shared" ref="G1723:G1724" si="39">F1723*21</f>
        <v>1428</v>
      </c>
    </row>
    <row r="1724" spans="1:7">
      <c r="A1724" s="77" t="s">
        <v>1599</v>
      </c>
      <c r="B1724" s="10" t="s">
        <v>1539</v>
      </c>
      <c r="C1724" s="76" t="s">
        <v>29</v>
      </c>
      <c r="D1724" s="10">
        <v>9180</v>
      </c>
      <c r="E1724" s="10" t="s">
        <v>1534</v>
      </c>
      <c r="F1724" s="163">
        <v>80</v>
      </c>
      <c r="G1724" s="11">
        <f t="shared" si="39"/>
        <v>1680</v>
      </c>
    </row>
    <row r="1725" spans="1:7">
      <c r="A1725" s="77" t="s">
        <v>1599</v>
      </c>
      <c r="B1725" s="10" t="s">
        <v>22</v>
      </c>
      <c r="C1725" s="68" t="s">
        <v>1533</v>
      </c>
      <c r="D1725" s="10">
        <v>6130</v>
      </c>
      <c r="E1725" s="10" t="s">
        <v>1536</v>
      </c>
      <c r="F1725" s="163">
        <v>82</v>
      </c>
      <c r="G1725" s="11"/>
    </row>
    <row r="1726" spans="1:7">
      <c r="A1726" s="84" t="s">
        <v>1600</v>
      </c>
      <c r="B1726" s="10" t="s">
        <v>22</v>
      </c>
      <c r="C1726" s="10" t="s">
        <v>24</v>
      </c>
      <c r="D1726" s="10">
        <v>3672</v>
      </c>
      <c r="E1726" s="10" t="s">
        <v>1550</v>
      </c>
      <c r="F1726" s="163">
        <v>0</v>
      </c>
      <c r="G1726" s="11">
        <f>F1726*45</f>
        <v>0</v>
      </c>
    </row>
    <row r="1727" spans="1:7">
      <c r="A1727" s="84" t="s">
        <v>1600</v>
      </c>
      <c r="B1727" s="10" t="s">
        <v>22</v>
      </c>
      <c r="C1727" s="76" t="s">
        <v>27</v>
      </c>
      <c r="D1727" s="10">
        <v>14688</v>
      </c>
      <c r="E1727" s="10" t="s">
        <v>1550</v>
      </c>
      <c r="F1727" s="163">
        <v>0</v>
      </c>
      <c r="G1727" s="11">
        <f>F1727*34</f>
        <v>0</v>
      </c>
    </row>
    <row r="1728" spans="1:7">
      <c r="A1728" s="84" t="s">
        <v>1600</v>
      </c>
      <c r="B1728" s="10" t="s">
        <v>22</v>
      </c>
      <c r="C1728" s="76" t="s">
        <v>29</v>
      </c>
      <c r="D1728" s="10">
        <v>5508</v>
      </c>
      <c r="E1728" s="10" t="s">
        <v>1550</v>
      </c>
      <c r="F1728" s="163">
        <v>0</v>
      </c>
      <c r="G1728" s="11">
        <f>F1728*21</f>
        <v>0</v>
      </c>
    </row>
    <row r="1729" spans="1:7">
      <c r="A1729" s="84" t="s">
        <v>1600</v>
      </c>
      <c r="B1729" s="10" t="s">
        <v>22</v>
      </c>
      <c r="C1729" s="10" t="s">
        <v>24</v>
      </c>
      <c r="D1729" s="10">
        <v>3659</v>
      </c>
      <c r="E1729" s="10" t="s">
        <v>1534</v>
      </c>
      <c r="F1729" s="163">
        <v>48</v>
      </c>
      <c r="G1729" s="11">
        <f>F1729*45</f>
        <v>2160</v>
      </c>
    </row>
    <row r="1730" spans="1:7">
      <c r="A1730" s="84" t="s">
        <v>1600</v>
      </c>
      <c r="B1730" s="10" t="s">
        <v>22</v>
      </c>
      <c r="C1730" s="68" t="s">
        <v>1533</v>
      </c>
      <c r="D1730" s="10">
        <v>3600</v>
      </c>
      <c r="E1730" s="10" t="s">
        <v>1536</v>
      </c>
      <c r="F1730" s="163">
        <v>110</v>
      </c>
      <c r="G1730" s="11"/>
    </row>
    <row r="1731" spans="1:7">
      <c r="A1731" s="84" t="s">
        <v>1600</v>
      </c>
      <c r="B1731" s="10" t="s">
        <v>1601</v>
      </c>
      <c r="C1731" s="76" t="s">
        <v>29</v>
      </c>
      <c r="D1731" s="10">
        <v>6480</v>
      </c>
      <c r="E1731" s="10" t="s">
        <v>1536</v>
      </c>
      <c r="F1731" s="163">
        <v>94</v>
      </c>
      <c r="G1731" s="11">
        <f>F1731*21</f>
        <v>1974</v>
      </c>
    </row>
    <row r="1732" spans="1:7">
      <c r="A1732" s="38" t="s">
        <v>1602</v>
      </c>
      <c r="B1732" s="5" t="s">
        <v>22</v>
      </c>
      <c r="C1732" s="5" t="s">
        <v>24</v>
      </c>
      <c r="D1732" s="10">
        <v>5224</v>
      </c>
      <c r="E1732" s="5" t="s">
        <v>1534</v>
      </c>
      <c r="F1732" s="164">
        <v>85</v>
      </c>
      <c r="G1732" s="11">
        <f>F1732*45</f>
        <v>3825</v>
      </c>
    </row>
    <row r="1733" spans="1:7">
      <c r="A1733" s="38" t="s">
        <v>1602</v>
      </c>
      <c r="B1733" s="5" t="s">
        <v>22</v>
      </c>
      <c r="C1733" s="76" t="s">
        <v>29</v>
      </c>
      <c r="D1733" s="10">
        <v>4590</v>
      </c>
      <c r="E1733" s="5" t="s">
        <v>1550</v>
      </c>
      <c r="F1733" s="164">
        <v>0</v>
      </c>
      <c r="G1733" s="11">
        <f>F1733*21</f>
        <v>0</v>
      </c>
    </row>
    <row r="1734" spans="1:7">
      <c r="A1734" s="38" t="s">
        <v>1602</v>
      </c>
      <c r="B1734" s="5" t="s">
        <v>22</v>
      </c>
      <c r="C1734" s="76" t="s">
        <v>27</v>
      </c>
      <c r="D1734" s="10">
        <v>10098</v>
      </c>
      <c r="E1734" s="5" t="s">
        <v>1550</v>
      </c>
      <c r="F1734" s="164">
        <v>0</v>
      </c>
      <c r="G1734" s="11">
        <f>F1734*34</f>
        <v>0</v>
      </c>
    </row>
    <row r="1735" spans="1:7">
      <c r="A1735" s="38" t="s">
        <v>1602</v>
      </c>
      <c r="B1735" s="10" t="s">
        <v>1601</v>
      </c>
      <c r="C1735" s="76" t="s">
        <v>29</v>
      </c>
      <c r="D1735" s="10">
        <v>5760</v>
      </c>
      <c r="E1735" s="10" t="s">
        <v>1536</v>
      </c>
      <c r="F1735" s="163">
        <v>180</v>
      </c>
      <c r="G1735" s="11">
        <f>F1735*21</f>
        <v>3780</v>
      </c>
    </row>
    <row r="1736" spans="1:7">
      <c r="A1736" s="38" t="s">
        <v>1603</v>
      </c>
      <c r="B1736" s="10" t="s">
        <v>22</v>
      </c>
      <c r="C1736" s="10" t="s">
        <v>24</v>
      </c>
      <c r="D1736" s="10">
        <v>2206</v>
      </c>
      <c r="E1736" s="10" t="s">
        <v>1534</v>
      </c>
      <c r="F1736" s="163">
        <v>80</v>
      </c>
      <c r="G1736" s="11">
        <f t="shared" ref="G1736:G1737" si="40">F1736*45</f>
        <v>3600</v>
      </c>
    </row>
    <row r="1737" spans="1:7">
      <c r="A1737" s="38" t="s">
        <v>1603</v>
      </c>
      <c r="B1737" s="10" t="s">
        <v>22</v>
      </c>
      <c r="C1737" s="10" t="s">
        <v>24</v>
      </c>
      <c r="D1737" s="10">
        <v>5658</v>
      </c>
      <c r="E1737" s="10" t="s">
        <v>1531</v>
      </c>
      <c r="F1737" s="163">
        <v>43</v>
      </c>
      <c r="G1737" s="11">
        <f t="shared" si="40"/>
        <v>1935</v>
      </c>
    </row>
    <row r="1738" spans="1:7">
      <c r="A1738" s="38" t="s">
        <v>1603</v>
      </c>
      <c r="B1738" s="10" t="s">
        <v>22</v>
      </c>
      <c r="C1738" s="68" t="s">
        <v>1533</v>
      </c>
      <c r="D1738" s="10">
        <v>5976</v>
      </c>
      <c r="E1738" s="10" t="s">
        <v>1536</v>
      </c>
      <c r="F1738" s="163">
        <v>230</v>
      </c>
      <c r="G1738" s="11"/>
    </row>
    <row r="1739" spans="1:7">
      <c r="A1739" s="38" t="s">
        <v>1603</v>
      </c>
      <c r="B1739" s="10" t="s">
        <v>22</v>
      </c>
      <c r="C1739" s="76" t="s">
        <v>27</v>
      </c>
      <c r="D1739" s="10">
        <v>5508</v>
      </c>
      <c r="E1739" s="10" t="s">
        <v>1550</v>
      </c>
      <c r="F1739" s="163">
        <v>0</v>
      </c>
      <c r="G1739" s="11">
        <f>F1739*34</f>
        <v>0</v>
      </c>
    </row>
    <row r="1740" spans="1:7">
      <c r="A1740" s="38" t="s">
        <v>1603</v>
      </c>
      <c r="B1740" s="10" t="s">
        <v>22</v>
      </c>
      <c r="C1740" s="76" t="s">
        <v>29</v>
      </c>
      <c r="D1740" s="10">
        <v>5590</v>
      </c>
      <c r="E1740" s="10" t="s">
        <v>1536</v>
      </c>
      <c r="F1740" s="163">
        <v>253</v>
      </c>
      <c r="G1740" s="11">
        <f t="shared" ref="G1740:G1741" si="41">F1740*21</f>
        <v>5313</v>
      </c>
    </row>
    <row r="1741" spans="1:7">
      <c r="A1741" s="38" t="s">
        <v>1604</v>
      </c>
      <c r="B1741" s="10" t="s">
        <v>22</v>
      </c>
      <c r="C1741" s="76" t="s">
        <v>29</v>
      </c>
      <c r="D1741" s="10">
        <v>5508</v>
      </c>
      <c r="E1741" s="10" t="s">
        <v>1550</v>
      </c>
      <c r="F1741" s="163">
        <v>0</v>
      </c>
      <c r="G1741" s="11">
        <f t="shared" si="41"/>
        <v>0</v>
      </c>
    </row>
    <row r="1742" spans="1:7">
      <c r="A1742" s="38" t="s">
        <v>1604</v>
      </c>
      <c r="B1742" s="10" t="s">
        <v>22</v>
      </c>
      <c r="C1742" s="76" t="s">
        <v>27</v>
      </c>
      <c r="D1742" s="10">
        <v>6426</v>
      </c>
      <c r="E1742" s="10" t="s">
        <v>1550</v>
      </c>
      <c r="F1742" s="163">
        <v>0</v>
      </c>
      <c r="G1742" s="11">
        <f>F1742*34</f>
        <v>0</v>
      </c>
    </row>
    <row r="1743" spans="1:7">
      <c r="A1743" s="38" t="s">
        <v>1604</v>
      </c>
      <c r="B1743" s="10" t="s">
        <v>22</v>
      </c>
      <c r="C1743" s="76" t="s">
        <v>29</v>
      </c>
      <c r="D1743" s="10">
        <v>2700</v>
      </c>
      <c r="E1743" s="10" t="s">
        <v>1534</v>
      </c>
      <c r="F1743" s="163">
        <v>22</v>
      </c>
      <c r="G1743" s="11">
        <f>F1743*21</f>
        <v>462</v>
      </c>
    </row>
    <row r="1744" spans="1:7">
      <c r="A1744" s="38" t="s">
        <v>1604</v>
      </c>
      <c r="B1744" s="10" t="s">
        <v>22</v>
      </c>
      <c r="C1744" s="10" t="s">
        <v>24</v>
      </c>
      <c r="D1744" s="10">
        <v>2477</v>
      </c>
      <c r="E1744" s="10" t="s">
        <v>1534</v>
      </c>
      <c r="F1744" s="163">
        <v>85</v>
      </c>
      <c r="G1744" s="11">
        <f t="shared" ref="G1744:G1746" si="42">F1744*45</f>
        <v>3825</v>
      </c>
    </row>
    <row r="1745" spans="1:7">
      <c r="A1745" s="38" t="s">
        <v>1604</v>
      </c>
      <c r="B1745" s="10" t="s">
        <v>22</v>
      </c>
      <c r="C1745" s="10" t="s">
        <v>24</v>
      </c>
      <c r="D1745" s="10">
        <v>2416</v>
      </c>
      <c r="E1745" s="10" t="s">
        <v>1536</v>
      </c>
      <c r="F1745" s="163">
        <v>53</v>
      </c>
      <c r="G1745" s="11">
        <f t="shared" si="42"/>
        <v>2385</v>
      </c>
    </row>
    <row r="1746" spans="1:7">
      <c r="A1746" s="38" t="s">
        <v>1604</v>
      </c>
      <c r="B1746" s="10" t="s">
        <v>22</v>
      </c>
      <c r="C1746" s="10" t="s">
        <v>24</v>
      </c>
      <c r="D1746" s="10">
        <v>6266</v>
      </c>
      <c r="E1746" s="10" t="s">
        <v>1531</v>
      </c>
      <c r="F1746" s="163">
        <v>48</v>
      </c>
      <c r="G1746" s="11">
        <f t="shared" si="42"/>
        <v>2160</v>
      </c>
    </row>
    <row r="1747" spans="1:7">
      <c r="A1747" s="38" t="s">
        <v>1604</v>
      </c>
      <c r="B1747" s="10" t="s">
        <v>1601</v>
      </c>
      <c r="C1747" s="10" t="s">
        <v>31</v>
      </c>
      <c r="D1747" s="10">
        <v>4320</v>
      </c>
      <c r="E1747" s="10" t="s">
        <v>1536</v>
      </c>
      <c r="F1747" s="163">
        <v>116</v>
      </c>
      <c r="G1747" s="11">
        <f>F1747*5</f>
        <v>580</v>
      </c>
    </row>
    <row r="1748" spans="1:7">
      <c r="A1748" s="38" t="s">
        <v>1604</v>
      </c>
      <c r="B1748" s="10" t="s">
        <v>22</v>
      </c>
      <c r="C1748" s="10" t="s">
        <v>1605</v>
      </c>
      <c r="D1748" s="10">
        <v>280</v>
      </c>
      <c r="E1748" s="10" t="s">
        <v>1536</v>
      </c>
      <c r="F1748" s="163">
        <v>4</v>
      </c>
      <c r="G1748" s="11"/>
    </row>
    <row r="1749" spans="1:7">
      <c r="A1749" s="77" t="s">
        <v>1606</v>
      </c>
      <c r="B1749" s="10" t="s">
        <v>22</v>
      </c>
      <c r="C1749" s="76" t="s">
        <v>29</v>
      </c>
      <c r="D1749" s="10">
        <v>5190</v>
      </c>
      <c r="E1749" s="10" t="s">
        <v>1550</v>
      </c>
      <c r="F1749" s="163">
        <v>0</v>
      </c>
      <c r="G1749" s="11">
        <f t="shared" ref="G1749:G1750" si="43">F1749*21</f>
        <v>0</v>
      </c>
    </row>
    <row r="1750" spans="1:7">
      <c r="A1750" s="77" t="s">
        <v>1606</v>
      </c>
      <c r="B1750" s="10" t="s">
        <v>22</v>
      </c>
      <c r="C1750" s="76" t="s">
        <v>29</v>
      </c>
      <c r="D1750" s="10">
        <v>6426</v>
      </c>
      <c r="E1750" s="10" t="s">
        <v>1550</v>
      </c>
      <c r="F1750" s="163">
        <v>0</v>
      </c>
      <c r="G1750" s="11">
        <f t="shared" si="43"/>
        <v>0</v>
      </c>
    </row>
    <row r="1751" spans="1:7">
      <c r="A1751" s="77" t="s">
        <v>1606</v>
      </c>
      <c r="B1751" s="10" t="s">
        <v>22</v>
      </c>
      <c r="C1751" s="10" t="s">
        <v>24</v>
      </c>
      <c r="D1751" s="10">
        <v>1260</v>
      </c>
      <c r="E1751" s="10" t="s">
        <v>1536</v>
      </c>
      <c r="F1751" s="163">
        <v>68</v>
      </c>
      <c r="G1751" s="11">
        <f t="shared" ref="G1751:G1753" si="44">F1751*45</f>
        <v>3060</v>
      </c>
    </row>
    <row r="1752" spans="1:7">
      <c r="A1752" s="77" t="s">
        <v>1606</v>
      </c>
      <c r="B1752" s="10" t="s">
        <v>22</v>
      </c>
      <c r="C1752" s="10" t="s">
        <v>24</v>
      </c>
      <c r="D1752" s="10">
        <v>4590</v>
      </c>
      <c r="E1752" s="10" t="s">
        <v>1534</v>
      </c>
      <c r="F1752" s="163">
        <v>128</v>
      </c>
      <c r="G1752" s="11">
        <f t="shared" si="44"/>
        <v>5760</v>
      </c>
    </row>
    <row r="1753" spans="1:7">
      <c r="A1753" s="77" t="s">
        <v>1606</v>
      </c>
      <c r="B1753" s="10" t="s">
        <v>22</v>
      </c>
      <c r="C1753" s="10" t="s">
        <v>24</v>
      </c>
      <c r="D1753" s="10">
        <v>6189</v>
      </c>
      <c r="E1753" s="10" t="s">
        <v>1531</v>
      </c>
      <c r="F1753" s="163">
        <v>58</v>
      </c>
      <c r="G1753" s="11">
        <f t="shared" si="44"/>
        <v>2610</v>
      </c>
    </row>
    <row r="1754" spans="1:7">
      <c r="A1754" s="77" t="s">
        <v>1606</v>
      </c>
      <c r="B1754" s="10" t="s">
        <v>22</v>
      </c>
      <c r="C1754" s="76" t="s">
        <v>27</v>
      </c>
      <c r="D1754" s="10">
        <v>900</v>
      </c>
      <c r="E1754" s="10" t="s">
        <v>1536</v>
      </c>
      <c r="F1754" s="163">
        <v>18</v>
      </c>
      <c r="G1754" s="11">
        <f>F1754*34</f>
        <v>612</v>
      </c>
    </row>
    <row r="1755" spans="1:7">
      <c r="A1755" s="77" t="s">
        <v>1606</v>
      </c>
      <c r="B1755" s="10" t="s">
        <v>22</v>
      </c>
      <c r="C1755" s="76" t="s">
        <v>29</v>
      </c>
      <c r="D1755" s="10">
        <v>5205</v>
      </c>
      <c r="E1755" s="10" t="s">
        <v>1536</v>
      </c>
      <c r="F1755" s="163">
        <v>531</v>
      </c>
      <c r="G1755" s="11">
        <f>F1755*21</f>
        <v>11151</v>
      </c>
    </row>
    <row r="1756" spans="1:7">
      <c r="A1756" s="77" t="s">
        <v>1607</v>
      </c>
      <c r="B1756" s="10" t="s">
        <v>22</v>
      </c>
      <c r="C1756" s="10" t="s">
        <v>24</v>
      </c>
      <c r="D1756" s="10">
        <v>5390</v>
      </c>
      <c r="E1756" s="10" t="s">
        <v>1536</v>
      </c>
      <c r="F1756" s="163">
        <v>78</v>
      </c>
      <c r="G1756" s="11">
        <f t="shared" ref="G1756:G1757" si="45">F1756*45</f>
        <v>3510</v>
      </c>
    </row>
    <row r="1757" spans="1:7">
      <c r="A1757" s="77" t="s">
        <v>1607</v>
      </c>
      <c r="B1757" s="10" t="s">
        <v>22</v>
      </c>
      <c r="C1757" s="10" t="s">
        <v>24</v>
      </c>
      <c r="D1757" s="10">
        <v>7191</v>
      </c>
      <c r="E1757" s="10" t="s">
        <v>1531</v>
      </c>
      <c r="F1757" s="163">
        <v>58</v>
      </c>
      <c r="G1757" s="11">
        <f t="shared" si="45"/>
        <v>2610</v>
      </c>
    </row>
    <row r="1758" spans="1:7">
      <c r="A1758" s="77" t="s">
        <v>1607</v>
      </c>
      <c r="B1758" s="10" t="s">
        <v>22</v>
      </c>
      <c r="C1758" s="76" t="s">
        <v>27</v>
      </c>
      <c r="D1758" s="10">
        <v>33078</v>
      </c>
      <c r="E1758" s="10" t="s">
        <v>1550</v>
      </c>
      <c r="F1758" s="163">
        <v>0</v>
      </c>
      <c r="G1758" s="11">
        <f>F1758*34</f>
        <v>0</v>
      </c>
    </row>
    <row r="1759" spans="1:7">
      <c r="A1759" s="77" t="s">
        <v>1607</v>
      </c>
      <c r="B1759" s="10" t="s">
        <v>22</v>
      </c>
      <c r="C1759" s="10" t="s">
        <v>24</v>
      </c>
      <c r="D1759" s="10">
        <v>3672</v>
      </c>
      <c r="E1759" s="10" t="s">
        <v>1550</v>
      </c>
      <c r="F1759" s="163">
        <v>0</v>
      </c>
      <c r="G1759" s="11">
        <f>F1759*45</f>
        <v>0</v>
      </c>
    </row>
    <row r="1760" spans="1:7">
      <c r="A1760" s="77" t="s">
        <v>1607</v>
      </c>
      <c r="B1760" s="10" t="s">
        <v>22</v>
      </c>
      <c r="C1760" s="10" t="s">
        <v>31</v>
      </c>
      <c r="D1760" s="10">
        <v>8385</v>
      </c>
      <c r="E1760" s="10" t="s">
        <v>1536</v>
      </c>
      <c r="F1760" s="163">
        <v>806</v>
      </c>
      <c r="G1760" s="11">
        <f>F1760*5</f>
        <v>4030</v>
      </c>
    </row>
    <row r="1761" spans="1:7">
      <c r="A1761" s="77" t="s">
        <v>1608</v>
      </c>
      <c r="B1761" s="10" t="s">
        <v>22</v>
      </c>
      <c r="C1761" s="10" t="s">
        <v>24</v>
      </c>
      <c r="D1761" s="10">
        <v>3443</v>
      </c>
      <c r="E1761" s="10" t="s">
        <v>1536</v>
      </c>
      <c r="F1761" s="163">
        <v>112</v>
      </c>
      <c r="G1761" s="11">
        <f t="shared" ref="G1761:G1763" si="46">F1761*45</f>
        <v>5040</v>
      </c>
    </row>
    <row r="1762" spans="1:7">
      <c r="A1762" s="77" t="s">
        <v>1608</v>
      </c>
      <c r="B1762" s="10" t="s">
        <v>22</v>
      </c>
      <c r="C1762" s="10" t="s">
        <v>24</v>
      </c>
      <c r="D1762" s="10">
        <v>3886</v>
      </c>
      <c r="E1762" s="10" t="s">
        <v>1534</v>
      </c>
      <c r="F1762" s="163">
        <v>123</v>
      </c>
      <c r="G1762" s="11">
        <f t="shared" si="46"/>
        <v>5535</v>
      </c>
    </row>
    <row r="1763" spans="1:7">
      <c r="A1763" s="77" t="s">
        <v>1608</v>
      </c>
      <c r="B1763" s="10" t="s">
        <v>22</v>
      </c>
      <c r="C1763" s="10" t="s">
        <v>24</v>
      </c>
      <c r="D1763" s="10">
        <v>6899</v>
      </c>
      <c r="E1763" s="10" t="s">
        <v>1531</v>
      </c>
      <c r="F1763" s="163">
        <v>58</v>
      </c>
      <c r="G1763" s="11">
        <f t="shared" si="46"/>
        <v>2610</v>
      </c>
    </row>
    <row r="1764" spans="1:7">
      <c r="A1764" s="77" t="s">
        <v>1608</v>
      </c>
      <c r="B1764" s="10" t="s">
        <v>22</v>
      </c>
      <c r="C1764" s="76" t="s">
        <v>29</v>
      </c>
      <c r="D1764" s="10">
        <v>6426</v>
      </c>
      <c r="E1764" s="10" t="s">
        <v>1550</v>
      </c>
      <c r="F1764" s="163">
        <v>0</v>
      </c>
      <c r="G1764" s="11">
        <f>F1764*21</f>
        <v>0</v>
      </c>
    </row>
    <row r="1765" spans="1:7">
      <c r="A1765" s="77" t="s">
        <v>1608</v>
      </c>
      <c r="B1765" s="10" t="s">
        <v>22</v>
      </c>
      <c r="C1765" s="76" t="s">
        <v>27</v>
      </c>
      <c r="D1765" s="10">
        <v>7344</v>
      </c>
      <c r="E1765" s="10" t="s">
        <v>1550</v>
      </c>
      <c r="F1765" s="163">
        <v>0</v>
      </c>
      <c r="G1765" s="11">
        <f>F1765*34</f>
        <v>0</v>
      </c>
    </row>
    <row r="1766" spans="1:7">
      <c r="A1766" s="77" t="s">
        <v>1608</v>
      </c>
      <c r="B1766" s="10" t="s">
        <v>22</v>
      </c>
      <c r="C1766" s="10" t="s">
        <v>31</v>
      </c>
      <c r="D1766" s="10">
        <v>6745</v>
      </c>
      <c r="E1766" s="10" t="s">
        <v>1536</v>
      </c>
      <c r="F1766" s="163">
        <v>889</v>
      </c>
      <c r="G1766" s="11">
        <f>F1766*5</f>
        <v>4445</v>
      </c>
    </row>
    <row r="1767" spans="1:7">
      <c r="A1767" s="77" t="s">
        <v>1608</v>
      </c>
      <c r="B1767" s="10" t="s">
        <v>1552</v>
      </c>
      <c r="C1767" s="68" t="s">
        <v>1533</v>
      </c>
      <c r="D1767" s="10">
        <v>3040</v>
      </c>
      <c r="E1767" s="10" t="s">
        <v>1536</v>
      </c>
      <c r="F1767" s="163">
        <v>320</v>
      </c>
      <c r="G1767" s="11"/>
    </row>
    <row r="1768" spans="1:7">
      <c r="A1768" s="77" t="s">
        <v>913</v>
      </c>
      <c r="B1768" s="10" t="s">
        <v>22</v>
      </c>
      <c r="C1768" s="10" t="s">
        <v>24</v>
      </c>
      <c r="D1768" s="10">
        <v>3978</v>
      </c>
      <c r="E1768" s="10" t="s">
        <v>1534</v>
      </c>
      <c r="F1768" s="163">
        <v>92</v>
      </c>
      <c r="G1768" s="11">
        <f t="shared" ref="G1768:G1769" si="47">F1768*45</f>
        <v>4140</v>
      </c>
    </row>
    <row r="1769" spans="1:7">
      <c r="A1769" s="77" t="s">
        <v>913</v>
      </c>
      <c r="B1769" s="10" t="s">
        <v>22</v>
      </c>
      <c r="C1769" s="10" t="s">
        <v>24</v>
      </c>
      <c r="D1769" s="10">
        <v>7191</v>
      </c>
      <c r="E1769" s="10" t="s">
        <v>1531</v>
      </c>
      <c r="F1769" s="163">
        <v>58</v>
      </c>
      <c r="G1769" s="11">
        <f t="shared" si="47"/>
        <v>2610</v>
      </c>
    </row>
    <row r="1770" spans="1:7">
      <c r="A1770" s="77" t="s">
        <v>913</v>
      </c>
      <c r="B1770" s="10" t="s">
        <v>22</v>
      </c>
      <c r="C1770" s="10" t="s">
        <v>31</v>
      </c>
      <c r="D1770" s="10">
        <v>4131</v>
      </c>
      <c r="E1770" s="10" t="s">
        <v>1536</v>
      </c>
      <c r="F1770" s="163">
        <v>398</v>
      </c>
      <c r="G1770" s="11">
        <f>F1770*5</f>
        <v>1990</v>
      </c>
    </row>
    <row r="1771" spans="1:7">
      <c r="A1771" s="77" t="s">
        <v>913</v>
      </c>
      <c r="B1771" s="10" t="s">
        <v>22</v>
      </c>
      <c r="C1771" s="76" t="s">
        <v>27</v>
      </c>
      <c r="D1771" s="10">
        <v>13770</v>
      </c>
      <c r="E1771" s="10" t="s">
        <v>1550</v>
      </c>
      <c r="F1771" s="163">
        <v>0</v>
      </c>
      <c r="G1771" s="11">
        <f>F1771*34</f>
        <v>0</v>
      </c>
    </row>
    <row r="1772" spans="1:7">
      <c r="A1772" s="77" t="s">
        <v>913</v>
      </c>
      <c r="B1772" s="10" t="s">
        <v>22</v>
      </c>
      <c r="C1772" s="76" t="s">
        <v>29</v>
      </c>
      <c r="D1772" s="10">
        <v>2754</v>
      </c>
      <c r="E1772" s="10" t="s">
        <v>1550</v>
      </c>
      <c r="F1772" s="163">
        <v>0</v>
      </c>
      <c r="G1772" s="11">
        <f>F1772*21</f>
        <v>0</v>
      </c>
    </row>
    <row r="1773" spans="1:7">
      <c r="A1773" s="77" t="s">
        <v>913</v>
      </c>
      <c r="B1773" s="10" t="s">
        <v>22</v>
      </c>
      <c r="C1773" s="10" t="s">
        <v>31</v>
      </c>
      <c r="D1773" s="10">
        <v>7010</v>
      </c>
      <c r="E1773" s="10" t="s">
        <v>1536</v>
      </c>
      <c r="F1773" s="163">
        <v>450</v>
      </c>
      <c r="G1773" s="11">
        <f>F1773*5</f>
        <v>2250</v>
      </c>
    </row>
    <row r="1774" spans="1:7">
      <c r="A1774" s="77" t="s">
        <v>917</v>
      </c>
      <c r="B1774" s="10" t="s">
        <v>22</v>
      </c>
      <c r="C1774" s="76" t="s">
        <v>27</v>
      </c>
      <c r="D1774" s="10">
        <v>1836</v>
      </c>
      <c r="E1774" s="10" t="s">
        <v>1550</v>
      </c>
      <c r="F1774" s="163">
        <v>0</v>
      </c>
      <c r="G1774" s="11">
        <f>F1774*34</f>
        <v>0</v>
      </c>
    </row>
    <row r="1775" spans="1:7">
      <c r="A1775" s="77" t="s">
        <v>917</v>
      </c>
      <c r="B1775" s="10" t="s">
        <v>22</v>
      </c>
      <c r="C1775" s="76" t="s">
        <v>29</v>
      </c>
      <c r="D1775" s="10">
        <v>2571</v>
      </c>
      <c r="E1775" s="10" t="s">
        <v>1550</v>
      </c>
      <c r="F1775" s="163">
        <v>0</v>
      </c>
      <c r="G1775" s="11">
        <f>F1775*21</f>
        <v>0</v>
      </c>
    </row>
    <row r="1776" spans="1:7">
      <c r="A1776" s="77" t="s">
        <v>917</v>
      </c>
      <c r="B1776" s="10" t="s">
        <v>22</v>
      </c>
      <c r="C1776" s="10" t="s">
        <v>24</v>
      </c>
      <c r="D1776" s="10">
        <v>2340</v>
      </c>
      <c r="E1776" s="10" t="s">
        <v>1536</v>
      </c>
      <c r="F1776" s="163">
        <v>87</v>
      </c>
      <c r="G1776" s="11">
        <f t="shared" ref="G1776:G1777" si="48">F1776*45</f>
        <v>3915</v>
      </c>
    </row>
    <row r="1777" spans="1:7">
      <c r="A1777" s="77" t="s">
        <v>917</v>
      </c>
      <c r="B1777" s="10" t="s">
        <v>22</v>
      </c>
      <c r="C1777" s="10" t="s">
        <v>24</v>
      </c>
      <c r="D1777" s="10">
        <v>2448</v>
      </c>
      <c r="E1777" s="10" t="s">
        <v>1534</v>
      </c>
      <c r="F1777" s="163">
        <v>58</v>
      </c>
      <c r="G1777" s="11">
        <f t="shared" si="48"/>
        <v>2610</v>
      </c>
    </row>
    <row r="1778" spans="1:7">
      <c r="A1778" s="77" t="s">
        <v>917</v>
      </c>
      <c r="B1778" s="10" t="s">
        <v>22</v>
      </c>
      <c r="C1778" s="10" t="s">
        <v>31</v>
      </c>
      <c r="D1778" s="10">
        <v>7635</v>
      </c>
      <c r="E1778" s="10" t="s">
        <v>1536</v>
      </c>
      <c r="F1778" s="163">
        <v>900</v>
      </c>
      <c r="G1778" s="11">
        <f>F1778*5</f>
        <v>4500</v>
      </c>
    </row>
    <row r="1779" spans="1:7">
      <c r="A1779" s="77" t="s">
        <v>1609</v>
      </c>
      <c r="B1779" s="10" t="s">
        <v>22</v>
      </c>
      <c r="C1779" s="10" t="s">
        <v>24</v>
      </c>
      <c r="D1779" s="10">
        <v>612</v>
      </c>
      <c r="E1779" s="10" t="s">
        <v>1534</v>
      </c>
      <c r="F1779" s="163">
        <v>25</v>
      </c>
      <c r="G1779" s="11">
        <f>F1779*45</f>
        <v>1125</v>
      </c>
    </row>
    <row r="1780" spans="1:7">
      <c r="A1780" s="77" t="s">
        <v>1609</v>
      </c>
      <c r="B1780" s="10" t="s">
        <v>22</v>
      </c>
      <c r="C1780" s="76" t="s">
        <v>27</v>
      </c>
      <c r="D1780" s="10">
        <v>7497</v>
      </c>
      <c r="E1780" s="10" t="s">
        <v>1534</v>
      </c>
      <c r="F1780" s="163">
        <v>217</v>
      </c>
      <c r="G1780" s="11">
        <f>F1780*34</f>
        <v>7378</v>
      </c>
    </row>
    <row r="1781" spans="1:7">
      <c r="A1781" s="77" t="s">
        <v>1609</v>
      </c>
      <c r="B1781" s="10" t="s">
        <v>22</v>
      </c>
      <c r="C1781" s="10" t="s">
        <v>31</v>
      </c>
      <c r="D1781" s="10">
        <v>5150</v>
      </c>
      <c r="E1781" s="10" t="s">
        <v>1536</v>
      </c>
      <c r="F1781" s="163">
        <v>342</v>
      </c>
      <c r="G1781" s="11">
        <f t="shared" ref="G1781:G1782" si="49">F1781*5</f>
        <v>1710</v>
      </c>
    </row>
    <row r="1782" spans="1:7">
      <c r="A1782" s="77" t="s">
        <v>1609</v>
      </c>
      <c r="B1782" s="10" t="s">
        <v>22</v>
      </c>
      <c r="C1782" s="10" t="s">
        <v>31</v>
      </c>
      <c r="D1782" s="10">
        <v>8755</v>
      </c>
      <c r="E1782" s="10" t="s">
        <v>1536</v>
      </c>
      <c r="F1782" s="163">
        <v>987</v>
      </c>
      <c r="G1782" s="11">
        <f t="shared" si="49"/>
        <v>4935</v>
      </c>
    </row>
    <row r="1783" spans="1:7">
      <c r="A1783" s="77" t="s">
        <v>1610</v>
      </c>
      <c r="B1783" s="10" t="s">
        <v>22</v>
      </c>
      <c r="C1783" s="76" t="s">
        <v>27</v>
      </c>
      <c r="D1783" s="10">
        <v>12735</v>
      </c>
      <c r="E1783" s="10" t="s">
        <v>1531</v>
      </c>
      <c r="F1783" s="163">
        <v>260</v>
      </c>
      <c r="G1783" s="11">
        <f>F1783*34</f>
        <v>8840</v>
      </c>
    </row>
    <row r="1784" spans="1:7">
      <c r="A1784" s="77" t="s">
        <v>1610</v>
      </c>
      <c r="B1784" s="10" t="s">
        <v>22</v>
      </c>
      <c r="C1784" s="10" t="s">
        <v>31</v>
      </c>
      <c r="D1784" s="10">
        <v>4437</v>
      </c>
      <c r="E1784" s="10" t="s">
        <v>1536</v>
      </c>
      <c r="F1784" s="163">
        <v>288</v>
      </c>
      <c r="G1784" s="11">
        <f>F1784*5</f>
        <v>1440</v>
      </c>
    </row>
    <row r="1785" spans="1:7">
      <c r="A1785" s="77" t="s">
        <v>1610</v>
      </c>
      <c r="B1785" s="10" t="s">
        <v>22</v>
      </c>
      <c r="C1785" s="76" t="s">
        <v>29</v>
      </c>
      <c r="D1785" s="10">
        <v>3410</v>
      </c>
      <c r="E1785" s="10" t="s">
        <v>1536</v>
      </c>
      <c r="F1785" s="163">
        <v>160</v>
      </c>
      <c r="G1785" s="11">
        <f>F1785*21</f>
        <v>3360</v>
      </c>
    </row>
    <row r="1786" spans="1:7">
      <c r="A1786" s="77" t="s">
        <v>1610</v>
      </c>
      <c r="B1786" s="10" t="s">
        <v>22</v>
      </c>
      <c r="C1786" s="10" t="s">
        <v>31</v>
      </c>
      <c r="D1786" s="10">
        <v>10170</v>
      </c>
      <c r="E1786" s="10" t="s">
        <v>1536</v>
      </c>
      <c r="F1786" s="163">
        <v>800</v>
      </c>
      <c r="G1786" s="11">
        <f>F1786*5</f>
        <v>4000</v>
      </c>
    </row>
    <row r="1787" spans="1:7">
      <c r="A1787" s="77" t="s">
        <v>924</v>
      </c>
      <c r="B1787" s="10" t="s">
        <v>22</v>
      </c>
      <c r="C1787" s="10" t="s">
        <v>24</v>
      </c>
      <c r="D1787" s="10">
        <v>620</v>
      </c>
      <c r="E1787" s="10" t="s">
        <v>1534</v>
      </c>
      <c r="F1787" s="163">
        <v>18</v>
      </c>
      <c r="G1787" s="11">
        <f>F1787*45</f>
        <v>810</v>
      </c>
    </row>
    <row r="1788" spans="1:7">
      <c r="A1788" s="77" t="s">
        <v>924</v>
      </c>
      <c r="B1788" s="10" t="s">
        <v>22</v>
      </c>
      <c r="C1788" s="76" t="s">
        <v>27</v>
      </c>
      <c r="D1788" s="10">
        <v>2709</v>
      </c>
      <c r="E1788" s="10" t="s">
        <v>1534</v>
      </c>
      <c r="F1788" s="163">
        <v>97</v>
      </c>
      <c r="G1788" s="11">
        <f t="shared" ref="G1788:G1790" si="50">F1788*34</f>
        <v>3298</v>
      </c>
    </row>
    <row r="1789" spans="1:7">
      <c r="A1789" s="77" t="s">
        <v>924</v>
      </c>
      <c r="B1789" s="10" t="s">
        <v>22</v>
      </c>
      <c r="C1789" s="76" t="s">
        <v>27</v>
      </c>
      <c r="D1789" s="10">
        <v>2217</v>
      </c>
      <c r="E1789" s="10" t="s">
        <v>1534</v>
      </c>
      <c r="F1789" s="163">
        <v>52</v>
      </c>
      <c r="G1789" s="11">
        <f t="shared" si="50"/>
        <v>1768</v>
      </c>
    </row>
    <row r="1790" spans="1:7">
      <c r="A1790" s="77" t="s">
        <v>924</v>
      </c>
      <c r="B1790" s="10" t="s">
        <v>22</v>
      </c>
      <c r="C1790" s="76" t="s">
        <v>27</v>
      </c>
      <c r="D1790" s="10">
        <v>8262</v>
      </c>
      <c r="E1790" s="10" t="s">
        <v>1531</v>
      </c>
      <c r="F1790" s="163">
        <v>98</v>
      </c>
      <c r="G1790" s="11">
        <f t="shared" si="50"/>
        <v>3332</v>
      </c>
    </row>
    <row r="1791" spans="1:7">
      <c r="A1791" s="77" t="s">
        <v>924</v>
      </c>
      <c r="B1791" s="10" t="s">
        <v>22</v>
      </c>
      <c r="C1791" s="10" t="s">
        <v>31</v>
      </c>
      <c r="D1791" s="10">
        <v>4337</v>
      </c>
      <c r="E1791" s="10" t="s">
        <v>1536</v>
      </c>
      <c r="F1791" s="163">
        <v>320</v>
      </c>
      <c r="G1791" s="11">
        <f>F1791*5</f>
        <v>1600</v>
      </c>
    </row>
    <row r="1792" spans="1:7">
      <c r="A1792" s="77" t="s">
        <v>924</v>
      </c>
      <c r="B1792" s="10" t="s">
        <v>22</v>
      </c>
      <c r="C1792" s="76" t="s">
        <v>29</v>
      </c>
      <c r="D1792" s="10">
        <v>6783</v>
      </c>
      <c r="E1792" s="10" t="s">
        <v>1550</v>
      </c>
      <c r="F1792" s="163">
        <v>0</v>
      </c>
      <c r="G1792" s="11">
        <f t="shared" ref="G1792:G1794" si="51">F1792*21</f>
        <v>0</v>
      </c>
    </row>
    <row r="1793" spans="1:7">
      <c r="A1793" s="77" t="s">
        <v>924</v>
      </c>
      <c r="B1793" s="10" t="s">
        <v>22</v>
      </c>
      <c r="C1793" s="76" t="s">
        <v>29</v>
      </c>
      <c r="D1793" s="10">
        <v>2380</v>
      </c>
      <c r="E1793" s="10" t="s">
        <v>1611</v>
      </c>
      <c r="F1793" s="163">
        <v>108</v>
      </c>
      <c r="G1793" s="11">
        <f t="shared" si="51"/>
        <v>2268</v>
      </c>
    </row>
    <row r="1794" spans="1:7">
      <c r="A1794" s="77" t="s">
        <v>924</v>
      </c>
      <c r="B1794" s="10" t="s">
        <v>22</v>
      </c>
      <c r="C1794" s="76" t="s">
        <v>29</v>
      </c>
      <c r="D1794" s="10">
        <v>2950</v>
      </c>
      <c r="E1794" s="10" t="s">
        <v>1536</v>
      </c>
      <c r="F1794" s="163">
        <v>260</v>
      </c>
      <c r="G1794" s="11">
        <f t="shared" si="51"/>
        <v>5460</v>
      </c>
    </row>
    <row r="1795" spans="1:7">
      <c r="A1795" s="77" t="s">
        <v>924</v>
      </c>
      <c r="B1795" s="10" t="s">
        <v>22</v>
      </c>
      <c r="C1795" s="76" t="s">
        <v>27</v>
      </c>
      <c r="D1795" s="10">
        <v>3263</v>
      </c>
      <c r="E1795" s="10" t="s">
        <v>1536</v>
      </c>
      <c r="F1795" s="163">
        <v>204</v>
      </c>
      <c r="G1795" s="11">
        <f>F1795*34</f>
        <v>6936</v>
      </c>
    </row>
    <row r="1796" spans="1:7">
      <c r="A1796" s="67" t="s">
        <v>928</v>
      </c>
      <c r="B1796" s="79" t="s">
        <v>22</v>
      </c>
      <c r="C1796" s="76" t="s">
        <v>29</v>
      </c>
      <c r="D1796" s="5">
        <v>4590</v>
      </c>
      <c r="E1796" s="79" t="s">
        <v>1550</v>
      </c>
      <c r="F1796" s="164">
        <v>0</v>
      </c>
      <c r="G1796" s="11">
        <f>F1796*21</f>
        <v>0</v>
      </c>
    </row>
    <row r="1797" spans="1:7">
      <c r="A1797" s="67" t="s">
        <v>928</v>
      </c>
      <c r="B1797" s="5" t="s">
        <v>22</v>
      </c>
      <c r="C1797" s="76" t="s">
        <v>27</v>
      </c>
      <c r="D1797" s="5">
        <v>810</v>
      </c>
      <c r="E1797" s="5" t="s">
        <v>1536</v>
      </c>
      <c r="F1797" s="164">
        <v>31</v>
      </c>
      <c r="G1797" s="11">
        <f>F1797*34</f>
        <v>1054</v>
      </c>
    </row>
    <row r="1798" spans="1:7">
      <c r="A1798" s="67" t="s">
        <v>928</v>
      </c>
      <c r="B1798" s="5" t="s">
        <v>22</v>
      </c>
      <c r="C1798" s="76" t="s">
        <v>29</v>
      </c>
      <c r="D1798" s="5">
        <v>2253</v>
      </c>
      <c r="E1798" s="5" t="s">
        <v>1550</v>
      </c>
      <c r="F1798" s="164">
        <v>0</v>
      </c>
      <c r="G1798" s="11">
        <f>F1798*21</f>
        <v>0</v>
      </c>
    </row>
    <row r="1799" spans="1:7">
      <c r="A1799" s="67" t="s">
        <v>1612</v>
      </c>
      <c r="B1799" s="5" t="s">
        <v>22</v>
      </c>
      <c r="C1799" s="5" t="s">
        <v>24</v>
      </c>
      <c r="D1799" s="5">
        <v>5508</v>
      </c>
      <c r="E1799" s="5" t="s">
        <v>1550</v>
      </c>
      <c r="F1799" s="164">
        <v>0</v>
      </c>
      <c r="G1799" s="11">
        <f>F1799*45</f>
        <v>0</v>
      </c>
    </row>
    <row r="1800" spans="1:7">
      <c r="A1800" s="67" t="s">
        <v>1612</v>
      </c>
      <c r="B1800" s="5" t="s">
        <v>22</v>
      </c>
      <c r="C1800" s="76" t="s">
        <v>29</v>
      </c>
      <c r="D1800" s="5">
        <v>2734</v>
      </c>
      <c r="E1800" s="5" t="s">
        <v>1550</v>
      </c>
      <c r="F1800" s="164">
        <v>0</v>
      </c>
      <c r="G1800" s="11">
        <f>F1800*21</f>
        <v>0</v>
      </c>
    </row>
    <row r="1801" spans="1:7">
      <c r="A1801" s="67" t="s">
        <v>1612</v>
      </c>
      <c r="B1801" s="5" t="s">
        <v>22</v>
      </c>
      <c r="C1801" s="5" t="s">
        <v>24</v>
      </c>
      <c r="D1801" s="5">
        <v>12852</v>
      </c>
      <c r="E1801" s="5" t="s">
        <v>1550</v>
      </c>
      <c r="F1801" s="164">
        <v>0</v>
      </c>
      <c r="G1801" s="11">
        <f>F1801*45</f>
        <v>0</v>
      </c>
    </row>
    <row r="1802" spans="1:7">
      <c r="A1802" s="67" t="s">
        <v>1612</v>
      </c>
      <c r="B1802" s="5" t="s">
        <v>22</v>
      </c>
      <c r="C1802" s="5" t="s">
        <v>31</v>
      </c>
      <c r="D1802" s="5">
        <v>7191</v>
      </c>
      <c r="E1802" s="5" t="s">
        <v>1536</v>
      </c>
      <c r="F1802" s="164">
        <v>494</v>
      </c>
      <c r="G1802" s="11">
        <f>F1802*5</f>
        <v>2470</v>
      </c>
    </row>
    <row r="1803" spans="1:7">
      <c r="A1803" s="67" t="s">
        <v>1612</v>
      </c>
      <c r="B1803" s="5" t="s">
        <v>22</v>
      </c>
      <c r="C1803" s="76" t="s">
        <v>27</v>
      </c>
      <c r="D1803" s="5">
        <v>4131</v>
      </c>
      <c r="E1803" s="5" t="s">
        <v>1534</v>
      </c>
      <c r="F1803" s="164">
        <v>140</v>
      </c>
      <c r="G1803" s="11">
        <f t="shared" ref="G1803:G1804" si="52">F1803*34</f>
        <v>4760</v>
      </c>
    </row>
    <row r="1804" spans="1:7">
      <c r="A1804" s="67" t="s">
        <v>1612</v>
      </c>
      <c r="B1804" s="5" t="s">
        <v>22</v>
      </c>
      <c r="C1804" s="76" t="s">
        <v>27</v>
      </c>
      <c r="D1804" s="5">
        <v>4873</v>
      </c>
      <c r="E1804" s="5" t="s">
        <v>1534</v>
      </c>
      <c r="F1804" s="164">
        <v>156</v>
      </c>
      <c r="G1804" s="11">
        <f t="shared" si="52"/>
        <v>5304</v>
      </c>
    </row>
    <row r="1805" spans="1:7">
      <c r="A1805" s="67" t="s">
        <v>1612</v>
      </c>
      <c r="B1805" s="5" t="s">
        <v>22</v>
      </c>
      <c r="C1805" s="76" t="s">
        <v>29</v>
      </c>
      <c r="D1805" s="5">
        <v>2100</v>
      </c>
      <c r="E1805" s="5" t="s">
        <v>1536</v>
      </c>
      <c r="F1805" s="164">
        <v>38</v>
      </c>
      <c r="G1805" s="11">
        <f t="shared" ref="G1805:G1806" si="53">F1805*21</f>
        <v>798</v>
      </c>
    </row>
    <row r="1806" spans="1:7">
      <c r="A1806" s="67" t="s">
        <v>1612</v>
      </c>
      <c r="B1806" s="5" t="s">
        <v>22</v>
      </c>
      <c r="C1806" s="76" t="s">
        <v>29</v>
      </c>
      <c r="D1806" s="5">
        <v>5405</v>
      </c>
      <c r="E1806" s="5" t="s">
        <v>1536</v>
      </c>
      <c r="F1806" s="164">
        <v>553</v>
      </c>
      <c r="G1806" s="11">
        <f t="shared" si="53"/>
        <v>11613</v>
      </c>
    </row>
    <row r="1807" spans="1:7">
      <c r="A1807" s="67" t="s">
        <v>1612</v>
      </c>
      <c r="B1807" s="5" t="s">
        <v>22</v>
      </c>
      <c r="C1807" s="76" t="s">
        <v>27</v>
      </c>
      <c r="D1807" s="5">
        <v>4220</v>
      </c>
      <c r="E1807" s="5" t="s">
        <v>1536</v>
      </c>
      <c r="F1807" s="164">
        <v>249</v>
      </c>
      <c r="G1807" s="11">
        <f>F1807*34</f>
        <v>8466</v>
      </c>
    </row>
    <row r="1808" spans="1:7">
      <c r="A1808" s="67" t="s">
        <v>946</v>
      </c>
      <c r="B1808" s="5" t="s">
        <v>22</v>
      </c>
      <c r="C1808" s="76" t="s">
        <v>29</v>
      </c>
      <c r="D1808" s="5">
        <v>1836</v>
      </c>
      <c r="E1808" s="5" t="s">
        <v>1550</v>
      </c>
      <c r="F1808" s="164">
        <v>0</v>
      </c>
      <c r="G1808" s="11">
        <f>F1808*21</f>
        <v>0</v>
      </c>
    </row>
    <row r="1809" spans="1:7">
      <c r="A1809" s="67" t="s">
        <v>946</v>
      </c>
      <c r="B1809" s="5" t="s">
        <v>22</v>
      </c>
      <c r="C1809" s="76" t="s">
        <v>27</v>
      </c>
      <c r="D1809" s="5">
        <v>8262</v>
      </c>
      <c r="E1809" s="5" t="s">
        <v>1550</v>
      </c>
      <c r="F1809" s="164">
        <v>0</v>
      </c>
      <c r="G1809" s="11">
        <f>F1809*34</f>
        <v>0</v>
      </c>
    </row>
    <row r="1810" spans="1:7">
      <c r="A1810" s="67" t="s">
        <v>946</v>
      </c>
      <c r="B1810" s="5" t="s">
        <v>22</v>
      </c>
      <c r="C1810" s="76" t="s">
        <v>29</v>
      </c>
      <c r="D1810" s="5">
        <v>3159</v>
      </c>
      <c r="E1810" s="5" t="s">
        <v>1534</v>
      </c>
      <c r="F1810" s="164">
        <v>253</v>
      </c>
      <c r="G1810" s="11">
        <f>F1810*21</f>
        <v>5313</v>
      </c>
    </row>
    <row r="1811" spans="1:7">
      <c r="A1811" s="67" t="s">
        <v>946</v>
      </c>
      <c r="B1811" s="5" t="s">
        <v>22</v>
      </c>
      <c r="C1811" s="5" t="s">
        <v>31</v>
      </c>
      <c r="D1811" s="5">
        <v>3825</v>
      </c>
      <c r="E1811" s="5" t="s">
        <v>1536</v>
      </c>
      <c r="F1811" s="164">
        <v>61</v>
      </c>
      <c r="G1811" s="11">
        <f>F1811*5</f>
        <v>305</v>
      </c>
    </row>
    <row r="1812" spans="1:7">
      <c r="A1812" s="67" t="s">
        <v>946</v>
      </c>
      <c r="B1812" s="5" t="s">
        <v>22</v>
      </c>
      <c r="C1812" s="76" t="s">
        <v>27</v>
      </c>
      <c r="D1812" s="5">
        <v>4235</v>
      </c>
      <c r="E1812" s="5" t="s">
        <v>1536</v>
      </c>
      <c r="F1812" s="164">
        <v>178</v>
      </c>
      <c r="G1812" s="11">
        <f>F1812*34</f>
        <v>6052</v>
      </c>
    </row>
    <row r="1813" spans="1:7">
      <c r="A1813" s="67" t="s">
        <v>946</v>
      </c>
      <c r="B1813" s="5" t="s">
        <v>22</v>
      </c>
      <c r="C1813" s="76" t="s">
        <v>29</v>
      </c>
      <c r="D1813" s="5">
        <v>2650</v>
      </c>
      <c r="E1813" s="5" t="s">
        <v>1536</v>
      </c>
      <c r="F1813" s="164">
        <v>132</v>
      </c>
      <c r="G1813" s="11">
        <f>F1813*21</f>
        <v>2772</v>
      </c>
    </row>
    <row r="1814" spans="1:7">
      <c r="A1814" s="67" t="s">
        <v>950</v>
      </c>
      <c r="B1814" s="5" t="s">
        <v>22</v>
      </c>
      <c r="C1814" s="76" t="s">
        <v>27</v>
      </c>
      <c r="D1814" s="5">
        <v>5589</v>
      </c>
      <c r="E1814" s="5" t="s">
        <v>1534</v>
      </c>
      <c r="F1814" s="164">
        <v>220</v>
      </c>
      <c r="G1814" s="11">
        <f>F1814*34</f>
        <v>7480</v>
      </c>
    </row>
    <row r="1815" spans="1:7">
      <c r="A1815" s="67" t="s">
        <v>950</v>
      </c>
      <c r="B1815" s="5" t="s">
        <v>22</v>
      </c>
      <c r="C1815" s="5" t="s">
        <v>31</v>
      </c>
      <c r="D1815" s="5">
        <v>3366</v>
      </c>
      <c r="E1815" s="5" t="s">
        <v>1536</v>
      </c>
      <c r="F1815" s="164">
        <v>163</v>
      </c>
      <c r="G1815" s="11">
        <f>F1815*5</f>
        <v>815</v>
      </c>
    </row>
    <row r="1816" spans="1:7">
      <c r="A1816" s="67" t="s">
        <v>950</v>
      </c>
      <c r="B1816" s="5" t="s">
        <v>22</v>
      </c>
      <c r="C1816" s="5" t="s">
        <v>24</v>
      </c>
      <c r="D1816" s="5">
        <v>1836</v>
      </c>
      <c r="E1816" s="5" t="s">
        <v>1550</v>
      </c>
      <c r="F1816" s="164">
        <v>0</v>
      </c>
      <c r="G1816" s="11">
        <f>F1816*45</f>
        <v>0</v>
      </c>
    </row>
    <row r="1817" spans="1:7">
      <c r="A1817" s="67" t="s">
        <v>950</v>
      </c>
      <c r="B1817" s="5" t="s">
        <v>22</v>
      </c>
      <c r="C1817" s="76" t="s">
        <v>27</v>
      </c>
      <c r="D1817" s="5">
        <v>1747</v>
      </c>
      <c r="E1817" s="5" t="s">
        <v>1536</v>
      </c>
      <c r="F1817" s="164">
        <v>80</v>
      </c>
      <c r="G1817" s="11">
        <f>F1817*34</f>
        <v>2720</v>
      </c>
    </row>
    <row r="1818" spans="1:7">
      <c r="A1818" s="67" t="s">
        <v>950</v>
      </c>
      <c r="B1818" s="5" t="s">
        <v>1539</v>
      </c>
      <c r="C1818" s="5" t="s">
        <v>1562</v>
      </c>
      <c r="D1818" s="5">
        <v>1980</v>
      </c>
      <c r="E1818" s="5" t="s">
        <v>1536</v>
      </c>
      <c r="F1818" s="164">
        <v>70</v>
      </c>
      <c r="G1818" s="11"/>
    </row>
    <row r="1819" spans="1:7">
      <c r="A1819" s="67" t="s">
        <v>950</v>
      </c>
      <c r="B1819" s="5" t="s">
        <v>22</v>
      </c>
      <c r="C1819" s="76" t="s">
        <v>29</v>
      </c>
      <c r="D1819" s="5">
        <v>3431</v>
      </c>
      <c r="E1819" s="5" t="s">
        <v>1536</v>
      </c>
      <c r="F1819" s="164">
        <v>129</v>
      </c>
      <c r="G1819" s="11">
        <f>F1819*21</f>
        <v>2709</v>
      </c>
    </row>
    <row r="1820" spans="1:7">
      <c r="A1820" s="67" t="s">
        <v>1613</v>
      </c>
      <c r="B1820" s="5" t="s">
        <v>22</v>
      </c>
      <c r="C1820" s="5" t="s">
        <v>31</v>
      </c>
      <c r="D1820" s="5">
        <v>6112</v>
      </c>
      <c r="E1820" s="5" t="s">
        <v>1536</v>
      </c>
      <c r="F1820" s="164">
        <v>187</v>
      </c>
      <c r="G1820" s="11">
        <f>F1820*5</f>
        <v>935</v>
      </c>
    </row>
    <row r="1821" spans="1:7">
      <c r="A1821" s="67" t="s">
        <v>1613</v>
      </c>
      <c r="B1821" s="5" t="s">
        <v>22</v>
      </c>
      <c r="C1821" s="5" t="s">
        <v>24</v>
      </c>
      <c r="D1821" s="5">
        <v>4228</v>
      </c>
      <c r="E1821" s="5" t="s">
        <v>1534</v>
      </c>
      <c r="F1821" s="164">
        <v>153</v>
      </c>
      <c r="G1821" s="11">
        <f>F1821*45</f>
        <v>6885</v>
      </c>
    </row>
    <row r="1822" spans="1:7">
      <c r="A1822" s="67" t="s">
        <v>1613</v>
      </c>
      <c r="B1822" s="5" t="s">
        <v>22</v>
      </c>
      <c r="C1822" s="5" t="s">
        <v>31</v>
      </c>
      <c r="D1822" s="5">
        <v>8430</v>
      </c>
      <c r="E1822" s="5" t="s">
        <v>1536</v>
      </c>
      <c r="F1822" s="164">
        <v>1846</v>
      </c>
      <c r="G1822" s="11">
        <f>F1822*5</f>
        <v>9230</v>
      </c>
    </row>
    <row r="1823" spans="1:7">
      <c r="A1823" s="67" t="s">
        <v>1614</v>
      </c>
      <c r="B1823" s="5" t="s">
        <v>22</v>
      </c>
      <c r="C1823" s="5" t="s">
        <v>24</v>
      </c>
      <c r="D1823" s="5">
        <v>4392</v>
      </c>
      <c r="E1823" s="5" t="s">
        <v>1534</v>
      </c>
      <c r="F1823" s="164">
        <v>80</v>
      </c>
      <c r="G1823" s="11">
        <f>F1823*45</f>
        <v>3600</v>
      </c>
    </row>
    <row r="1824" spans="1:7">
      <c r="A1824" s="67" t="s">
        <v>1614</v>
      </c>
      <c r="B1824" s="5" t="s">
        <v>22</v>
      </c>
      <c r="C1824" s="5" t="s">
        <v>31</v>
      </c>
      <c r="D1824" s="5">
        <v>3825</v>
      </c>
      <c r="E1824" s="5" t="s">
        <v>1536</v>
      </c>
      <c r="F1824" s="164">
        <v>167</v>
      </c>
      <c r="G1824" s="11">
        <f t="shared" ref="G1824:G1825" si="54">F1824*5</f>
        <v>835</v>
      </c>
    </row>
    <row r="1825" spans="1:7">
      <c r="A1825" s="67" t="s">
        <v>1614</v>
      </c>
      <c r="B1825" s="5" t="s">
        <v>22</v>
      </c>
      <c r="C1825" s="5" t="s">
        <v>31</v>
      </c>
      <c r="D1825" s="5">
        <v>12393</v>
      </c>
      <c r="E1825" s="5" t="s">
        <v>1536</v>
      </c>
      <c r="F1825" s="164">
        <v>973</v>
      </c>
      <c r="G1825" s="11">
        <f t="shared" si="54"/>
        <v>4865</v>
      </c>
    </row>
    <row r="1826" spans="1:7">
      <c r="A1826" s="67" t="s">
        <v>1615</v>
      </c>
      <c r="B1826" s="5" t="s">
        <v>22</v>
      </c>
      <c r="C1826" s="5" t="s">
        <v>24</v>
      </c>
      <c r="D1826" s="5">
        <v>5771</v>
      </c>
      <c r="E1826" s="5" t="s">
        <v>1534</v>
      </c>
      <c r="F1826" s="164">
        <v>300</v>
      </c>
      <c r="G1826" s="11">
        <f>F1826*45</f>
        <v>13500</v>
      </c>
    </row>
    <row r="1827" spans="1:7">
      <c r="A1827" s="67" t="s">
        <v>1615</v>
      </c>
      <c r="B1827" s="5" t="s">
        <v>22</v>
      </c>
      <c r="C1827" s="76" t="s">
        <v>29</v>
      </c>
      <c r="D1827" s="5">
        <v>4960</v>
      </c>
      <c r="E1827" s="5" t="s">
        <v>1611</v>
      </c>
      <c r="F1827" s="164">
        <v>20</v>
      </c>
      <c r="G1827" s="11">
        <f>F1827*21</f>
        <v>420</v>
      </c>
    </row>
    <row r="1828" spans="1:7">
      <c r="A1828" s="67" t="s">
        <v>1615</v>
      </c>
      <c r="B1828" s="5" t="s">
        <v>22</v>
      </c>
      <c r="C1828" s="5" t="s">
        <v>31</v>
      </c>
      <c r="D1828" s="5">
        <v>4437</v>
      </c>
      <c r="E1828" s="5" t="s">
        <v>1536</v>
      </c>
      <c r="F1828" s="164">
        <v>68</v>
      </c>
      <c r="G1828" s="11">
        <f t="shared" ref="G1828:G1830" si="55">F1828*5</f>
        <v>340</v>
      </c>
    </row>
    <row r="1829" spans="1:7">
      <c r="A1829" s="67" t="s">
        <v>1615</v>
      </c>
      <c r="B1829" s="5" t="s">
        <v>22</v>
      </c>
      <c r="C1829" s="5" t="s">
        <v>31</v>
      </c>
      <c r="D1829" s="5">
        <v>1185</v>
      </c>
      <c r="E1829" s="5" t="s">
        <v>1536</v>
      </c>
      <c r="F1829" s="164">
        <v>292</v>
      </c>
      <c r="G1829" s="11">
        <f t="shared" si="55"/>
        <v>1460</v>
      </c>
    </row>
    <row r="1830" spans="1:7">
      <c r="A1830" s="67" t="s">
        <v>1615</v>
      </c>
      <c r="B1830" s="5" t="s">
        <v>22</v>
      </c>
      <c r="C1830" s="5" t="s">
        <v>31</v>
      </c>
      <c r="D1830" s="5">
        <v>5780</v>
      </c>
      <c r="E1830" s="5" t="s">
        <v>1536</v>
      </c>
      <c r="F1830" s="164">
        <v>1046</v>
      </c>
      <c r="G1830" s="11">
        <f t="shared" si="55"/>
        <v>5230</v>
      </c>
    </row>
    <row r="1831" spans="1:7">
      <c r="A1831" s="67" t="s">
        <v>1615</v>
      </c>
      <c r="B1831" s="5" t="s">
        <v>22</v>
      </c>
      <c r="C1831" s="76" t="s">
        <v>29</v>
      </c>
      <c r="D1831" s="5">
        <v>1780</v>
      </c>
      <c r="E1831" s="5" t="s">
        <v>1536</v>
      </c>
      <c r="F1831" s="164">
        <f>211-80</f>
        <v>131</v>
      </c>
      <c r="G1831" s="11">
        <f>F1831*21</f>
        <v>2751</v>
      </c>
    </row>
    <row r="1832" spans="1:7">
      <c r="A1832" s="67" t="s">
        <v>1615</v>
      </c>
      <c r="B1832" s="5" t="s">
        <v>1539</v>
      </c>
      <c r="C1832" s="76" t="s">
        <v>27</v>
      </c>
      <c r="D1832" s="5">
        <v>1005</v>
      </c>
      <c r="E1832" s="5" t="s">
        <v>1536</v>
      </c>
      <c r="F1832" s="164">
        <v>197</v>
      </c>
      <c r="G1832" s="11">
        <f>F1832*34</f>
        <v>6698</v>
      </c>
    </row>
    <row r="1833" spans="1:7">
      <c r="A1833" s="67" t="s">
        <v>1617</v>
      </c>
      <c r="B1833" s="5" t="s">
        <v>22</v>
      </c>
      <c r="C1833" s="5" t="s">
        <v>31</v>
      </c>
      <c r="D1833" s="5">
        <v>5661</v>
      </c>
      <c r="E1833" s="5" t="s">
        <v>1536</v>
      </c>
      <c r="F1833" s="164">
        <v>109</v>
      </c>
      <c r="G1833" s="11">
        <f t="shared" ref="G1833:G1834" si="56">F1833*5</f>
        <v>545</v>
      </c>
    </row>
    <row r="1834" spans="1:7">
      <c r="A1834" s="67" t="s">
        <v>1617</v>
      </c>
      <c r="B1834" s="5" t="s">
        <v>22</v>
      </c>
      <c r="C1834" s="5" t="s">
        <v>31</v>
      </c>
      <c r="D1834" s="5">
        <v>1830</v>
      </c>
      <c r="E1834" s="5" t="s">
        <v>1536</v>
      </c>
      <c r="F1834" s="164">
        <v>495</v>
      </c>
      <c r="G1834" s="11">
        <f t="shared" si="56"/>
        <v>2475</v>
      </c>
    </row>
    <row r="1835" spans="1:7">
      <c r="A1835" s="67" t="s">
        <v>1617</v>
      </c>
      <c r="B1835" s="5" t="s">
        <v>22</v>
      </c>
      <c r="C1835" s="76" t="s">
        <v>29</v>
      </c>
      <c r="D1835" s="5">
        <v>3240</v>
      </c>
      <c r="E1835" s="5" t="s">
        <v>1534</v>
      </c>
      <c r="F1835" s="164">
        <v>110</v>
      </c>
      <c r="G1835" s="11">
        <f>F1835*21</f>
        <v>2310</v>
      </c>
    </row>
    <row r="1836" spans="1:7">
      <c r="A1836" s="67" t="s">
        <v>1617</v>
      </c>
      <c r="B1836" s="5" t="s">
        <v>22</v>
      </c>
      <c r="C1836" s="5" t="s">
        <v>24</v>
      </c>
      <c r="D1836" s="5">
        <v>765</v>
      </c>
      <c r="E1836" s="5" t="s">
        <v>1534</v>
      </c>
      <c r="F1836" s="164">
        <v>35</v>
      </c>
      <c r="G1836" s="11">
        <f>F1836*45</f>
        <v>1575</v>
      </c>
    </row>
    <row r="1837" spans="1:7">
      <c r="A1837" s="67" t="s">
        <v>1617</v>
      </c>
      <c r="B1837" s="5" t="s">
        <v>22</v>
      </c>
      <c r="C1837" s="76" t="s">
        <v>29</v>
      </c>
      <c r="D1837" s="5">
        <v>6044</v>
      </c>
      <c r="E1837" s="5" t="s">
        <v>1611</v>
      </c>
      <c r="F1837" s="164">
        <v>36</v>
      </c>
      <c r="G1837" s="11">
        <f t="shared" ref="G1837:G1838" si="57">F1837*21</f>
        <v>756</v>
      </c>
    </row>
    <row r="1838" spans="1:7">
      <c r="A1838" s="67" t="s">
        <v>1617</v>
      </c>
      <c r="B1838" s="5" t="s">
        <v>22</v>
      </c>
      <c r="C1838" s="76" t="s">
        <v>29</v>
      </c>
      <c r="D1838" s="5">
        <v>3570</v>
      </c>
      <c r="E1838" s="5" t="s">
        <v>1536</v>
      </c>
      <c r="F1838" s="164">
        <v>82</v>
      </c>
      <c r="G1838" s="11">
        <f t="shared" si="57"/>
        <v>1722</v>
      </c>
    </row>
    <row r="1839" spans="1:7">
      <c r="A1839" s="67" t="s">
        <v>1617</v>
      </c>
      <c r="B1839" s="5" t="s">
        <v>1539</v>
      </c>
      <c r="C1839" s="76" t="s">
        <v>27</v>
      </c>
      <c r="D1839" s="5">
        <v>2995</v>
      </c>
      <c r="E1839" s="5" t="s">
        <v>1536</v>
      </c>
      <c r="F1839" s="164">
        <v>75</v>
      </c>
      <c r="G1839" s="11">
        <f>F1839*34</f>
        <v>2550</v>
      </c>
    </row>
    <row r="1840" spans="1:7">
      <c r="A1840" s="67" t="s">
        <v>1618</v>
      </c>
      <c r="B1840" s="5" t="s">
        <v>22</v>
      </c>
      <c r="C1840" s="76" t="s">
        <v>29</v>
      </c>
      <c r="D1840" s="5">
        <v>540</v>
      </c>
      <c r="E1840" s="5" t="s">
        <v>1534</v>
      </c>
      <c r="F1840" s="164">
        <v>35</v>
      </c>
      <c r="G1840" s="11">
        <f>F1840*21</f>
        <v>735</v>
      </c>
    </row>
    <row r="1841" spans="1:7">
      <c r="A1841" s="67" t="s">
        <v>1618</v>
      </c>
      <c r="B1841" s="5" t="s">
        <v>22</v>
      </c>
      <c r="C1841" s="76" t="s">
        <v>27</v>
      </c>
      <c r="D1841" s="5">
        <v>3035</v>
      </c>
      <c r="E1841" s="5" t="s">
        <v>1534</v>
      </c>
      <c r="F1841" s="164">
        <v>40</v>
      </c>
      <c r="G1841" s="11">
        <f>F1841*34</f>
        <v>1360</v>
      </c>
    </row>
    <row r="1842" spans="1:7">
      <c r="A1842" s="67" t="s">
        <v>1618</v>
      </c>
      <c r="B1842" s="5" t="s">
        <v>22</v>
      </c>
      <c r="C1842" s="76" t="s">
        <v>29</v>
      </c>
      <c r="D1842" s="5">
        <v>7020</v>
      </c>
      <c r="E1842" s="5" t="s">
        <v>1534</v>
      </c>
      <c r="F1842" s="164">
        <v>28</v>
      </c>
      <c r="G1842" s="11">
        <f>F1842*21</f>
        <v>588</v>
      </c>
    </row>
    <row r="1843" spans="1:7">
      <c r="A1843" s="67" t="s">
        <v>1618</v>
      </c>
      <c r="B1843" s="5" t="s">
        <v>22</v>
      </c>
      <c r="C1843" s="5" t="s">
        <v>31</v>
      </c>
      <c r="D1843" s="5">
        <v>1590</v>
      </c>
      <c r="E1843" s="5" t="s">
        <v>1536</v>
      </c>
      <c r="F1843" s="164">
        <v>362</v>
      </c>
      <c r="G1843" s="11">
        <f t="shared" ref="G1843:G1844" si="58">F1843*5</f>
        <v>1810</v>
      </c>
    </row>
    <row r="1844" spans="1:7">
      <c r="A1844" s="67" t="s">
        <v>1618</v>
      </c>
      <c r="B1844" s="5" t="s">
        <v>22</v>
      </c>
      <c r="C1844" s="5" t="s">
        <v>31</v>
      </c>
      <c r="D1844" s="5">
        <v>5255</v>
      </c>
      <c r="E1844" s="5" t="s">
        <v>1536</v>
      </c>
      <c r="F1844" s="164">
        <v>169</v>
      </c>
      <c r="G1844" s="11">
        <f t="shared" si="58"/>
        <v>845</v>
      </c>
    </row>
    <row r="1845" spans="1:7">
      <c r="A1845" s="67" t="s">
        <v>1618</v>
      </c>
      <c r="B1845" s="5" t="s">
        <v>22</v>
      </c>
      <c r="C1845" s="76" t="s">
        <v>29</v>
      </c>
      <c r="D1845" s="5">
        <v>2335</v>
      </c>
      <c r="E1845" s="5" t="s">
        <v>1536</v>
      </c>
      <c r="F1845" s="164">
        <f>120-75</f>
        <v>45</v>
      </c>
      <c r="G1845" s="11">
        <f>F1845*21</f>
        <v>945</v>
      </c>
    </row>
    <row r="1846" spans="1:7">
      <c r="A1846" s="67" t="s">
        <v>1618</v>
      </c>
      <c r="B1846" s="5" t="s">
        <v>1539</v>
      </c>
      <c r="C1846" s="76" t="s">
        <v>27</v>
      </c>
      <c r="D1846" s="5">
        <v>2590</v>
      </c>
      <c r="E1846" s="5" t="s">
        <v>1536</v>
      </c>
      <c r="F1846" s="164">
        <f>114+75</f>
        <v>189</v>
      </c>
      <c r="G1846" s="11">
        <f>F1846*34</f>
        <v>6426</v>
      </c>
    </row>
    <row r="1847" spans="1:7">
      <c r="A1847" s="67" t="s">
        <v>1618</v>
      </c>
      <c r="B1847" s="5" t="s">
        <v>22</v>
      </c>
      <c r="C1847" s="76" t="s">
        <v>29</v>
      </c>
      <c r="D1847" s="5">
        <v>2202</v>
      </c>
      <c r="E1847" s="5" t="s">
        <v>1550</v>
      </c>
      <c r="F1847" s="164">
        <v>0</v>
      </c>
      <c r="G1847" s="11">
        <f>F1847*21</f>
        <v>0</v>
      </c>
    </row>
    <row r="1848" spans="1:7">
      <c r="A1848" s="67" t="s">
        <v>1619</v>
      </c>
      <c r="B1848" s="5" t="s">
        <v>22</v>
      </c>
      <c r="C1848" s="5" t="s">
        <v>24</v>
      </c>
      <c r="D1848" s="5">
        <v>720</v>
      </c>
      <c r="E1848" s="5" t="s">
        <v>1534</v>
      </c>
      <c r="F1848" s="164">
        <v>15</v>
      </c>
      <c r="G1848" s="11">
        <f>F1848*45</f>
        <v>675</v>
      </c>
    </row>
    <row r="1849" spans="1:7">
      <c r="A1849" s="67" t="s">
        <v>1619</v>
      </c>
      <c r="B1849" s="5" t="s">
        <v>22</v>
      </c>
      <c r="C1849" s="76" t="s">
        <v>29</v>
      </c>
      <c r="D1849" s="5">
        <v>11681</v>
      </c>
      <c r="E1849" s="5" t="s">
        <v>1534</v>
      </c>
      <c r="F1849" s="164">
        <v>386</v>
      </c>
      <c r="G1849" s="11">
        <f>F1849*21</f>
        <v>8106</v>
      </c>
    </row>
    <row r="1850" spans="1:7">
      <c r="A1850" s="67" t="s">
        <v>1619</v>
      </c>
      <c r="B1850" s="5" t="s">
        <v>22</v>
      </c>
      <c r="C1850" s="5" t="s">
        <v>31</v>
      </c>
      <c r="D1850" s="5">
        <v>6273</v>
      </c>
      <c r="E1850" s="5" t="s">
        <v>1536</v>
      </c>
      <c r="F1850" s="164">
        <v>170</v>
      </c>
      <c r="G1850" s="11">
        <f t="shared" ref="G1850:G1851" si="59">F1850*5</f>
        <v>850</v>
      </c>
    </row>
    <row r="1851" spans="1:7">
      <c r="A1851" s="67" t="s">
        <v>1619</v>
      </c>
      <c r="B1851" s="5" t="s">
        <v>22</v>
      </c>
      <c r="C1851" s="5" t="s">
        <v>31</v>
      </c>
      <c r="D1851" s="5">
        <v>2010</v>
      </c>
      <c r="E1851" s="5" t="s">
        <v>1536</v>
      </c>
      <c r="F1851" s="164">
        <f>414+90</f>
        <v>504</v>
      </c>
      <c r="G1851" s="11">
        <f t="shared" si="59"/>
        <v>2520</v>
      </c>
    </row>
    <row r="1852" spans="1:7">
      <c r="A1852" s="67" t="s">
        <v>1619</v>
      </c>
      <c r="B1852" s="5" t="s">
        <v>22</v>
      </c>
      <c r="C1852" s="76" t="s">
        <v>29</v>
      </c>
      <c r="D1852" s="5">
        <v>2678</v>
      </c>
      <c r="E1852" s="5" t="s">
        <v>1536</v>
      </c>
      <c r="F1852" s="164">
        <v>197</v>
      </c>
      <c r="G1852" s="11">
        <f>F1852*21</f>
        <v>4137</v>
      </c>
    </row>
    <row r="1853" spans="1:7">
      <c r="A1853" s="67" t="s">
        <v>1619</v>
      </c>
      <c r="B1853" s="5" t="s">
        <v>22</v>
      </c>
      <c r="C1853" s="76" t="s">
        <v>27</v>
      </c>
      <c r="D1853" s="5">
        <v>3788</v>
      </c>
      <c r="E1853" s="5" t="s">
        <v>1536</v>
      </c>
      <c r="F1853" s="164">
        <f>163-97</f>
        <v>66</v>
      </c>
      <c r="G1853" s="11">
        <f>F1853*34</f>
        <v>2244</v>
      </c>
    </row>
    <row r="1854" spans="1:7">
      <c r="A1854" s="38" t="s">
        <v>1620</v>
      </c>
      <c r="B1854" s="5" t="s">
        <v>22</v>
      </c>
      <c r="C1854" s="5" t="s">
        <v>24</v>
      </c>
      <c r="D1854" s="5">
        <v>360</v>
      </c>
      <c r="E1854" s="5" t="s">
        <v>1534</v>
      </c>
      <c r="F1854" s="164">
        <v>9</v>
      </c>
      <c r="G1854" s="11">
        <f>F1854*45</f>
        <v>405</v>
      </c>
    </row>
    <row r="1855" spans="1:7">
      <c r="A1855" s="38" t="s">
        <v>1620</v>
      </c>
      <c r="B1855" s="5" t="s">
        <v>22</v>
      </c>
      <c r="C1855" s="5" t="s">
        <v>31</v>
      </c>
      <c r="D1855" s="5">
        <v>1867</v>
      </c>
      <c r="E1855" s="5" t="s">
        <v>1536</v>
      </c>
      <c r="F1855" s="164">
        <f>360+134</f>
        <v>494</v>
      </c>
      <c r="G1855" s="11">
        <f t="shared" ref="G1855:G1856" si="60">F1855*5</f>
        <v>2470</v>
      </c>
    </row>
    <row r="1856" spans="1:7">
      <c r="A1856" s="38" t="s">
        <v>1620</v>
      </c>
      <c r="B1856" s="5" t="s">
        <v>22</v>
      </c>
      <c r="C1856" s="5" t="s">
        <v>31</v>
      </c>
      <c r="D1856" s="5">
        <v>7986</v>
      </c>
      <c r="E1856" s="5" t="s">
        <v>1536</v>
      </c>
      <c r="F1856" s="164">
        <v>561</v>
      </c>
      <c r="G1856" s="11">
        <f t="shared" si="60"/>
        <v>2805</v>
      </c>
    </row>
    <row r="1857" spans="1:7">
      <c r="A1857" s="38" t="s">
        <v>1620</v>
      </c>
      <c r="B1857" s="5" t="s">
        <v>22</v>
      </c>
      <c r="C1857" s="76" t="s">
        <v>29</v>
      </c>
      <c r="D1857" s="5">
        <v>4855</v>
      </c>
      <c r="E1857" s="5" t="s">
        <v>1536</v>
      </c>
      <c r="F1857" s="164">
        <v>623</v>
      </c>
      <c r="G1857" s="11">
        <f t="shared" ref="G1857:G1858" si="61">F1857*21</f>
        <v>13083</v>
      </c>
    </row>
    <row r="1858" spans="1:7">
      <c r="A1858" s="38" t="s">
        <v>1620</v>
      </c>
      <c r="B1858" s="5" t="s">
        <v>22</v>
      </c>
      <c r="C1858" s="76" t="s">
        <v>29</v>
      </c>
      <c r="D1858" s="5">
        <v>1230</v>
      </c>
      <c r="E1858" s="5" t="s">
        <v>1536</v>
      </c>
      <c r="F1858" s="164">
        <v>122</v>
      </c>
      <c r="G1858" s="11">
        <f t="shared" si="61"/>
        <v>2562</v>
      </c>
    </row>
    <row r="1859" spans="1:7">
      <c r="A1859" s="38" t="s">
        <v>1621</v>
      </c>
      <c r="B1859" s="5" t="s">
        <v>22</v>
      </c>
      <c r="C1859" s="5" t="s">
        <v>24</v>
      </c>
      <c r="D1859" s="5">
        <v>9035</v>
      </c>
      <c r="E1859" s="5" t="s">
        <v>1531</v>
      </c>
      <c r="F1859" s="164">
        <v>55</v>
      </c>
      <c r="G1859" s="11">
        <f>F1859*45</f>
        <v>2475</v>
      </c>
    </row>
    <row r="1860" spans="1:7">
      <c r="A1860" s="38" t="s">
        <v>1621</v>
      </c>
      <c r="B1860" s="5" t="s">
        <v>22</v>
      </c>
      <c r="C1860" s="5" t="s">
        <v>31</v>
      </c>
      <c r="D1860" s="5">
        <v>9027</v>
      </c>
      <c r="E1860" s="5" t="s">
        <v>1536</v>
      </c>
      <c r="F1860" s="164">
        <v>288</v>
      </c>
      <c r="G1860" s="11">
        <f>F1860*5</f>
        <v>1440</v>
      </c>
    </row>
    <row r="1861" spans="1:7">
      <c r="A1861" s="38" t="s">
        <v>1621</v>
      </c>
      <c r="B1861" s="5" t="s">
        <v>22</v>
      </c>
      <c r="C1861" s="76" t="s">
        <v>29</v>
      </c>
      <c r="D1861" s="5">
        <v>1497</v>
      </c>
      <c r="E1861" s="5" t="s">
        <v>1534</v>
      </c>
      <c r="F1861" s="164">
        <v>75</v>
      </c>
      <c r="G1861" s="11">
        <f>F1861*21</f>
        <v>1575</v>
      </c>
    </row>
    <row r="1862" spans="1:7">
      <c r="A1862" s="38" t="s">
        <v>1621</v>
      </c>
      <c r="B1862" s="5" t="s">
        <v>22</v>
      </c>
      <c r="C1862" s="5" t="s">
        <v>24</v>
      </c>
      <c r="D1862" s="5">
        <v>5210</v>
      </c>
      <c r="E1862" s="5" t="s">
        <v>1534</v>
      </c>
      <c r="F1862" s="164">
        <v>125</v>
      </c>
      <c r="G1862" s="11">
        <f>F1862*45</f>
        <v>5625</v>
      </c>
    </row>
    <row r="1863" spans="1:7">
      <c r="A1863" s="38" t="s">
        <v>1621</v>
      </c>
      <c r="B1863" s="5" t="s">
        <v>22</v>
      </c>
      <c r="C1863" s="76" t="s">
        <v>29</v>
      </c>
      <c r="D1863" s="5">
        <v>1512</v>
      </c>
      <c r="E1863" s="5" t="s">
        <v>1536</v>
      </c>
      <c r="F1863" s="164">
        <v>41</v>
      </c>
      <c r="G1863" s="11">
        <f t="shared" ref="G1863:G1864" si="62">F1863*21</f>
        <v>861</v>
      </c>
    </row>
    <row r="1864" spans="1:7">
      <c r="A1864" s="38" t="s">
        <v>1621</v>
      </c>
      <c r="B1864" s="5" t="s">
        <v>22</v>
      </c>
      <c r="C1864" s="76" t="s">
        <v>29</v>
      </c>
      <c r="D1864" s="5">
        <v>5729</v>
      </c>
      <c r="E1864" s="5" t="s">
        <v>1536</v>
      </c>
      <c r="F1864" s="164">
        <v>545</v>
      </c>
      <c r="G1864" s="11">
        <f t="shared" si="62"/>
        <v>11445</v>
      </c>
    </row>
    <row r="1865" spans="1:7">
      <c r="A1865" s="38" t="s">
        <v>1622</v>
      </c>
      <c r="B1865" s="5" t="s">
        <v>22</v>
      </c>
      <c r="C1865" s="5" t="s">
        <v>1562</v>
      </c>
      <c r="D1865" s="5">
        <v>4513</v>
      </c>
      <c r="E1865" s="5" t="s">
        <v>1531</v>
      </c>
      <c r="F1865" s="164">
        <v>40</v>
      </c>
      <c r="G1865" s="11"/>
    </row>
    <row r="1866" spans="1:7">
      <c r="A1866" s="38" t="s">
        <v>1622</v>
      </c>
      <c r="B1866" s="5" t="s">
        <v>22</v>
      </c>
      <c r="C1866" s="5" t="s">
        <v>31</v>
      </c>
      <c r="D1866" s="5">
        <v>8568</v>
      </c>
      <c r="E1866" s="5" t="s">
        <v>1536</v>
      </c>
      <c r="F1866" s="164">
        <v>161</v>
      </c>
      <c r="G1866" s="11">
        <f>F1866*5</f>
        <v>805</v>
      </c>
    </row>
    <row r="1867" spans="1:7">
      <c r="A1867" s="38" t="s">
        <v>1622</v>
      </c>
      <c r="B1867" s="5" t="s">
        <v>22</v>
      </c>
      <c r="C1867" s="5" t="s">
        <v>24</v>
      </c>
      <c r="D1867" s="5">
        <v>2754</v>
      </c>
      <c r="E1867" s="5" t="s">
        <v>1550</v>
      </c>
      <c r="F1867" s="164">
        <v>0</v>
      </c>
      <c r="G1867" s="11">
        <f>F1867*45</f>
        <v>0</v>
      </c>
    </row>
    <row r="1868" spans="1:7">
      <c r="A1868" s="38" t="s">
        <v>1622</v>
      </c>
      <c r="B1868" s="5" t="s">
        <v>22</v>
      </c>
      <c r="C1868" s="76" t="s">
        <v>27</v>
      </c>
      <c r="D1868" s="5">
        <v>5024</v>
      </c>
      <c r="E1868" s="5" t="s">
        <v>1536</v>
      </c>
      <c r="F1868" s="164">
        <v>467</v>
      </c>
      <c r="G1868" s="11">
        <f>F1868*34</f>
        <v>15878</v>
      </c>
    </row>
    <row r="1869" spans="1:7">
      <c r="A1869" s="38" t="s">
        <v>1623</v>
      </c>
      <c r="B1869" s="5" t="s">
        <v>22</v>
      </c>
      <c r="C1869" s="5" t="s">
        <v>31</v>
      </c>
      <c r="D1869" s="5">
        <v>10710</v>
      </c>
      <c r="E1869" s="5" t="s">
        <v>1536</v>
      </c>
      <c r="F1869" s="164">
        <v>211</v>
      </c>
      <c r="G1869" s="11">
        <f>F1869*5</f>
        <v>1055</v>
      </c>
    </row>
    <row r="1870" spans="1:7">
      <c r="A1870" s="38" t="s">
        <v>1623</v>
      </c>
      <c r="B1870" s="5" t="s">
        <v>22</v>
      </c>
      <c r="C1870" s="76" t="s">
        <v>29</v>
      </c>
      <c r="D1870" s="5">
        <v>7783</v>
      </c>
      <c r="E1870" s="5" t="s">
        <v>1534</v>
      </c>
      <c r="F1870" s="164">
        <v>169</v>
      </c>
      <c r="G1870" s="11">
        <f t="shared" ref="G1870:G1872" si="63">F1870*21</f>
        <v>3549</v>
      </c>
    </row>
    <row r="1871" spans="1:7">
      <c r="A1871" s="38" t="s">
        <v>1623</v>
      </c>
      <c r="B1871" s="5" t="s">
        <v>22</v>
      </c>
      <c r="C1871" s="76" t="s">
        <v>29</v>
      </c>
      <c r="D1871" s="5">
        <v>3720</v>
      </c>
      <c r="E1871" s="5" t="s">
        <v>1536</v>
      </c>
      <c r="F1871" s="164">
        <v>153</v>
      </c>
      <c r="G1871" s="11">
        <f t="shared" si="63"/>
        <v>3213</v>
      </c>
    </row>
    <row r="1872" spans="1:7">
      <c r="A1872" s="38" t="s">
        <v>1624</v>
      </c>
      <c r="B1872" s="5" t="s">
        <v>22</v>
      </c>
      <c r="C1872" s="76" t="s">
        <v>29</v>
      </c>
      <c r="D1872" s="5">
        <v>1224</v>
      </c>
      <c r="E1872" s="5" t="s">
        <v>1534</v>
      </c>
      <c r="F1872" s="164">
        <v>6</v>
      </c>
      <c r="G1872" s="11">
        <f t="shared" si="63"/>
        <v>126</v>
      </c>
    </row>
    <row r="1873" spans="1:7">
      <c r="A1873" s="38" t="s">
        <v>1624</v>
      </c>
      <c r="B1873" s="5" t="s">
        <v>22</v>
      </c>
      <c r="C1873" s="68" t="s">
        <v>1533</v>
      </c>
      <c r="D1873" s="5">
        <v>6655</v>
      </c>
      <c r="E1873" s="5" t="s">
        <v>1531</v>
      </c>
      <c r="F1873" s="164">
        <v>500</v>
      </c>
      <c r="G1873" s="11"/>
    </row>
    <row r="1874" spans="1:7">
      <c r="A1874" s="38" t="s">
        <v>1624</v>
      </c>
      <c r="B1874" s="5" t="s">
        <v>22</v>
      </c>
      <c r="C1874" s="5" t="s">
        <v>31</v>
      </c>
      <c r="D1874" s="5">
        <v>7178</v>
      </c>
      <c r="E1874" s="5" t="s">
        <v>1536</v>
      </c>
      <c r="F1874" s="164">
        <v>132</v>
      </c>
      <c r="G1874" s="11">
        <f>F1874*5</f>
        <v>660</v>
      </c>
    </row>
    <row r="1875" spans="1:7">
      <c r="A1875" s="38" t="s">
        <v>1624</v>
      </c>
      <c r="B1875" s="5" t="s">
        <v>22</v>
      </c>
      <c r="C1875" s="68" t="s">
        <v>1533</v>
      </c>
      <c r="D1875" s="5">
        <v>5040</v>
      </c>
      <c r="E1875" s="5" t="s">
        <v>1536</v>
      </c>
      <c r="F1875" s="164">
        <v>372</v>
      </c>
      <c r="G1875" s="11"/>
    </row>
    <row r="1876" spans="1:7">
      <c r="A1876" s="38" t="s">
        <v>1624</v>
      </c>
      <c r="B1876" s="5" t="s">
        <v>22</v>
      </c>
      <c r="C1876" s="76" t="s">
        <v>29</v>
      </c>
      <c r="D1876" s="5">
        <v>4611</v>
      </c>
      <c r="E1876" s="5" t="s">
        <v>1534</v>
      </c>
      <c r="F1876" s="164">
        <v>75</v>
      </c>
      <c r="G1876" s="11">
        <f t="shared" ref="G1876:G1877" si="64">F1876*21</f>
        <v>1575</v>
      </c>
    </row>
    <row r="1877" spans="1:7">
      <c r="A1877" s="38" t="s">
        <v>1624</v>
      </c>
      <c r="B1877" s="5" t="s">
        <v>22</v>
      </c>
      <c r="C1877" s="76" t="s">
        <v>29</v>
      </c>
      <c r="D1877" s="5">
        <v>8680</v>
      </c>
      <c r="E1877" s="5" t="s">
        <v>1550</v>
      </c>
      <c r="F1877" s="164">
        <v>0</v>
      </c>
      <c r="G1877" s="11">
        <f t="shared" si="64"/>
        <v>0</v>
      </c>
    </row>
    <row r="1878" spans="1:7">
      <c r="A1878" s="38" t="s">
        <v>1624</v>
      </c>
      <c r="B1878" s="5" t="s">
        <v>22</v>
      </c>
      <c r="C1878" s="5" t="s">
        <v>31</v>
      </c>
      <c r="D1878" s="5">
        <v>8040</v>
      </c>
      <c r="E1878" s="5" t="s">
        <v>1536</v>
      </c>
      <c r="F1878" s="164">
        <v>1856</v>
      </c>
      <c r="G1878" s="11">
        <f>F1878*5</f>
        <v>9280</v>
      </c>
    </row>
    <row r="1879" spans="1:7">
      <c r="A1879" s="38" t="s">
        <v>1624</v>
      </c>
      <c r="B1879" s="5" t="s">
        <v>22</v>
      </c>
      <c r="C1879" s="76" t="s">
        <v>29</v>
      </c>
      <c r="D1879" s="5">
        <v>1530</v>
      </c>
      <c r="E1879" s="5" t="s">
        <v>1536</v>
      </c>
      <c r="F1879" s="164">
        <v>84</v>
      </c>
      <c r="G1879" s="11">
        <f>F1879*21</f>
        <v>1764</v>
      </c>
    </row>
    <row r="1880" spans="1:7">
      <c r="A1880" s="38" t="s">
        <v>1625</v>
      </c>
      <c r="B1880" s="5" t="s">
        <v>22</v>
      </c>
      <c r="C1880" s="76" t="s">
        <v>27</v>
      </c>
      <c r="D1880" s="5">
        <v>4035</v>
      </c>
      <c r="E1880" s="5" t="s">
        <v>1536</v>
      </c>
      <c r="F1880" s="164">
        <v>175</v>
      </c>
      <c r="G1880" s="11">
        <f t="shared" ref="G1880:G1886" si="65">F1880*34</f>
        <v>5950</v>
      </c>
    </row>
    <row r="1881" spans="1:7">
      <c r="A1881" s="38" t="s">
        <v>1625</v>
      </c>
      <c r="B1881" s="5" t="s">
        <v>22</v>
      </c>
      <c r="C1881" s="76" t="s">
        <v>27</v>
      </c>
      <c r="D1881" s="5">
        <v>2923</v>
      </c>
      <c r="E1881" s="5" t="s">
        <v>1534</v>
      </c>
      <c r="F1881" s="164">
        <v>63</v>
      </c>
      <c r="G1881" s="11">
        <f t="shared" si="65"/>
        <v>2142</v>
      </c>
    </row>
    <row r="1882" spans="1:7">
      <c r="A1882" s="38" t="s">
        <v>1625</v>
      </c>
      <c r="B1882" s="5" t="s">
        <v>22</v>
      </c>
      <c r="C1882" s="76" t="s">
        <v>27</v>
      </c>
      <c r="D1882" s="5">
        <v>11748</v>
      </c>
      <c r="E1882" s="5" t="s">
        <v>1550</v>
      </c>
      <c r="F1882" s="164">
        <f>156+72</f>
        <v>228</v>
      </c>
      <c r="G1882" s="11">
        <f t="shared" si="65"/>
        <v>7752</v>
      </c>
    </row>
    <row r="1883" spans="1:7">
      <c r="A1883" s="38" t="s">
        <v>1626</v>
      </c>
      <c r="B1883" s="5" t="s">
        <v>22</v>
      </c>
      <c r="C1883" s="76" t="s">
        <v>27</v>
      </c>
      <c r="D1883" s="5">
        <v>4840</v>
      </c>
      <c r="E1883" s="5" t="s">
        <v>1550</v>
      </c>
      <c r="F1883" s="164">
        <v>0</v>
      </c>
      <c r="G1883" s="11">
        <f t="shared" si="65"/>
        <v>0</v>
      </c>
    </row>
    <row r="1884" spans="1:7">
      <c r="A1884" s="38" t="s">
        <v>1626</v>
      </c>
      <c r="B1884" s="5" t="s">
        <v>22</v>
      </c>
      <c r="C1884" s="76" t="s">
        <v>27</v>
      </c>
      <c r="D1884" s="5">
        <v>3489</v>
      </c>
      <c r="E1884" s="5" t="s">
        <v>1550</v>
      </c>
      <c r="F1884" s="164">
        <v>0</v>
      </c>
      <c r="G1884" s="11">
        <f t="shared" si="65"/>
        <v>0</v>
      </c>
    </row>
    <row r="1885" spans="1:7">
      <c r="A1885" s="38" t="s">
        <v>1626</v>
      </c>
      <c r="B1885" s="5" t="s">
        <v>22</v>
      </c>
      <c r="C1885" s="76" t="s">
        <v>27</v>
      </c>
      <c r="D1885" s="5">
        <v>4931</v>
      </c>
      <c r="E1885" s="5" t="s">
        <v>1536</v>
      </c>
      <c r="F1885" s="164">
        <v>237</v>
      </c>
      <c r="G1885" s="11">
        <f t="shared" si="65"/>
        <v>8058</v>
      </c>
    </row>
    <row r="1886" spans="1:7">
      <c r="A1886" s="38" t="s">
        <v>1626</v>
      </c>
      <c r="B1886" s="5" t="s">
        <v>22</v>
      </c>
      <c r="C1886" s="76" t="s">
        <v>27</v>
      </c>
      <c r="D1886" s="5">
        <v>10520</v>
      </c>
      <c r="E1886" s="5" t="s">
        <v>1627</v>
      </c>
      <c r="F1886" s="165">
        <v>160</v>
      </c>
      <c r="G1886" s="11">
        <f t="shared" si="65"/>
        <v>5440</v>
      </c>
    </row>
    <row r="1887" spans="1:7">
      <c r="A1887" s="67" t="s">
        <v>1628</v>
      </c>
      <c r="B1887" s="5" t="s">
        <v>22</v>
      </c>
      <c r="C1887" s="5" t="s">
        <v>31</v>
      </c>
      <c r="D1887" s="5">
        <v>6189</v>
      </c>
      <c r="E1887" s="5" t="s">
        <v>1536</v>
      </c>
      <c r="F1887" s="164">
        <v>260</v>
      </c>
      <c r="G1887" s="11">
        <f>F1887*5</f>
        <v>1300</v>
      </c>
    </row>
    <row r="1888" spans="1:7">
      <c r="A1888" s="67" t="s">
        <v>1628</v>
      </c>
      <c r="B1888" s="5" t="s">
        <v>22</v>
      </c>
      <c r="C1888" s="68" t="s">
        <v>1533</v>
      </c>
      <c r="D1888" s="5">
        <v>1820</v>
      </c>
      <c r="E1888" s="5" t="s">
        <v>1536</v>
      </c>
      <c r="F1888" s="164">
        <v>78</v>
      </c>
      <c r="G1888" s="11"/>
    </row>
    <row r="1889" spans="1:7">
      <c r="A1889" s="67" t="s">
        <v>1628</v>
      </c>
      <c r="B1889" s="5" t="s">
        <v>22</v>
      </c>
      <c r="C1889" s="76" t="s">
        <v>29</v>
      </c>
      <c r="D1889" s="5">
        <v>5940</v>
      </c>
      <c r="E1889" s="68" t="s">
        <v>1559</v>
      </c>
      <c r="F1889" s="164">
        <v>0</v>
      </c>
      <c r="G1889" s="11">
        <f t="shared" ref="G1889:G1890" si="66">F1889*21</f>
        <v>0</v>
      </c>
    </row>
    <row r="1890" spans="1:7">
      <c r="A1890" s="67" t="s">
        <v>1628</v>
      </c>
      <c r="B1890" s="5" t="s">
        <v>22</v>
      </c>
      <c r="C1890" s="76" t="s">
        <v>29</v>
      </c>
      <c r="D1890" s="5">
        <v>6965</v>
      </c>
      <c r="E1890" s="5" t="s">
        <v>1536</v>
      </c>
      <c r="F1890" s="164">
        <v>426</v>
      </c>
      <c r="G1890" s="11">
        <f t="shared" si="66"/>
        <v>8946</v>
      </c>
    </row>
    <row r="1891" spans="1:7">
      <c r="A1891" s="38" t="s">
        <v>1629</v>
      </c>
      <c r="B1891" s="5" t="s">
        <v>22</v>
      </c>
      <c r="C1891" s="68" t="s">
        <v>1533</v>
      </c>
      <c r="D1891" s="5">
        <v>7395</v>
      </c>
      <c r="E1891" s="5" t="s">
        <v>1536</v>
      </c>
      <c r="F1891" s="164">
        <v>648</v>
      </c>
      <c r="G1891" s="11"/>
    </row>
    <row r="1892" spans="1:7">
      <c r="A1892" s="38" t="s">
        <v>1629</v>
      </c>
      <c r="B1892" s="5" t="s">
        <v>22</v>
      </c>
      <c r="C1892" s="5" t="s">
        <v>31</v>
      </c>
      <c r="D1892" s="5">
        <v>8920</v>
      </c>
      <c r="E1892" s="5" t="s">
        <v>1611</v>
      </c>
      <c r="F1892" s="164">
        <v>295</v>
      </c>
      <c r="G1892" s="11">
        <f t="shared" ref="G1892:G1893" si="67">F1892*5</f>
        <v>1475</v>
      </c>
    </row>
    <row r="1893" spans="1:7">
      <c r="A1893" s="38" t="s">
        <v>1629</v>
      </c>
      <c r="B1893" s="5" t="s">
        <v>22</v>
      </c>
      <c r="C1893" s="5" t="s">
        <v>31</v>
      </c>
      <c r="D1893" s="5">
        <v>7740</v>
      </c>
      <c r="E1893" s="5" t="s">
        <v>1536</v>
      </c>
      <c r="F1893" s="164">
        <v>306</v>
      </c>
      <c r="G1893" s="11">
        <f t="shared" si="67"/>
        <v>1530</v>
      </c>
    </row>
    <row r="1894" spans="1:7">
      <c r="A1894" s="38" t="s">
        <v>1629</v>
      </c>
      <c r="B1894" s="5" t="s">
        <v>22</v>
      </c>
      <c r="C1894" s="76" t="s">
        <v>29</v>
      </c>
      <c r="D1894" s="5">
        <v>7165</v>
      </c>
      <c r="E1894" s="5" t="s">
        <v>1536</v>
      </c>
      <c r="F1894" s="164">
        <v>1194</v>
      </c>
      <c r="G1894" s="11">
        <f>F1894*21</f>
        <v>25074</v>
      </c>
    </row>
    <row r="1895" spans="1:7">
      <c r="A1895" s="38" t="s">
        <v>1630</v>
      </c>
      <c r="B1895" s="5" t="s">
        <v>22</v>
      </c>
      <c r="C1895" s="5" t="s">
        <v>31</v>
      </c>
      <c r="D1895" s="5">
        <v>7405</v>
      </c>
      <c r="E1895" s="5" t="s">
        <v>1536</v>
      </c>
      <c r="F1895" s="164">
        <v>302</v>
      </c>
      <c r="G1895" s="11">
        <f t="shared" ref="G1895:G1896" si="68">F1895*5</f>
        <v>1510</v>
      </c>
    </row>
    <row r="1896" spans="1:7">
      <c r="A1896" s="38" t="s">
        <v>1630</v>
      </c>
      <c r="B1896" s="5" t="s">
        <v>22</v>
      </c>
      <c r="C1896" s="5" t="s">
        <v>31</v>
      </c>
      <c r="D1896" s="5">
        <v>4940</v>
      </c>
      <c r="E1896" s="5" t="s">
        <v>1611</v>
      </c>
      <c r="F1896" s="164">
        <v>140</v>
      </c>
      <c r="G1896" s="11">
        <f t="shared" si="68"/>
        <v>700</v>
      </c>
    </row>
    <row r="1897" spans="1:7">
      <c r="A1897" s="38" t="s">
        <v>1630</v>
      </c>
      <c r="B1897" s="5" t="s">
        <v>22</v>
      </c>
      <c r="C1897" s="76" t="s">
        <v>29</v>
      </c>
      <c r="D1897" s="5">
        <v>5040</v>
      </c>
      <c r="E1897" s="5" t="s">
        <v>1534</v>
      </c>
      <c r="F1897" s="165">
        <v>68</v>
      </c>
      <c r="G1897" s="11">
        <f t="shared" ref="G1897:G1898" si="69">F1897*21</f>
        <v>1428</v>
      </c>
    </row>
    <row r="1898" spans="1:7">
      <c r="A1898" s="38" t="s">
        <v>1630</v>
      </c>
      <c r="B1898" s="5" t="s">
        <v>22</v>
      </c>
      <c r="C1898" s="76" t="s">
        <v>29</v>
      </c>
      <c r="D1898" s="5">
        <v>5997</v>
      </c>
      <c r="E1898" s="5" t="s">
        <v>1611</v>
      </c>
      <c r="F1898" s="164">
        <v>31</v>
      </c>
      <c r="G1898" s="11">
        <f t="shared" si="69"/>
        <v>651</v>
      </c>
    </row>
    <row r="1899" spans="1:7">
      <c r="A1899" s="38" t="s">
        <v>1631</v>
      </c>
      <c r="B1899" s="5" t="s">
        <v>22</v>
      </c>
      <c r="C1899" s="5" t="s">
        <v>31</v>
      </c>
      <c r="D1899" s="5">
        <v>4743</v>
      </c>
      <c r="E1899" s="5" t="s">
        <v>1536</v>
      </c>
      <c r="F1899" s="164">
        <v>468</v>
      </c>
      <c r="G1899" s="11">
        <f>F1899*5</f>
        <v>2340</v>
      </c>
    </row>
    <row r="1900" spans="1:7">
      <c r="A1900" s="38" t="s">
        <v>1631</v>
      </c>
      <c r="B1900" s="5" t="s">
        <v>22</v>
      </c>
      <c r="C1900" s="68" t="s">
        <v>1533</v>
      </c>
      <c r="D1900" s="5">
        <v>4150</v>
      </c>
      <c r="E1900" s="5" t="s">
        <v>1536</v>
      </c>
      <c r="F1900" s="164">
        <v>198</v>
      </c>
      <c r="G1900" s="11"/>
    </row>
    <row r="1901" spans="1:7">
      <c r="A1901" s="38" t="s">
        <v>1631</v>
      </c>
      <c r="B1901" s="5" t="s">
        <v>22</v>
      </c>
      <c r="C1901" s="68" t="s">
        <v>1533</v>
      </c>
      <c r="D1901" s="5">
        <v>5800</v>
      </c>
      <c r="E1901" s="5" t="s">
        <v>1611</v>
      </c>
      <c r="F1901" s="164">
        <v>82</v>
      </c>
      <c r="G1901" s="11"/>
    </row>
    <row r="1902" spans="1:7">
      <c r="A1902" s="38" t="s">
        <v>1631</v>
      </c>
      <c r="B1902" s="5" t="s">
        <v>22</v>
      </c>
      <c r="C1902" s="5" t="s">
        <v>31</v>
      </c>
      <c r="D1902" s="5">
        <v>5660</v>
      </c>
      <c r="E1902" s="5" t="s">
        <v>1536</v>
      </c>
      <c r="F1902" s="164">
        <v>1189</v>
      </c>
      <c r="G1902" s="11">
        <f>F1902*5</f>
        <v>5945</v>
      </c>
    </row>
    <row r="1903" spans="1:7">
      <c r="A1903" s="38" t="s">
        <v>1632</v>
      </c>
      <c r="B1903" s="5" t="s">
        <v>22</v>
      </c>
      <c r="C1903" s="68" t="s">
        <v>1533</v>
      </c>
      <c r="D1903" s="5">
        <v>5370</v>
      </c>
      <c r="E1903" s="5" t="s">
        <v>1611</v>
      </c>
      <c r="F1903" s="164">
        <v>64</v>
      </c>
      <c r="G1903" s="11"/>
    </row>
    <row r="1904" spans="1:7">
      <c r="A1904" s="38" t="s">
        <v>1632</v>
      </c>
      <c r="B1904" s="5" t="s">
        <v>22</v>
      </c>
      <c r="C1904" s="5" t="s">
        <v>31</v>
      </c>
      <c r="D1904" s="5">
        <v>5672</v>
      </c>
      <c r="E1904" s="5" t="s">
        <v>1536</v>
      </c>
      <c r="F1904" s="164">
        <v>217</v>
      </c>
      <c r="G1904" s="11">
        <f>F1904*5</f>
        <v>1085</v>
      </c>
    </row>
    <row r="1905" spans="1:7">
      <c r="A1905" s="38" t="s">
        <v>1632</v>
      </c>
      <c r="B1905" s="5" t="s">
        <v>22</v>
      </c>
      <c r="C1905" s="68" t="s">
        <v>1533</v>
      </c>
      <c r="D1905" s="5">
        <v>6342</v>
      </c>
      <c r="E1905" s="5" t="s">
        <v>1536</v>
      </c>
      <c r="F1905" s="164">
        <v>362</v>
      </c>
      <c r="G1905" s="11"/>
    </row>
    <row r="1906" spans="1:7">
      <c r="A1906" s="38" t="s">
        <v>1632</v>
      </c>
      <c r="B1906" s="5" t="s">
        <v>22</v>
      </c>
      <c r="C1906" s="5" t="s">
        <v>31</v>
      </c>
      <c r="D1906" s="5">
        <v>5315</v>
      </c>
      <c r="E1906" s="5" t="s">
        <v>1536</v>
      </c>
      <c r="F1906" s="164">
        <v>1388</v>
      </c>
      <c r="G1906" s="11">
        <f>F1906*5</f>
        <v>6940</v>
      </c>
    </row>
    <row r="1907" spans="1:7">
      <c r="A1907" s="38" t="s">
        <v>1633</v>
      </c>
      <c r="B1907" s="5" t="s">
        <v>22</v>
      </c>
      <c r="C1907" s="68" t="s">
        <v>1533</v>
      </c>
      <c r="D1907" s="5">
        <v>7221</v>
      </c>
      <c r="E1907" s="5" t="s">
        <v>1531</v>
      </c>
      <c r="F1907" s="164">
        <v>43</v>
      </c>
      <c r="G1907" s="11"/>
    </row>
    <row r="1908" spans="1:7">
      <c r="A1908" s="38" t="s">
        <v>1634</v>
      </c>
      <c r="B1908" s="5" t="s">
        <v>22</v>
      </c>
      <c r="C1908" s="68" t="s">
        <v>1533</v>
      </c>
      <c r="D1908" s="5">
        <v>8265</v>
      </c>
      <c r="E1908" s="5" t="s">
        <v>1531</v>
      </c>
      <c r="F1908" s="164">
        <v>65</v>
      </c>
      <c r="G1908" s="11"/>
    </row>
    <row r="1909" spans="1:7">
      <c r="A1909" s="38" t="s">
        <v>1634</v>
      </c>
      <c r="B1909" s="5" t="s">
        <v>22</v>
      </c>
      <c r="C1909" s="68" t="s">
        <v>1533</v>
      </c>
      <c r="D1909" s="5">
        <v>6717</v>
      </c>
      <c r="E1909" s="5" t="s">
        <v>1536</v>
      </c>
      <c r="F1909" s="164">
        <v>347</v>
      </c>
      <c r="G1909" s="11"/>
    </row>
    <row r="1910" spans="1:7">
      <c r="A1910" s="38" t="s">
        <v>1634</v>
      </c>
      <c r="B1910" s="5" t="s">
        <v>22</v>
      </c>
      <c r="C1910" s="76" t="s">
        <v>27</v>
      </c>
      <c r="D1910" s="5">
        <v>1836</v>
      </c>
      <c r="E1910" s="5" t="s">
        <v>1550</v>
      </c>
      <c r="F1910" s="164">
        <v>0</v>
      </c>
      <c r="G1910" s="11">
        <f>F1910*34</f>
        <v>0</v>
      </c>
    </row>
    <row r="1911" spans="1:7">
      <c r="A1911" s="38" t="s">
        <v>1634</v>
      </c>
      <c r="B1911" s="5" t="s">
        <v>22</v>
      </c>
      <c r="C1911" s="5" t="s">
        <v>24</v>
      </c>
      <c r="D1911" s="5">
        <v>11016</v>
      </c>
      <c r="E1911" s="5" t="s">
        <v>1550</v>
      </c>
      <c r="F1911" s="164">
        <v>0</v>
      </c>
      <c r="G1911" s="11">
        <f>F1911*45</f>
        <v>0</v>
      </c>
    </row>
    <row r="1912" spans="1:7">
      <c r="A1912" s="38" t="s">
        <v>1636</v>
      </c>
      <c r="B1912" s="5" t="s">
        <v>22</v>
      </c>
      <c r="C1912" s="68" t="s">
        <v>1533</v>
      </c>
      <c r="D1912" s="5">
        <v>2540</v>
      </c>
      <c r="E1912" s="5" t="s">
        <v>1611</v>
      </c>
      <c r="F1912" s="164">
        <v>280</v>
      </c>
      <c r="G1912" s="11"/>
    </row>
    <row r="1913" spans="1:7">
      <c r="A1913" s="38" t="s">
        <v>1636</v>
      </c>
      <c r="B1913" s="5" t="s">
        <v>22</v>
      </c>
      <c r="C1913" s="68" t="s">
        <v>1533</v>
      </c>
      <c r="D1913" s="5">
        <v>15787</v>
      </c>
      <c r="E1913" s="5" t="s">
        <v>1536</v>
      </c>
      <c r="F1913" s="164">
        <v>624</v>
      </c>
      <c r="G1913" s="11"/>
    </row>
    <row r="1914" spans="1:7">
      <c r="A1914" s="38" t="s">
        <v>1636</v>
      </c>
      <c r="B1914" s="5" t="s">
        <v>22</v>
      </c>
      <c r="C1914" s="68" t="s">
        <v>1533</v>
      </c>
      <c r="D1914" s="5">
        <v>2446</v>
      </c>
      <c r="E1914" s="5" t="s">
        <v>1536</v>
      </c>
      <c r="F1914" s="164">
        <v>89</v>
      </c>
      <c r="G1914" s="11"/>
    </row>
    <row r="1915" spans="1:7">
      <c r="A1915" s="38" t="s">
        <v>1636</v>
      </c>
      <c r="B1915" s="5" t="s">
        <v>22</v>
      </c>
      <c r="C1915" s="68" t="s">
        <v>1533</v>
      </c>
      <c r="D1915" s="5">
        <v>6125</v>
      </c>
      <c r="E1915" s="5" t="s">
        <v>1531</v>
      </c>
      <c r="F1915" s="164">
        <v>58</v>
      </c>
      <c r="G1915" s="11"/>
    </row>
    <row r="1916" spans="1:7">
      <c r="A1916" s="38" t="s">
        <v>1636</v>
      </c>
      <c r="B1916" s="5" t="s">
        <v>22</v>
      </c>
      <c r="C1916" s="5" t="s">
        <v>31</v>
      </c>
      <c r="D1916" s="5">
        <v>1740</v>
      </c>
      <c r="E1916" s="5" t="s">
        <v>1536</v>
      </c>
      <c r="F1916" s="164">
        <v>392</v>
      </c>
      <c r="G1916" s="11">
        <f>F1916*5</f>
        <v>1960</v>
      </c>
    </row>
    <row r="1917" spans="1:7">
      <c r="A1917" s="38" t="s">
        <v>1637</v>
      </c>
      <c r="B1917" s="5" t="s">
        <v>22</v>
      </c>
      <c r="C1917" s="76" t="s">
        <v>27</v>
      </c>
      <c r="D1917" s="5">
        <v>4886</v>
      </c>
      <c r="E1917" s="5" t="s">
        <v>1534</v>
      </c>
      <c r="F1917" s="164">
        <v>122</v>
      </c>
      <c r="G1917" s="11">
        <f>F1917*34</f>
        <v>4148</v>
      </c>
    </row>
    <row r="1918" spans="1:7">
      <c r="A1918" s="38" t="s">
        <v>1637</v>
      </c>
      <c r="B1918" s="5" t="s">
        <v>22</v>
      </c>
      <c r="C1918" s="5" t="s">
        <v>24</v>
      </c>
      <c r="D1918" s="5">
        <v>3672</v>
      </c>
      <c r="E1918" s="5" t="s">
        <v>1550</v>
      </c>
      <c r="F1918" s="164">
        <v>0</v>
      </c>
      <c r="G1918" s="11">
        <f>F1918*45</f>
        <v>0</v>
      </c>
    </row>
    <row r="1919" spans="1:7">
      <c r="A1919" s="38" t="s">
        <v>1637</v>
      </c>
      <c r="B1919" s="5" t="s">
        <v>22</v>
      </c>
      <c r="C1919" s="5" t="s">
        <v>31</v>
      </c>
      <c r="D1919" s="89">
        <v>12405</v>
      </c>
      <c r="E1919" s="5" t="s">
        <v>1536</v>
      </c>
      <c r="F1919" s="164">
        <v>2352</v>
      </c>
      <c r="G1919" s="11">
        <f>F1919*5</f>
        <v>11760</v>
      </c>
    </row>
    <row r="1920" spans="1:7">
      <c r="A1920" s="67" t="s">
        <v>1638</v>
      </c>
      <c r="B1920" s="10" t="s">
        <v>22</v>
      </c>
      <c r="C1920" s="10" t="s">
        <v>24</v>
      </c>
      <c r="D1920" s="10">
        <v>8109</v>
      </c>
      <c r="E1920" s="10" t="s">
        <v>1550</v>
      </c>
      <c r="F1920" s="163">
        <v>0</v>
      </c>
      <c r="G1920" s="11">
        <f>F1920*45</f>
        <v>0</v>
      </c>
    </row>
    <row r="1921" spans="1:7">
      <c r="A1921" s="67" t="s">
        <v>1638</v>
      </c>
      <c r="B1921" s="10" t="s">
        <v>22</v>
      </c>
      <c r="C1921" s="76" t="s">
        <v>27</v>
      </c>
      <c r="D1921" s="10">
        <v>2754</v>
      </c>
      <c r="E1921" s="10" t="s">
        <v>1550</v>
      </c>
      <c r="F1921" s="163">
        <v>0</v>
      </c>
      <c r="G1921" s="11">
        <f>F1921*34</f>
        <v>0</v>
      </c>
    </row>
    <row r="1922" spans="1:7">
      <c r="A1922" s="67" t="s">
        <v>1638</v>
      </c>
      <c r="B1922" s="10" t="s">
        <v>22</v>
      </c>
      <c r="C1922" s="10" t="s">
        <v>24</v>
      </c>
      <c r="D1922" s="10">
        <v>4970</v>
      </c>
      <c r="E1922" s="10" t="s">
        <v>1534</v>
      </c>
      <c r="F1922" s="163">
        <v>167</v>
      </c>
      <c r="G1922" s="11">
        <f t="shared" ref="G1922:G1925" si="70">F1922*45</f>
        <v>7515</v>
      </c>
    </row>
    <row r="1923" spans="1:7">
      <c r="A1923" s="67" t="s">
        <v>1639</v>
      </c>
      <c r="B1923" s="10" t="s">
        <v>22</v>
      </c>
      <c r="C1923" s="10" t="s">
        <v>24</v>
      </c>
      <c r="D1923" s="10">
        <v>4717</v>
      </c>
      <c r="E1923" s="10" t="s">
        <v>1531</v>
      </c>
      <c r="F1923" s="163">
        <v>85</v>
      </c>
      <c r="G1923" s="11">
        <f t="shared" si="70"/>
        <v>3825</v>
      </c>
    </row>
    <row r="1924" spans="1:7">
      <c r="A1924" s="67" t="s">
        <v>1639</v>
      </c>
      <c r="B1924" s="10" t="s">
        <v>22</v>
      </c>
      <c r="C1924" s="10" t="s">
        <v>24</v>
      </c>
      <c r="D1924" s="10">
        <v>1080</v>
      </c>
      <c r="E1924" s="10" t="s">
        <v>1534</v>
      </c>
      <c r="F1924" s="163">
        <v>70</v>
      </c>
      <c r="G1924" s="11">
        <f t="shared" si="70"/>
        <v>3150</v>
      </c>
    </row>
    <row r="1925" spans="1:7">
      <c r="A1925" s="67" t="s">
        <v>1639</v>
      </c>
      <c r="B1925" s="10" t="s">
        <v>22</v>
      </c>
      <c r="C1925" s="10" t="s">
        <v>24</v>
      </c>
      <c r="D1925" s="10">
        <v>2924</v>
      </c>
      <c r="E1925" s="10" t="s">
        <v>1534</v>
      </c>
      <c r="F1925" s="163">
        <v>127</v>
      </c>
      <c r="G1925" s="11">
        <f t="shared" si="70"/>
        <v>5715</v>
      </c>
    </row>
    <row r="1926" spans="1:7">
      <c r="A1926" s="67" t="s">
        <v>1639</v>
      </c>
      <c r="B1926" s="10" t="s">
        <v>22</v>
      </c>
      <c r="C1926" s="76" t="s">
        <v>27</v>
      </c>
      <c r="D1926" s="10">
        <v>12852</v>
      </c>
      <c r="E1926" s="10" t="s">
        <v>1550</v>
      </c>
      <c r="F1926" s="163">
        <v>0</v>
      </c>
      <c r="G1926" s="11">
        <f>F1926*34</f>
        <v>0</v>
      </c>
    </row>
    <row r="1927" spans="1:7">
      <c r="A1927" s="67" t="s">
        <v>1639</v>
      </c>
      <c r="B1927" s="10" t="s">
        <v>22</v>
      </c>
      <c r="C1927" s="10" t="s">
        <v>31</v>
      </c>
      <c r="D1927" s="10">
        <v>6105</v>
      </c>
      <c r="E1927" s="10" t="s">
        <v>1536</v>
      </c>
      <c r="F1927" s="163">
        <v>1137</v>
      </c>
      <c r="G1927" s="11">
        <f>F1927*5</f>
        <v>5685</v>
      </c>
    </row>
    <row r="1928" spans="1:7">
      <c r="A1928" s="67" t="s">
        <v>1639</v>
      </c>
      <c r="B1928" s="10" t="s">
        <v>22</v>
      </c>
      <c r="C1928" s="76" t="s">
        <v>29</v>
      </c>
      <c r="D1928" s="10">
        <v>5305</v>
      </c>
      <c r="E1928" s="10" t="s">
        <v>1536</v>
      </c>
      <c r="F1928" s="163">
        <v>540</v>
      </c>
      <c r="G1928" s="11">
        <f>F1928*21</f>
        <v>11340</v>
      </c>
    </row>
    <row r="1929" spans="1:7">
      <c r="A1929" s="67" t="s">
        <v>1640</v>
      </c>
      <c r="B1929" s="10" t="s">
        <v>22</v>
      </c>
      <c r="C1929" s="76" t="s">
        <v>27</v>
      </c>
      <c r="D1929" s="10">
        <v>5149</v>
      </c>
      <c r="E1929" s="10" t="s">
        <v>1550</v>
      </c>
      <c r="F1929" s="163">
        <v>0</v>
      </c>
      <c r="G1929" s="11">
        <f>F1929*34</f>
        <v>0</v>
      </c>
    </row>
    <row r="1930" spans="1:7">
      <c r="A1930" s="67" t="s">
        <v>1640</v>
      </c>
      <c r="B1930" s="10" t="s">
        <v>22</v>
      </c>
      <c r="C1930" s="10" t="s">
        <v>24</v>
      </c>
      <c r="D1930" s="10">
        <v>4756</v>
      </c>
      <c r="E1930" s="10" t="s">
        <v>1534</v>
      </c>
      <c r="F1930" s="163">
        <v>134</v>
      </c>
      <c r="G1930" s="11">
        <f>F1930*45</f>
        <v>6030</v>
      </c>
    </row>
    <row r="1931" spans="1:7">
      <c r="A1931" s="67" t="s">
        <v>1640</v>
      </c>
      <c r="B1931" s="10" t="s">
        <v>22</v>
      </c>
      <c r="C1931" s="10" t="s">
        <v>31</v>
      </c>
      <c r="D1931" s="10">
        <v>5580</v>
      </c>
      <c r="E1931" s="10" t="s">
        <v>1611</v>
      </c>
      <c r="F1931" s="163">
        <v>35</v>
      </c>
      <c r="G1931" s="11">
        <f>F1931*5</f>
        <v>175</v>
      </c>
    </row>
    <row r="1932" spans="1:7">
      <c r="A1932" s="67" t="s">
        <v>1640</v>
      </c>
      <c r="B1932" s="10" t="s">
        <v>22</v>
      </c>
      <c r="C1932" s="76" t="s">
        <v>29</v>
      </c>
      <c r="D1932" s="10">
        <v>6540</v>
      </c>
      <c r="E1932" s="10" t="s">
        <v>1536</v>
      </c>
      <c r="F1932" s="163">
        <v>472</v>
      </c>
      <c r="G1932" s="11">
        <f>F1932*21</f>
        <v>9912</v>
      </c>
    </row>
    <row r="1933" spans="1:7">
      <c r="A1933" s="67" t="s">
        <v>1640</v>
      </c>
      <c r="B1933" s="10" t="s">
        <v>22</v>
      </c>
      <c r="C1933" s="10" t="s">
        <v>31</v>
      </c>
      <c r="D1933" s="10">
        <v>7000</v>
      </c>
      <c r="E1933" s="10" t="s">
        <v>1536</v>
      </c>
      <c r="F1933" s="163">
        <v>1279</v>
      </c>
      <c r="G1933" s="11">
        <f>F1933*5</f>
        <v>6395</v>
      </c>
    </row>
    <row r="1934" spans="1:7">
      <c r="A1934" s="67" t="s">
        <v>1641</v>
      </c>
      <c r="B1934" s="10" t="s">
        <v>22</v>
      </c>
      <c r="C1934" s="10" t="s">
        <v>24</v>
      </c>
      <c r="D1934" s="10">
        <v>2358</v>
      </c>
      <c r="E1934" s="10" t="s">
        <v>1536</v>
      </c>
      <c r="F1934" s="163">
        <v>70</v>
      </c>
      <c r="G1934" s="11">
        <f>F1934*45</f>
        <v>3150</v>
      </c>
    </row>
    <row r="1935" spans="1:7">
      <c r="A1935" s="67" t="s">
        <v>1641</v>
      </c>
      <c r="B1935" s="10" t="s">
        <v>22</v>
      </c>
      <c r="C1935" s="76" t="s">
        <v>29</v>
      </c>
      <c r="D1935" s="10">
        <v>1995</v>
      </c>
      <c r="E1935" s="10" t="s">
        <v>1536</v>
      </c>
      <c r="F1935" s="163">
        <v>89</v>
      </c>
      <c r="G1935" s="11">
        <f>F1935*21</f>
        <v>1869</v>
      </c>
    </row>
    <row r="1936" spans="1:7">
      <c r="A1936" s="67" t="s">
        <v>1641</v>
      </c>
      <c r="B1936" s="10" t="s">
        <v>22</v>
      </c>
      <c r="C1936" s="10" t="s">
        <v>31</v>
      </c>
      <c r="D1936" s="10">
        <v>2230</v>
      </c>
      <c r="E1936" s="10" t="s">
        <v>1611</v>
      </c>
      <c r="F1936" s="163">
        <v>20</v>
      </c>
      <c r="G1936" s="11">
        <f t="shared" ref="G1936:G1937" si="71">F1936*5</f>
        <v>100</v>
      </c>
    </row>
    <row r="1937" spans="1:7">
      <c r="A1937" s="67" t="s">
        <v>1641</v>
      </c>
      <c r="B1937" s="10" t="s">
        <v>22</v>
      </c>
      <c r="C1937" s="10" t="s">
        <v>31</v>
      </c>
      <c r="D1937" s="10">
        <v>6310</v>
      </c>
      <c r="E1937" s="10" t="s">
        <v>1536</v>
      </c>
      <c r="F1937" s="163">
        <v>1614</v>
      </c>
      <c r="G1937" s="11">
        <f t="shared" si="71"/>
        <v>8070</v>
      </c>
    </row>
    <row r="1938" spans="1:7">
      <c r="A1938" s="67" t="s">
        <v>1641</v>
      </c>
      <c r="B1938" s="10" t="s">
        <v>22</v>
      </c>
      <c r="C1938" s="76" t="s">
        <v>29</v>
      </c>
      <c r="D1938" s="10">
        <v>5502</v>
      </c>
      <c r="E1938" s="10" t="s">
        <v>1536</v>
      </c>
      <c r="F1938" s="163">
        <v>331</v>
      </c>
      <c r="G1938" s="11">
        <f t="shared" ref="G1938:G1940" si="72">F1938*21</f>
        <v>6951</v>
      </c>
    </row>
    <row r="1939" spans="1:7">
      <c r="A1939" s="67" t="s">
        <v>1642</v>
      </c>
      <c r="B1939" s="10" t="s">
        <v>22</v>
      </c>
      <c r="C1939" s="76" t="s">
        <v>29</v>
      </c>
      <c r="D1939" s="10">
        <v>9466</v>
      </c>
      <c r="E1939" s="10" t="s">
        <v>1536</v>
      </c>
      <c r="F1939" s="163">
        <v>289</v>
      </c>
      <c r="G1939" s="11">
        <f t="shared" si="72"/>
        <v>6069</v>
      </c>
    </row>
    <row r="1940" spans="1:7">
      <c r="A1940" s="67" t="s">
        <v>1642</v>
      </c>
      <c r="B1940" s="10" t="s">
        <v>22</v>
      </c>
      <c r="C1940" s="76" t="s">
        <v>29</v>
      </c>
      <c r="D1940" s="10">
        <v>2322</v>
      </c>
      <c r="E1940" s="10" t="s">
        <v>1534</v>
      </c>
      <c r="F1940" s="163">
        <v>100</v>
      </c>
      <c r="G1940" s="11">
        <f t="shared" si="72"/>
        <v>2100</v>
      </c>
    </row>
    <row r="1941" spans="1:7">
      <c r="A1941" s="67" t="s">
        <v>1642</v>
      </c>
      <c r="B1941" s="10" t="s">
        <v>22</v>
      </c>
      <c r="C1941" s="76" t="s">
        <v>27</v>
      </c>
      <c r="D1941" s="10">
        <v>3672</v>
      </c>
      <c r="E1941" s="10" t="s">
        <v>1550</v>
      </c>
      <c r="F1941" s="163">
        <v>0</v>
      </c>
      <c r="G1941" s="11">
        <f t="shared" ref="G1941:G1942" si="73">F1941*34</f>
        <v>0</v>
      </c>
    </row>
    <row r="1942" spans="1:7">
      <c r="A1942" s="67" t="s">
        <v>1642</v>
      </c>
      <c r="B1942" s="10" t="s">
        <v>22</v>
      </c>
      <c r="C1942" s="76" t="s">
        <v>27</v>
      </c>
      <c r="D1942" s="10">
        <v>2520</v>
      </c>
      <c r="E1942" s="68" t="s">
        <v>1559</v>
      </c>
      <c r="F1942" s="163">
        <v>0</v>
      </c>
      <c r="G1942" s="11">
        <f t="shared" si="73"/>
        <v>0</v>
      </c>
    </row>
    <row r="1943" spans="1:7">
      <c r="A1943" s="67" t="s">
        <v>1642</v>
      </c>
      <c r="B1943" s="10" t="s">
        <v>22</v>
      </c>
      <c r="C1943" s="10" t="s">
        <v>31</v>
      </c>
      <c r="D1943" s="10">
        <v>5620</v>
      </c>
      <c r="E1943" s="10" t="s">
        <v>1536</v>
      </c>
      <c r="F1943" s="163">
        <v>808</v>
      </c>
      <c r="G1943" s="11">
        <f>F1943*5</f>
        <v>4040</v>
      </c>
    </row>
    <row r="1944" spans="1:7">
      <c r="A1944" s="67" t="s">
        <v>1643</v>
      </c>
      <c r="B1944" s="10" t="s">
        <v>22</v>
      </c>
      <c r="C1944" s="76" t="s">
        <v>29</v>
      </c>
      <c r="D1944" s="10">
        <v>972</v>
      </c>
      <c r="E1944" s="10" t="s">
        <v>1536</v>
      </c>
      <c r="F1944" s="163">
        <v>35</v>
      </c>
      <c r="G1944" s="11">
        <f>F1944*21</f>
        <v>735</v>
      </c>
    </row>
    <row r="1945" spans="1:7">
      <c r="A1945" s="67" t="s">
        <v>1643</v>
      </c>
      <c r="B1945" s="10" t="s">
        <v>22</v>
      </c>
      <c r="C1945" s="10" t="s">
        <v>31</v>
      </c>
      <c r="D1945" s="10">
        <v>4131</v>
      </c>
      <c r="E1945" s="10" t="s">
        <v>1536</v>
      </c>
      <c r="F1945" s="163">
        <v>345</v>
      </c>
      <c r="G1945" s="11">
        <f>F1945*5</f>
        <v>1725</v>
      </c>
    </row>
    <row r="1946" spans="1:7">
      <c r="A1946" s="67" t="s">
        <v>1643</v>
      </c>
      <c r="B1946" s="10" t="s">
        <v>22</v>
      </c>
      <c r="C1946" s="76" t="s">
        <v>27</v>
      </c>
      <c r="D1946" s="10">
        <v>3161</v>
      </c>
      <c r="E1946" s="10" t="s">
        <v>1534</v>
      </c>
      <c r="F1946" s="163">
        <v>52</v>
      </c>
      <c r="G1946" s="11">
        <f t="shared" ref="G1946:G1947" si="74">F1946*34</f>
        <v>1768</v>
      </c>
    </row>
    <row r="1947" spans="1:7">
      <c r="A1947" s="67" t="s">
        <v>1643</v>
      </c>
      <c r="B1947" s="10" t="s">
        <v>22</v>
      </c>
      <c r="C1947" s="76" t="s">
        <v>27</v>
      </c>
      <c r="D1947" s="10">
        <v>5508</v>
      </c>
      <c r="E1947" s="10" t="s">
        <v>1550</v>
      </c>
      <c r="F1947" s="163">
        <v>0</v>
      </c>
      <c r="G1947" s="11">
        <f t="shared" si="74"/>
        <v>0</v>
      </c>
    </row>
    <row r="1948" spans="1:7">
      <c r="A1948" s="67" t="s">
        <v>1643</v>
      </c>
      <c r="B1948" s="10" t="s">
        <v>22</v>
      </c>
      <c r="C1948" s="76" t="s">
        <v>29</v>
      </c>
      <c r="D1948" s="10">
        <v>5245</v>
      </c>
      <c r="E1948" s="10" t="s">
        <v>1550</v>
      </c>
      <c r="F1948" s="163">
        <v>0</v>
      </c>
      <c r="G1948" s="11">
        <f>F1948*21</f>
        <v>0</v>
      </c>
    </row>
    <row r="1949" spans="1:7">
      <c r="A1949" s="67" t="s">
        <v>1643</v>
      </c>
      <c r="B1949" s="10" t="s">
        <v>22</v>
      </c>
      <c r="C1949" s="10" t="s">
        <v>31</v>
      </c>
      <c r="D1949" s="10">
        <v>9085</v>
      </c>
      <c r="E1949" s="10" t="s">
        <v>1536</v>
      </c>
      <c r="F1949" s="163">
        <v>1028</v>
      </c>
      <c r="G1949" s="11">
        <f>F1949*5</f>
        <v>5140</v>
      </c>
    </row>
    <row r="1950" spans="1:7">
      <c r="A1950" s="67" t="s">
        <v>1643</v>
      </c>
      <c r="B1950" s="10" t="s">
        <v>22</v>
      </c>
      <c r="C1950" s="76" t="s">
        <v>29</v>
      </c>
      <c r="D1950" s="10">
        <v>1900</v>
      </c>
      <c r="E1950" s="10" t="s">
        <v>1536</v>
      </c>
      <c r="F1950" s="163">
        <v>134</v>
      </c>
      <c r="G1950" s="11">
        <f>F1950*21</f>
        <v>2814</v>
      </c>
    </row>
    <row r="1951" spans="1:7">
      <c r="A1951" s="67" t="s">
        <v>1644</v>
      </c>
      <c r="B1951" s="10" t="s">
        <v>22</v>
      </c>
      <c r="C1951" s="10" t="s">
        <v>24</v>
      </c>
      <c r="D1951" s="10">
        <v>1989</v>
      </c>
      <c r="E1951" s="10" t="s">
        <v>1534</v>
      </c>
      <c r="F1951" s="163">
        <v>42</v>
      </c>
      <c r="G1951" s="11">
        <f>F1951*45</f>
        <v>1890</v>
      </c>
    </row>
    <row r="1952" spans="1:7">
      <c r="A1952" s="67" t="s">
        <v>1644</v>
      </c>
      <c r="B1952" s="10" t="s">
        <v>22</v>
      </c>
      <c r="C1952" s="76" t="s">
        <v>27</v>
      </c>
      <c r="D1952" s="10">
        <v>5922</v>
      </c>
      <c r="E1952" s="10" t="s">
        <v>1534</v>
      </c>
      <c r="F1952" s="163">
        <v>200</v>
      </c>
      <c r="G1952" s="11">
        <f>F1952*34</f>
        <v>6800</v>
      </c>
    </row>
    <row r="1953" spans="1:7">
      <c r="A1953" s="67" t="s">
        <v>1644</v>
      </c>
      <c r="B1953" s="10" t="s">
        <v>22</v>
      </c>
      <c r="C1953" s="10" t="s">
        <v>31</v>
      </c>
      <c r="D1953" s="10">
        <v>4131</v>
      </c>
      <c r="E1953" s="10" t="s">
        <v>1536</v>
      </c>
      <c r="F1953" s="163">
        <v>200</v>
      </c>
      <c r="G1953" s="11">
        <f>F1953*5</f>
        <v>1000</v>
      </c>
    </row>
    <row r="1954" spans="1:7">
      <c r="A1954" s="67" t="s">
        <v>1644</v>
      </c>
      <c r="B1954" s="10" t="s">
        <v>22</v>
      </c>
      <c r="C1954" s="10" t="s">
        <v>24</v>
      </c>
      <c r="D1954" s="10">
        <v>2180</v>
      </c>
      <c r="E1954" s="10" t="s">
        <v>1536</v>
      </c>
      <c r="F1954" s="163">
        <v>89</v>
      </c>
      <c r="G1954" s="11">
        <f>F1954*45</f>
        <v>4005</v>
      </c>
    </row>
    <row r="1955" spans="1:7">
      <c r="A1955" s="67" t="s">
        <v>1644</v>
      </c>
      <c r="B1955" s="10" t="s">
        <v>22</v>
      </c>
      <c r="C1955" s="10" t="s">
        <v>31</v>
      </c>
      <c r="D1955" s="10">
        <v>7390</v>
      </c>
      <c r="E1955" s="10" t="s">
        <v>1536</v>
      </c>
      <c r="F1955" s="163">
        <v>932</v>
      </c>
      <c r="G1955" s="11">
        <f t="shared" ref="G1955:G1957" si="75">F1955*5</f>
        <v>4660</v>
      </c>
    </row>
    <row r="1956" spans="1:7">
      <c r="A1956" s="67" t="s">
        <v>1645</v>
      </c>
      <c r="B1956" s="10" t="s">
        <v>22</v>
      </c>
      <c r="C1956" s="10" t="s">
        <v>31</v>
      </c>
      <c r="D1956" s="10">
        <v>5202</v>
      </c>
      <c r="E1956" s="10" t="s">
        <v>1536</v>
      </c>
      <c r="F1956" s="163">
        <v>288</v>
      </c>
      <c r="G1956" s="11">
        <f t="shared" si="75"/>
        <v>1440</v>
      </c>
    </row>
    <row r="1957" spans="1:7">
      <c r="A1957" s="67" t="s">
        <v>1645</v>
      </c>
      <c r="B1957" s="10" t="s">
        <v>22</v>
      </c>
      <c r="C1957" s="10" t="s">
        <v>31</v>
      </c>
      <c r="D1957" s="10">
        <v>3960</v>
      </c>
      <c r="E1957" s="10" t="s">
        <v>1611</v>
      </c>
      <c r="F1957" s="163">
        <v>180</v>
      </c>
      <c r="G1957" s="11">
        <f t="shared" si="75"/>
        <v>900</v>
      </c>
    </row>
    <row r="1958" spans="1:7">
      <c r="A1958" s="67" t="s">
        <v>1645</v>
      </c>
      <c r="B1958" s="10" t="s">
        <v>1539</v>
      </c>
      <c r="C1958" s="76" t="s">
        <v>29</v>
      </c>
      <c r="D1958" s="10">
        <v>1800</v>
      </c>
      <c r="E1958" s="10" t="s">
        <v>1611</v>
      </c>
      <c r="F1958" s="163">
        <v>0</v>
      </c>
      <c r="G1958" s="11">
        <f>F1958*21</f>
        <v>0</v>
      </c>
    </row>
    <row r="1959" spans="1:7">
      <c r="A1959" s="67" t="s">
        <v>1645</v>
      </c>
      <c r="B1959" s="10" t="s">
        <v>22</v>
      </c>
      <c r="C1959" s="10" t="s">
        <v>24</v>
      </c>
      <c r="D1959" s="10">
        <v>2587</v>
      </c>
      <c r="E1959" s="10" t="s">
        <v>1536</v>
      </c>
      <c r="F1959" s="163">
        <v>136</v>
      </c>
      <c r="G1959" s="11">
        <f t="shared" ref="G1959:G1960" si="76">F1959*45</f>
        <v>6120</v>
      </c>
    </row>
    <row r="1960" spans="1:7">
      <c r="A1960" s="67" t="s">
        <v>1645</v>
      </c>
      <c r="B1960" s="10" t="s">
        <v>22</v>
      </c>
      <c r="C1960" s="10" t="s">
        <v>24</v>
      </c>
      <c r="D1960" s="10">
        <v>1708</v>
      </c>
      <c r="E1960" s="10" t="s">
        <v>1534</v>
      </c>
      <c r="F1960" s="163">
        <v>28</v>
      </c>
      <c r="G1960" s="11">
        <f t="shared" si="76"/>
        <v>1260</v>
      </c>
    </row>
    <row r="1961" spans="1:7">
      <c r="A1961" s="67" t="s">
        <v>1645</v>
      </c>
      <c r="B1961" s="10" t="s">
        <v>22</v>
      </c>
      <c r="C1961" s="76" t="s">
        <v>27</v>
      </c>
      <c r="D1961" s="10">
        <v>4131</v>
      </c>
      <c r="E1961" s="10" t="s">
        <v>1534</v>
      </c>
      <c r="F1961" s="163">
        <v>105</v>
      </c>
      <c r="G1961" s="11">
        <f>F1961*34</f>
        <v>3570</v>
      </c>
    </row>
    <row r="1962" spans="1:7">
      <c r="A1962" s="67" t="s">
        <v>1645</v>
      </c>
      <c r="B1962" s="10" t="s">
        <v>22</v>
      </c>
      <c r="C1962" s="68" t="s">
        <v>1533</v>
      </c>
      <c r="D1962" s="10">
        <v>1694</v>
      </c>
      <c r="E1962" s="10" t="s">
        <v>1534</v>
      </c>
      <c r="F1962" s="163">
        <v>10</v>
      </c>
      <c r="G1962" s="11"/>
    </row>
    <row r="1963" spans="1:7">
      <c r="A1963" s="67" t="s">
        <v>1645</v>
      </c>
      <c r="B1963" s="10" t="s">
        <v>22</v>
      </c>
      <c r="C1963" s="10" t="s">
        <v>31</v>
      </c>
      <c r="D1963" s="10">
        <v>11930</v>
      </c>
      <c r="E1963" s="10" t="s">
        <v>1536</v>
      </c>
      <c r="F1963" s="163">
        <v>2551</v>
      </c>
      <c r="G1963" s="11">
        <f>F1963*5</f>
        <v>12755</v>
      </c>
    </row>
    <row r="1964" spans="1:7">
      <c r="A1964" s="67" t="s">
        <v>1646</v>
      </c>
      <c r="B1964" s="10" t="s">
        <v>22</v>
      </c>
      <c r="C1964" s="10" t="s">
        <v>24</v>
      </c>
      <c r="D1964" s="10">
        <v>720</v>
      </c>
      <c r="E1964" s="10" t="s">
        <v>1536</v>
      </c>
      <c r="F1964" s="163">
        <v>7</v>
      </c>
      <c r="G1964" s="11">
        <f>F1964*45</f>
        <v>315</v>
      </c>
    </row>
    <row r="1965" spans="1:7">
      <c r="A1965" s="67" t="s">
        <v>1646</v>
      </c>
      <c r="B1965" s="10" t="s">
        <v>22</v>
      </c>
      <c r="C1965" s="76" t="s">
        <v>27</v>
      </c>
      <c r="D1965" s="10">
        <v>8703</v>
      </c>
      <c r="E1965" s="10" t="s">
        <v>1534</v>
      </c>
      <c r="F1965" s="163">
        <v>192</v>
      </c>
      <c r="G1965" s="11">
        <f>F1965*34</f>
        <v>6528</v>
      </c>
    </row>
    <row r="1966" spans="1:7">
      <c r="A1966" s="67" t="s">
        <v>1646</v>
      </c>
      <c r="B1966" s="10" t="s">
        <v>22</v>
      </c>
      <c r="C1966" s="10" t="s">
        <v>31</v>
      </c>
      <c r="D1966" s="10">
        <v>3978</v>
      </c>
      <c r="E1966" s="10" t="s">
        <v>1536</v>
      </c>
      <c r="F1966" s="163">
        <v>179</v>
      </c>
      <c r="G1966" s="11">
        <f t="shared" ref="G1966:G1967" si="77">F1966*5</f>
        <v>895</v>
      </c>
    </row>
    <row r="1967" spans="1:7">
      <c r="A1967" s="67" t="s">
        <v>1646</v>
      </c>
      <c r="B1967" s="10" t="s">
        <v>22</v>
      </c>
      <c r="C1967" s="10" t="s">
        <v>31</v>
      </c>
      <c r="D1967" s="10">
        <v>16565</v>
      </c>
      <c r="E1967" s="10" t="s">
        <v>1536</v>
      </c>
      <c r="F1967" s="163">
        <v>2655</v>
      </c>
      <c r="G1967" s="11">
        <f t="shared" si="77"/>
        <v>13275</v>
      </c>
    </row>
    <row r="1968" spans="1:7">
      <c r="A1968" s="67" t="s">
        <v>1647</v>
      </c>
      <c r="B1968" s="10" t="s">
        <v>22</v>
      </c>
      <c r="C1968" s="10" t="s">
        <v>24</v>
      </c>
      <c r="D1968" s="10">
        <v>7440</v>
      </c>
      <c r="E1968" s="10" t="s">
        <v>1611</v>
      </c>
      <c r="F1968" s="163">
        <v>8</v>
      </c>
      <c r="G1968" s="11">
        <f t="shared" ref="G1968:G1969" si="78">F1968*45</f>
        <v>360</v>
      </c>
    </row>
    <row r="1969" spans="1:7">
      <c r="A1969" s="67" t="s">
        <v>1647</v>
      </c>
      <c r="B1969" s="10" t="s">
        <v>22</v>
      </c>
      <c r="C1969" s="10" t="s">
        <v>24</v>
      </c>
      <c r="D1969" s="10">
        <v>1833</v>
      </c>
      <c r="E1969" s="10" t="s">
        <v>1550</v>
      </c>
      <c r="F1969" s="163">
        <v>0</v>
      </c>
      <c r="G1969" s="11">
        <f t="shared" si="78"/>
        <v>0</v>
      </c>
    </row>
    <row r="1970" spans="1:7">
      <c r="A1970" s="67" t="s">
        <v>1647</v>
      </c>
      <c r="B1970" s="10" t="s">
        <v>22</v>
      </c>
      <c r="C1970" s="76" t="s">
        <v>27</v>
      </c>
      <c r="D1970" s="10">
        <v>11934</v>
      </c>
      <c r="E1970" s="10" t="s">
        <v>1550</v>
      </c>
      <c r="F1970" s="163">
        <v>0</v>
      </c>
      <c r="G1970" s="11">
        <f t="shared" ref="G1970:G1971" si="79">F1970*34</f>
        <v>0</v>
      </c>
    </row>
    <row r="1971" spans="1:7">
      <c r="A1971" s="67" t="s">
        <v>1647</v>
      </c>
      <c r="B1971" s="10" t="s">
        <v>1539</v>
      </c>
      <c r="C1971" s="76" t="s">
        <v>27</v>
      </c>
      <c r="D1971" s="10">
        <v>3420</v>
      </c>
      <c r="E1971" s="10" t="s">
        <v>1534</v>
      </c>
      <c r="F1971" s="163">
        <v>35</v>
      </c>
      <c r="G1971" s="11">
        <f t="shared" si="79"/>
        <v>1190</v>
      </c>
    </row>
    <row r="1972" spans="1:7">
      <c r="A1972" s="67" t="s">
        <v>1647</v>
      </c>
      <c r="B1972" s="10" t="s">
        <v>22</v>
      </c>
      <c r="C1972" s="76" t="s">
        <v>29</v>
      </c>
      <c r="D1972" s="10">
        <v>5899</v>
      </c>
      <c r="E1972" s="10" t="s">
        <v>1534</v>
      </c>
      <c r="F1972" s="163">
        <v>120</v>
      </c>
      <c r="G1972" s="11">
        <f>F1972*21</f>
        <v>2520</v>
      </c>
    </row>
    <row r="1973" spans="1:7">
      <c r="A1973" s="67" t="s">
        <v>1647</v>
      </c>
      <c r="B1973" s="10" t="s">
        <v>22</v>
      </c>
      <c r="C1973" s="10" t="s">
        <v>24</v>
      </c>
      <c r="D1973" s="10">
        <v>3308</v>
      </c>
      <c r="E1973" s="10" t="s">
        <v>1536</v>
      </c>
      <c r="F1973" s="163">
        <v>92</v>
      </c>
      <c r="G1973" s="11">
        <f>F1973*45</f>
        <v>4140</v>
      </c>
    </row>
    <row r="1974" spans="1:7">
      <c r="A1974" s="67" t="s">
        <v>1647</v>
      </c>
      <c r="B1974" s="10" t="s">
        <v>22</v>
      </c>
      <c r="C1974" s="10" t="s">
        <v>31</v>
      </c>
      <c r="D1974" s="10">
        <v>1595</v>
      </c>
      <c r="E1974" s="10" t="s">
        <v>1536</v>
      </c>
      <c r="F1974" s="163">
        <v>207</v>
      </c>
      <c r="G1974" s="11">
        <f>F1974*5</f>
        <v>1035</v>
      </c>
    </row>
    <row r="1975" spans="1:7">
      <c r="A1975" s="67" t="s">
        <v>1647</v>
      </c>
      <c r="B1975" s="10" t="s">
        <v>22</v>
      </c>
      <c r="C1975" s="76" t="s">
        <v>29</v>
      </c>
      <c r="D1975" s="10">
        <v>3385</v>
      </c>
      <c r="E1975" s="10" t="s">
        <v>1536</v>
      </c>
      <c r="F1975" s="163">
        <v>240</v>
      </c>
      <c r="G1975" s="11">
        <f>F1975*21</f>
        <v>5040</v>
      </c>
    </row>
    <row r="1976" spans="1:7">
      <c r="A1976" s="67" t="s">
        <v>1648</v>
      </c>
      <c r="B1976" s="10" t="s">
        <v>22</v>
      </c>
      <c r="C1976" s="10" t="s">
        <v>24</v>
      </c>
      <c r="D1976" s="10">
        <v>2517</v>
      </c>
      <c r="E1976" s="10" t="s">
        <v>1536</v>
      </c>
      <c r="F1976" s="163">
        <v>96</v>
      </c>
      <c r="G1976" s="11">
        <f>F1976*45</f>
        <v>4320</v>
      </c>
    </row>
    <row r="1977" spans="1:7">
      <c r="A1977" s="67" t="s">
        <v>1648</v>
      </c>
      <c r="B1977" s="10" t="s">
        <v>22</v>
      </c>
      <c r="C1977" s="10" t="s">
        <v>31</v>
      </c>
      <c r="D1977" s="10">
        <v>4743</v>
      </c>
      <c r="E1977" s="10" t="s">
        <v>1536</v>
      </c>
      <c r="F1977" s="163">
        <v>306</v>
      </c>
      <c r="G1977" s="11">
        <f>F1977*5</f>
        <v>1530</v>
      </c>
    </row>
    <row r="1978" spans="1:7">
      <c r="A1978" s="67" t="s">
        <v>1648</v>
      </c>
      <c r="B1978" s="10" t="s">
        <v>22</v>
      </c>
      <c r="C1978" s="76" t="s">
        <v>29</v>
      </c>
      <c r="D1978" s="10">
        <v>10154</v>
      </c>
      <c r="E1978" s="10" t="s">
        <v>1534</v>
      </c>
      <c r="F1978" s="163">
        <v>217</v>
      </c>
      <c r="G1978" s="11">
        <f>F1978*21</f>
        <v>4557</v>
      </c>
    </row>
    <row r="1979" spans="1:7">
      <c r="A1979" s="67" t="s">
        <v>1648</v>
      </c>
      <c r="B1979" s="10" t="s">
        <v>22</v>
      </c>
      <c r="C1979" s="76" t="s">
        <v>27</v>
      </c>
      <c r="D1979" s="10">
        <v>12676</v>
      </c>
      <c r="E1979" s="10" t="s">
        <v>1550</v>
      </c>
      <c r="F1979" s="163">
        <v>0</v>
      </c>
      <c r="G1979" s="11">
        <f>F1979*34</f>
        <v>0</v>
      </c>
    </row>
    <row r="1980" spans="1:7">
      <c r="A1980" s="67" t="s">
        <v>1648</v>
      </c>
      <c r="B1980" s="10" t="s">
        <v>22</v>
      </c>
      <c r="C1980" s="10" t="s">
        <v>31</v>
      </c>
      <c r="D1980" s="10">
        <v>2755</v>
      </c>
      <c r="E1980" s="10" t="s">
        <v>1536</v>
      </c>
      <c r="F1980" s="163">
        <v>211</v>
      </c>
      <c r="G1980" s="11">
        <f t="shared" ref="G1980:G1981" si="80">F1980*5</f>
        <v>1055</v>
      </c>
    </row>
    <row r="1981" spans="1:7">
      <c r="A1981" s="67" t="s">
        <v>1648</v>
      </c>
      <c r="B1981" s="10" t="s">
        <v>22</v>
      </c>
      <c r="C1981" s="10" t="s">
        <v>31</v>
      </c>
      <c r="D1981" s="10">
        <v>3420</v>
      </c>
      <c r="E1981" s="10" t="s">
        <v>1536</v>
      </c>
      <c r="F1981" s="163">
        <v>64</v>
      </c>
      <c r="G1981" s="11">
        <f t="shared" si="80"/>
        <v>320</v>
      </c>
    </row>
    <row r="1982" spans="1:7">
      <c r="A1982" s="67" t="s">
        <v>1649</v>
      </c>
      <c r="B1982" s="10" t="s">
        <v>22</v>
      </c>
      <c r="C1982" s="76" t="s">
        <v>29</v>
      </c>
      <c r="D1982" s="10">
        <v>6009</v>
      </c>
      <c r="E1982" s="10" t="s">
        <v>1536</v>
      </c>
      <c r="F1982" s="163">
        <v>140</v>
      </c>
      <c r="G1982" s="11">
        <f t="shared" ref="G1982:G1983" si="81">F1982*21</f>
        <v>2940</v>
      </c>
    </row>
    <row r="1983" spans="1:7">
      <c r="A1983" s="67" t="s">
        <v>1649</v>
      </c>
      <c r="B1983" s="10" t="s">
        <v>22</v>
      </c>
      <c r="C1983" s="76" t="s">
        <v>29</v>
      </c>
      <c r="D1983" s="10">
        <v>6053</v>
      </c>
      <c r="E1983" s="10" t="s">
        <v>1550</v>
      </c>
      <c r="F1983" s="163">
        <v>0</v>
      </c>
      <c r="G1983" s="11">
        <f t="shared" si="81"/>
        <v>0</v>
      </c>
    </row>
    <row r="1984" spans="1:7">
      <c r="A1984" s="67" t="s">
        <v>1649</v>
      </c>
      <c r="B1984" s="10" t="s">
        <v>22</v>
      </c>
      <c r="C1984" s="76" t="s">
        <v>27</v>
      </c>
      <c r="D1984" s="10">
        <v>2754</v>
      </c>
      <c r="E1984" s="10" t="s">
        <v>1550</v>
      </c>
      <c r="F1984" s="163">
        <v>0</v>
      </c>
      <c r="G1984" s="11">
        <f>F1984*34</f>
        <v>0</v>
      </c>
    </row>
    <row r="1985" spans="1:7">
      <c r="A1985" s="67" t="s">
        <v>1649</v>
      </c>
      <c r="B1985" s="10" t="s">
        <v>22</v>
      </c>
      <c r="C1985" s="10" t="s">
        <v>31</v>
      </c>
      <c r="D1985" s="10">
        <v>3366</v>
      </c>
      <c r="E1985" s="10" t="s">
        <v>1536</v>
      </c>
      <c r="F1985" s="163">
        <v>306</v>
      </c>
      <c r="G1985" s="11">
        <f>F1985*5</f>
        <v>1530</v>
      </c>
    </row>
    <row r="1986" spans="1:7">
      <c r="A1986" s="67" t="s">
        <v>1649</v>
      </c>
      <c r="B1986" s="10" t="s">
        <v>22</v>
      </c>
      <c r="C1986" s="10" t="s">
        <v>24</v>
      </c>
      <c r="D1986" s="10">
        <v>1958</v>
      </c>
      <c r="E1986" s="10" t="s">
        <v>1536</v>
      </c>
      <c r="F1986" s="163">
        <v>59</v>
      </c>
      <c r="G1986" s="11">
        <f>F1986*45</f>
        <v>2655</v>
      </c>
    </row>
    <row r="1987" spans="1:7">
      <c r="A1987" s="67" t="s">
        <v>1649</v>
      </c>
      <c r="B1987" s="10" t="s">
        <v>22</v>
      </c>
      <c r="C1987" s="10" t="s">
        <v>31</v>
      </c>
      <c r="D1987" s="10">
        <v>5028</v>
      </c>
      <c r="E1987" s="10" t="s">
        <v>1536</v>
      </c>
      <c r="F1987" s="163">
        <v>1441</v>
      </c>
      <c r="G1987" s="11">
        <f t="shared" ref="G1987:G1989" si="82">F1987*5</f>
        <v>7205</v>
      </c>
    </row>
    <row r="1988" spans="1:7">
      <c r="A1988" s="67" t="s">
        <v>1649</v>
      </c>
      <c r="B1988" s="10" t="s">
        <v>1650</v>
      </c>
      <c r="C1988" s="10" t="s">
        <v>31</v>
      </c>
      <c r="D1988" s="10">
        <v>4320</v>
      </c>
      <c r="E1988" s="10" t="s">
        <v>1611</v>
      </c>
      <c r="F1988" s="163">
        <v>62</v>
      </c>
      <c r="G1988" s="11">
        <f t="shared" si="82"/>
        <v>310</v>
      </c>
    </row>
    <row r="1989" spans="1:7">
      <c r="A1989" s="67" t="s">
        <v>1651</v>
      </c>
      <c r="B1989" s="5" t="s">
        <v>1650</v>
      </c>
      <c r="C1989" s="10" t="s">
        <v>31</v>
      </c>
      <c r="D1989" s="10">
        <v>9270</v>
      </c>
      <c r="E1989" s="10" t="s">
        <v>1536</v>
      </c>
      <c r="F1989" s="164">
        <v>195</v>
      </c>
      <c r="G1989" s="11">
        <f t="shared" si="82"/>
        <v>975</v>
      </c>
    </row>
    <row r="1990" spans="1:7">
      <c r="A1990" s="67" t="s">
        <v>1652</v>
      </c>
      <c r="B1990" s="10" t="s">
        <v>22</v>
      </c>
      <c r="C1990" s="10" t="s">
        <v>24</v>
      </c>
      <c r="D1990" s="10">
        <v>2192</v>
      </c>
      <c r="E1990" s="10" t="s">
        <v>1536</v>
      </c>
      <c r="F1990" s="163">
        <v>48</v>
      </c>
      <c r="G1990" s="11">
        <f>F1990*45</f>
        <v>2160</v>
      </c>
    </row>
    <row r="1991" spans="1:7">
      <c r="A1991" s="67" t="s">
        <v>1652</v>
      </c>
      <c r="B1991" s="10" t="s">
        <v>22</v>
      </c>
      <c r="C1991" s="10" t="s">
        <v>31</v>
      </c>
      <c r="D1991" s="10">
        <v>5831</v>
      </c>
      <c r="E1991" s="10" t="s">
        <v>1536</v>
      </c>
      <c r="F1991" s="163">
        <v>614</v>
      </c>
      <c r="G1991" s="11">
        <f>F1991*5</f>
        <v>3070</v>
      </c>
    </row>
    <row r="1992" spans="1:7">
      <c r="A1992" s="67" t="s">
        <v>1652</v>
      </c>
      <c r="B1992" s="10" t="s">
        <v>22</v>
      </c>
      <c r="C1992" s="76" t="s">
        <v>29</v>
      </c>
      <c r="D1992" s="10">
        <v>5650</v>
      </c>
      <c r="E1992" s="10" t="s">
        <v>1534</v>
      </c>
      <c r="F1992" s="163">
        <v>95</v>
      </c>
      <c r="G1992" s="11">
        <f>F1992*21</f>
        <v>1995</v>
      </c>
    </row>
    <row r="1993" spans="1:7">
      <c r="A1993" s="67" t="s">
        <v>1652</v>
      </c>
      <c r="B1993" s="10" t="s">
        <v>22</v>
      </c>
      <c r="C1993" s="10" t="s">
        <v>31</v>
      </c>
      <c r="D1993" s="10">
        <v>4949</v>
      </c>
      <c r="E1993" s="10" t="s">
        <v>1536</v>
      </c>
      <c r="F1993" s="163">
        <v>200</v>
      </c>
      <c r="G1993" s="11">
        <f t="shared" ref="G1993:G1994" si="83">F1993*5</f>
        <v>1000</v>
      </c>
    </row>
    <row r="1994" spans="1:7">
      <c r="A1994" s="67" t="s">
        <v>1652</v>
      </c>
      <c r="B1994" s="10" t="s">
        <v>1650</v>
      </c>
      <c r="C1994" s="10" t="s">
        <v>31</v>
      </c>
      <c r="D1994" s="10">
        <v>2040</v>
      </c>
      <c r="E1994" s="10" t="s">
        <v>1536</v>
      </c>
      <c r="F1994" s="163">
        <v>195</v>
      </c>
      <c r="G1994" s="11">
        <f t="shared" si="83"/>
        <v>975</v>
      </c>
    </row>
    <row r="1995" spans="1:7">
      <c r="A1995" s="67" t="s">
        <v>1653</v>
      </c>
      <c r="B1995" s="10" t="s">
        <v>22</v>
      </c>
      <c r="C1995" s="10" t="s">
        <v>24</v>
      </c>
      <c r="D1995" s="10">
        <v>8360</v>
      </c>
      <c r="E1995" s="10" t="s">
        <v>1611</v>
      </c>
      <c r="F1995" s="163">
        <v>27</v>
      </c>
      <c r="G1995" s="11">
        <f>F1995*45</f>
        <v>1215</v>
      </c>
    </row>
    <row r="1996" spans="1:7">
      <c r="A1996" s="67" t="s">
        <v>1653</v>
      </c>
      <c r="B1996" s="10" t="s">
        <v>22</v>
      </c>
      <c r="C1996" s="10" t="s">
        <v>31</v>
      </c>
      <c r="D1996" s="10">
        <v>4950</v>
      </c>
      <c r="E1996" s="10" t="s">
        <v>1536</v>
      </c>
      <c r="F1996" s="163">
        <v>345</v>
      </c>
      <c r="G1996" s="11">
        <f>F1996*5</f>
        <v>1725</v>
      </c>
    </row>
    <row r="1997" spans="1:7">
      <c r="A1997" s="67" t="s">
        <v>1653</v>
      </c>
      <c r="B1997" s="10" t="s">
        <v>22</v>
      </c>
      <c r="C1997" s="76" t="s">
        <v>29</v>
      </c>
      <c r="D1997" s="10">
        <v>2169</v>
      </c>
      <c r="E1997" s="10" t="s">
        <v>1536</v>
      </c>
      <c r="F1997" s="163">
        <v>157</v>
      </c>
      <c r="G1997" s="11">
        <f t="shared" ref="G1997:G1998" si="84">F1997*21</f>
        <v>3297</v>
      </c>
    </row>
    <row r="1998" spans="1:7">
      <c r="A1998" s="67" t="s">
        <v>1653</v>
      </c>
      <c r="B1998" s="10" t="s">
        <v>22</v>
      </c>
      <c r="C1998" s="76" t="s">
        <v>29</v>
      </c>
      <c r="D1998" s="10">
        <v>3614</v>
      </c>
      <c r="E1998" s="10" t="s">
        <v>1534</v>
      </c>
      <c r="F1998" s="163">
        <v>85</v>
      </c>
      <c r="G1998" s="11">
        <f t="shared" si="84"/>
        <v>1785</v>
      </c>
    </row>
    <row r="1999" spans="1:7">
      <c r="A1999" s="67" t="s">
        <v>1653</v>
      </c>
      <c r="B1999" s="10" t="s">
        <v>22</v>
      </c>
      <c r="C1999" s="10" t="s">
        <v>31</v>
      </c>
      <c r="D1999" s="10">
        <v>6915</v>
      </c>
      <c r="E1999" s="10" t="s">
        <v>1536</v>
      </c>
      <c r="F1999" s="163">
        <v>737</v>
      </c>
      <c r="G1999" s="11">
        <f t="shared" ref="G1999:G2001" si="85">F1999*5</f>
        <v>3685</v>
      </c>
    </row>
    <row r="2000" spans="1:7">
      <c r="A2000" s="67" t="s">
        <v>1653</v>
      </c>
      <c r="B2000" s="10" t="s">
        <v>1650</v>
      </c>
      <c r="C2000" s="10" t="s">
        <v>31</v>
      </c>
      <c r="D2000" s="10">
        <v>510</v>
      </c>
      <c r="E2000" s="10" t="s">
        <v>1536</v>
      </c>
      <c r="F2000" s="163">
        <v>20</v>
      </c>
      <c r="G2000" s="11">
        <f t="shared" si="85"/>
        <v>100</v>
      </c>
    </row>
    <row r="2001" spans="1:7">
      <c r="A2001" s="67" t="s">
        <v>1654</v>
      </c>
      <c r="B2001" s="10" t="s">
        <v>22</v>
      </c>
      <c r="C2001" s="10" t="s">
        <v>31</v>
      </c>
      <c r="D2001" s="10">
        <v>4131</v>
      </c>
      <c r="E2001" s="10" t="s">
        <v>1536</v>
      </c>
      <c r="F2001" s="163">
        <v>450</v>
      </c>
      <c r="G2001" s="11">
        <f t="shared" si="85"/>
        <v>2250</v>
      </c>
    </row>
    <row r="2002" spans="1:7">
      <c r="A2002" s="67" t="s">
        <v>1654</v>
      </c>
      <c r="B2002" s="10" t="s">
        <v>22</v>
      </c>
      <c r="C2002" s="76" t="s">
        <v>29</v>
      </c>
      <c r="D2002" s="10">
        <v>3354</v>
      </c>
      <c r="E2002" s="10" t="s">
        <v>1536</v>
      </c>
      <c r="F2002" s="163">
        <v>408</v>
      </c>
      <c r="G2002" s="11">
        <f t="shared" ref="G2002:G2003" si="86">F2002*21</f>
        <v>8568</v>
      </c>
    </row>
    <row r="2003" spans="1:7">
      <c r="A2003" s="67" t="s">
        <v>1654</v>
      </c>
      <c r="B2003" s="10" t="s">
        <v>22</v>
      </c>
      <c r="C2003" s="76" t="s">
        <v>29</v>
      </c>
      <c r="D2003" s="10">
        <v>7203</v>
      </c>
      <c r="E2003" s="10" t="s">
        <v>1534</v>
      </c>
      <c r="F2003" s="163">
        <v>95</v>
      </c>
      <c r="G2003" s="11">
        <f t="shared" si="86"/>
        <v>1995</v>
      </c>
    </row>
    <row r="2004" spans="1:7">
      <c r="A2004" s="67" t="s">
        <v>1654</v>
      </c>
      <c r="B2004" s="10" t="s">
        <v>22</v>
      </c>
      <c r="C2004" s="10" t="s">
        <v>24</v>
      </c>
      <c r="D2004" s="10">
        <v>9485</v>
      </c>
      <c r="E2004" s="10" t="s">
        <v>1611</v>
      </c>
      <c r="F2004" s="163">
        <v>29</v>
      </c>
      <c r="G2004" s="11">
        <f>F2004*45</f>
        <v>1305</v>
      </c>
    </row>
    <row r="2005" spans="1:7">
      <c r="A2005" s="67" t="s">
        <v>1654</v>
      </c>
      <c r="B2005" s="10" t="s">
        <v>22</v>
      </c>
      <c r="C2005" s="76" t="s">
        <v>29</v>
      </c>
      <c r="D2005" s="10">
        <v>1464</v>
      </c>
      <c r="E2005" s="10" t="s">
        <v>1611</v>
      </c>
      <c r="F2005" s="163">
        <v>8</v>
      </c>
      <c r="G2005" s="11">
        <f>F2005*21</f>
        <v>168</v>
      </c>
    </row>
    <row r="2006" spans="1:7">
      <c r="A2006" s="67" t="s">
        <v>1654</v>
      </c>
      <c r="B2006" s="10" t="s">
        <v>22</v>
      </c>
      <c r="C2006" s="10" t="s">
        <v>31</v>
      </c>
      <c r="D2006" s="10">
        <v>5392</v>
      </c>
      <c r="E2006" s="10" t="s">
        <v>1536</v>
      </c>
      <c r="F2006" s="163">
        <v>764</v>
      </c>
      <c r="G2006" s="11">
        <f>F2006*5</f>
        <v>3820</v>
      </c>
    </row>
    <row r="2007" spans="1:7">
      <c r="A2007" s="67" t="s">
        <v>1655</v>
      </c>
      <c r="B2007" s="10" t="s">
        <v>22</v>
      </c>
      <c r="C2007" s="76" t="s">
        <v>29</v>
      </c>
      <c r="D2007" s="10">
        <v>6506</v>
      </c>
      <c r="E2007" s="10" t="s">
        <v>1536</v>
      </c>
      <c r="F2007" s="163">
        <v>1417</v>
      </c>
      <c r="G2007" s="11">
        <f>F2007*21</f>
        <v>29757</v>
      </c>
    </row>
    <row r="2008" spans="1:7">
      <c r="A2008" s="67" t="s">
        <v>1655</v>
      </c>
      <c r="B2008" s="10" t="s">
        <v>22</v>
      </c>
      <c r="C2008" s="10" t="s">
        <v>31</v>
      </c>
      <c r="D2008" s="10">
        <v>4131</v>
      </c>
      <c r="E2008" s="10" t="s">
        <v>1536</v>
      </c>
      <c r="F2008" s="163">
        <v>432</v>
      </c>
      <c r="G2008" s="11">
        <f>F2008*5</f>
        <v>2160</v>
      </c>
    </row>
    <row r="2009" spans="1:7">
      <c r="A2009" s="67" t="s">
        <v>1655</v>
      </c>
      <c r="B2009" s="10" t="s">
        <v>22</v>
      </c>
      <c r="C2009" s="76" t="s">
        <v>29</v>
      </c>
      <c r="D2009" s="10">
        <v>6133</v>
      </c>
      <c r="E2009" s="10" t="s">
        <v>1534</v>
      </c>
      <c r="F2009" s="163">
        <v>110</v>
      </c>
      <c r="G2009" s="11">
        <f>F2009*21</f>
        <v>2310</v>
      </c>
    </row>
    <row r="2010" spans="1:7">
      <c r="A2010" s="67" t="s">
        <v>1655</v>
      </c>
      <c r="B2010" s="10" t="s">
        <v>22</v>
      </c>
      <c r="C2010" s="76" t="s">
        <v>27</v>
      </c>
      <c r="D2010" s="10">
        <v>2106</v>
      </c>
      <c r="E2010" s="10" t="s">
        <v>1534</v>
      </c>
      <c r="F2010" s="163">
        <v>15</v>
      </c>
      <c r="G2010" s="11">
        <f>F2010*34</f>
        <v>510</v>
      </c>
    </row>
    <row r="2011" spans="1:7">
      <c r="A2011" s="67" t="s">
        <v>1655</v>
      </c>
      <c r="B2011" s="10" t="s">
        <v>22</v>
      </c>
      <c r="C2011" s="10" t="s">
        <v>31</v>
      </c>
      <c r="D2011" s="10">
        <v>6616</v>
      </c>
      <c r="E2011" s="10" t="s">
        <v>1536</v>
      </c>
      <c r="F2011" s="163">
        <v>871</v>
      </c>
      <c r="G2011" s="11">
        <f t="shared" ref="G2011:G2012" si="87">F2011*5</f>
        <v>4355</v>
      </c>
    </row>
    <row r="2012" spans="1:7">
      <c r="A2012" s="84" t="s">
        <v>1656</v>
      </c>
      <c r="B2012" s="10" t="s">
        <v>22</v>
      </c>
      <c r="C2012" s="10" t="s">
        <v>31</v>
      </c>
      <c r="D2012" s="10">
        <v>4590</v>
      </c>
      <c r="E2012" s="10" t="s">
        <v>1536</v>
      </c>
      <c r="F2012" s="163">
        <v>452</v>
      </c>
      <c r="G2012" s="11">
        <f t="shared" si="87"/>
        <v>2260</v>
      </c>
    </row>
    <row r="2013" spans="1:7">
      <c r="A2013" s="84" t="s">
        <v>1656</v>
      </c>
      <c r="B2013" s="10" t="s">
        <v>22</v>
      </c>
      <c r="C2013" s="76" t="s">
        <v>29</v>
      </c>
      <c r="D2013" s="10">
        <v>1530</v>
      </c>
      <c r="E2013" s="10" t="s">
        <v>1534</v>
      </c>
      <c r="F2013" s="163">
        <v>58</v>
      </c>
      <c r="G2013" s="11">
        <f>F2013*21</f>
        <v>1218</v>
      </c>
    </row>
    <row r="2014" spans="1:7">
      <c r="A2014" s="84" t="s">
        <v>1656</v>
      </c>
      <c r="B2014" s="10" t="s">
        <v>22</v>
      </c>
      <c r="C2014" s="10" t="s">
        <v>24</v>
      </c>
      <c r="D2014" s="10">
        <v>4427</v>
      </c>
      <c r="E2014" s="10" t="s">
        <v>1534</v>
      </c>
      <c r="F2014" s="163">
        <v>55</v>
      </c>
      <c r="G2014" s="11">
        <f>F2014*45</f>
        <v>2475</v>
      </c>
    </row>
    <row r="2015" spans="1:7">
      <c r="A2015" s="84" t="s">
        <v>1656</v>
      </c>
      <c r="B2015" s="10" t="s">
        <v>22</v>
      </c>
      <c r="C2015" s="76" t="s">
        <v>27</v>
      </c>
      <c r="D2015" s="10">
        <v>5732</v>
      </c>
      <c r="E2015" s="10" t="s">
        <v>1536</v>
      </c>
      <c r="F2015" s="163">
        <v>256</v>
      </c>
      <c r="G2015" s="11">
        <f>F2015*34</f>
        <v>8704</v>
      </c>
    </row>
    <row r="2016" spans="1:7">
      <c r="A2016" s="84" t="s">
        <v>1656</v>
      </c>
      <c r="B2016" s="10" t="s">
        <v>1650</v>
      </c>
      <c r="C2016" s="76" t="s">
        <v>29</v>
      </c>
      <c r="D2016" s="10">
        <v>4320</v>
      </c>
      <c r="E2016" s="10" t="s">
        <v>1536</v>
      </c>
      <c r="F2016" s="164">
        <v>220</v>
      </c>
      <c r="G2016" s="11">
        <f>F2016*21</f>
        <v>4620</v>
      </c>
    </row>
    <row r="2017" spans="1:7">
      <c r="A2017" s="84" t="s">
        <v>1656</v>
      </c>
      <c r="B2017" s="10" t="s">
        <v>22</v>
      </c>
      <c r="C2017" s="10" t="s">
        <v>31</v>
      </c>
      <c r="D2017" s="10">
        <v>1245</v>
      </c>
      <c r="E2017" s="10" t="s">
        <v>1536</v>
      </c>
      <c r="F2017" s="163">
        <v>242</v>
      </c>
      <c r="G2017" s="11">
        <f>F2017*5</f>
        <v>1210</v>
      </c>
    </row>
    <row r="2018" spans="1:7">
      <c r="A2018" s="84" t="s">
        <v>1657</v>
      </c>
      <c r="B2018" s="10" t="s">
        <v>22</v>
      </c>
      <c r="C2018" s="76" t="s">
        <v>29</v>
      </c>
      <c r="D2018" s="10">
        <v>3325</v>
      </c>
      <c r="E2018" s="10" t="s">
        <v>1536</v>
      </c>
      <c r="F2018" s="163">
        <v>318</v>
      </c>
      <c r="G2018" s="11">
        <f>F2018*21</f>
        <v>6678</v>
      </c>
    </row>
    <row r="2019" spans="1:7">
      <c r="A2019" s="84" t="s">
        <v>1657</v>
      </c>
      <c r="B2019" s="10" t="s">
        <v>22</v>
      </c>
      <c r="C2019" s="10" t="s">
        <v>31</v>
      </c>
      <c r="D2019" s="10">
        <v>459</v>
      </c>
      <c r="E2019" s="10" t="s">
        <v>1536</v>
      </c>
      <c r="F2019" s="163">
        <v>32</v>
      </c>
      <c r="G2019" s="11">
        <f t="shared" ref="G2019:G2020" si="88">F2019*5</f>
        <v>160</v>
      </c>
    </row>
    <row r="2020" spans="1:7">
      <c r="A2020" s="84" t="s">
        <v>1657</v>
      </c>
      <c r="B2020" s="10" t="s">
        <v>22</v>
      </c>
      <c r="C2020" s="10" t="s">
        <v>31</v>
      </c>
      <c r="D2020" s="10">
        <v>1980</v>
      </c>
      <c r="E2020" s="10" t="s">
        <v>1536</v>
      </c>
      <c r="F2020" s="163">
        <v>72</v>
      </c>
      <c r="G2020" s="11">
        <f t="shared" si="88"/>
        <v>360</v>
      </c>
    </row>
    <row r="2021" spans="1:7">
      <c r="A2021" s="84" t="s">
        <v>1657</v>
      </c>
      <c r="B2021" s="10" t="s">
        <v>22</v>
      </c>
      <c r="C2021" s="10" t="s">
        <v>24</v>
      </c>
      <c r="D2021" s="10">
        <v>5198</v>
      </c>
      <c r="E2021" s="10" t="s">
        <v>1534</v>
      </c>
      <c r="F2021" s="163">
        <v>125</v>
      </c>
      <c r="G2021" s="11">
        <f>F2021*45</f>
        <v>5625</v>
      </c>
    </row>
    <row r="2022" spans="1:7">
      <c r="A2022" s="84" t="s">
        <v>1657</v>
      </c>
      <c r="B2022" s="10" t="s">
        <v>22</v>
      </c>
      <c r="C2022" s="10" t="s">
        <v>31</v>
      </c>
      <c r="D2022" s="10">
        <v>906</v>
      </c>
      <c r="E2022" s="10" t="s">
        <v>1611</v>
      </c>
      <c r="F2022" s="163">
        <v>52</v>
      </c>
      <c r="G2022" s="11">
        <f>F2022*5</f>
        <v>260</v>
      </c>
    </row>
    <row r="2023" spans="1:7">
      <c r="A2023" s="84" t="s">
        <v>1657</v>
      </c>
      <c r="B2023" s="10" t="s">
        <v>1650</v>
      </c>
      <c r="C2023" s="76" t="s">
        <v>29</v>
      </c>
      <c r="D2023" s="10">
        <v>10080</v>
      </c>
      <c r="E2023" s="10" t="s">
        <v>1536</v>
      </c>
      <c r="F2023" s="163">
        <v>673</v>
      </c>
      <c r="G2023" s="11">
        <f>F2023*21</f>
        <v>14133</v>
      </c>
    </row>
    <row r="2024" spans="1:7">
      <c r="A2024" s="84" t="s">
        <v>1657</v>
      </c>
      <c r="B2024" s="10" t="s">
        <v>22</v>
      </c>
      <c r="C2024" s="10" t="s">
        <v>31</v>
      </c>
      <c r="D2024" s="10">
        <v>1580</v>
      </c>
      <c r="E2024" s="10" t="s">
        <v>1536</v>
      </c>
      <c r="F2024" s="163">
        <v>369</v>
      </c>
      <c r="G2024" s="11">
        <f t="shared" ref="G2024:G2026" si="89">F2024*5</f>
        <v>1845</v>
      </c>
    </row>
    <row r="2025" spans="1:7">
      <c r="A2025" s="84" t="s">
        <v>1658</v>
      </c>
      <c r="B2025" s="10" t="s">
        <v>22</v>
      </c>
      <c r="C2025" s="10" t="s">
        <v>31</v>
      </c>
      <c r="D2025" s="10">
        <v>4038</v>
      </c>
      <c r="E2025" s="10" t="s">
        <v>1536</v>
      </c>
      <c r="F2025" s="163">
        <v>249</v>
      </c>
      <c r="G2025" s="11">
        <f t="shared" si="89"/>
        <v>1245</v>
      </c>
    </row>
    <row r="2026" spans="1:7">
      <c r="A2026" s="84" t="s">
        <v>1658</v>
      </c>
      <c r="B2026" s="10" t="s">
        <v>22</v>
      </c>
      <c r="C2026" s="10" t="s">
        <v>31</v>
      </c>
      <c r="D2026" s="10">
        <v>5319</v>
      </c>
      <c r="E2026" s="10" t="s">
        <v>1536</v>
      </c>
      <c r="F2026" s="163">
        <v>228</v>
      </c>
      <c r="G2026" s="11">
        <f t="shared" si="89"/>
        <v>1140</v>
      </c>
    </row>
    <row r="2027" spans="1:7">
      <c r="A2027" s="84" t="s">
        <v>1658</v>
      </c>
      <c r="B2027" s="10" t="s">
        <v>22</v>
      </c>
      <c r="C2027" s="76" t="s">
        <v>29</v>
      </c>
      <c r="D2027" s="10">
        <v>3140</v>
      </c>
      <c r="E2027" s="10" t="s">
        <v>1536</v>
      </c>
      <c r="F2027" s="163">
        <v>797</v>
      </c>
      <c r="G2027" s="11">
        <f>F2027*21</f>
        <v>16737</v>
      </c>
    </row>
    <row r="2028" spans="1:7">
      <c r="A2028" s="84" t="s">
        <v>1658</v>
      </c>
      <c r="B2028" s="10" t="s">
        <v>22</v>
      </c>
      <c r="C2028" s="10" t="s">
        <v>24</v>
      </c>
      <c r="D2028" s="10">
        <v>900</v>
      </c>
      <c r="E2028" s="10" t="s">
        <v>1534</v>
      </c>
      <c r="F2028" s="163">
        <v>25</v>
      </c>
      <c r="G2028" s="11">
        <f>F2028*45</f>
        <v>1125</v>
      </c>
    </row>
    <row r="2029" spans="1:7">
      <c r="A2029" s="84" t="s">
        <v>1659</v>
      </c>
      <c r="B2029" s="10" t="s">
        <v>22</v>
      </c>
      <c r="C2029" s="76" t="s">
        <v>29</v>
      </c>
      <c r="D2029" s="10">
        <v>6609</v>
      </c>
      <c r="E2029" s="10" t="s">
        <v>1536</v>
      </c>
      <c r="F2029" s="163">
        <v>1036</v>
      </c>
      <c r="G2029" s="11">
        <f>F2029*21</f>
        <v>21756</v>
      </c>
    </row>
    <row r="2030" spans="1:7">
      <c r="A2030" s="84" t="s">
        <v>1659</v>
      </c>
      <c r="B2030" s="10" t="s">
        <v>22</v>
      </c>
      <c r="C2030" s="10" t="s">
        <v>31</v>
      </c>
      <c r="D2030" s="10">
        <v>6129</v>
      </c>
      <c r="E2030" s="10" t="s">
        <v>1536</v>
      </c>
      <c r="F2030" s="163">
        <v>225</v>
      </c>
      <c r="G2030" s="11">
        <f>F2030*5</f>
        <v>1125</v>
      </c>
    </row>
    <row r="2031" spans="1:7">
      <c r="A2031" s="84" t="s">
        <v>1659</v>
      </c>
      <c r="B2031" s="10" t="s">
        <v>22</v>
      </c>
      <c r="C2031" s="10" t="s">
        <v>24</v>
      </c>
      <c r="D2031" s="10">
        <v>5720</v>
      </c>
      <c r="E2031" s="10" t="s">
        <v>1534</v>
      </c>
      <c r="F2031" s="163">
        <v>150</v>
      </c>
      <c r="G2031" s="11">
        <f>F2031*45</f>
        <v>6750</v>
      </c>
    </row>
    <row r="2032" spans="1:7">
      <c r="A2032" s="84" t="s">
        <v>1659</v>
      </c>
      <c r="B2032" s="10" t="s">
        <v>22</v>
      </c>
      <c r="C2032" s="10" t="s">
        <v>31</v>
      </c>
      <c r="D2032" s="10">
        <v>6705</v>
      </c>
      <c r="E2032" s="10" t="s">
        <v>1536</v>
      </c>
      <c r="F2032" s="163">
        <v>975</v>
      </c>
      <c r="G2032" s="11">
        <f>F2032*5</f>
        <v>4875</v>
      </c>
    </row>
    <row r="2033" spans="1:7">
      <c r="A2033" s="84" t="s">
        <v>1660</v>
      </c>
      <c r="B2033" s="10" t="s">
        <v>22</v>
      </c>
      <c r="C2033" s="76" t="s">
        <v>27</v>
      </c>
      <c r="D2033" s="10">
        <v>10713</v>
      </c>
      <c r="E2033" s="10" t="s">
        <v>1534</v>
      </c>
      <c r="F2033" s="163">
        <v>362</v>
      </c>
      <c r="G2033" s="11">
        <f>F2033*34</f>
        <v>12308</v>
      </c>
    </row>
    <row r="2034" spans="1:7">
      <c r="A2034" s="84" t="s">
        <v>1660</v>
      </c>
      <c r="B2034" s="10" t="s">
        <v>22</v>
      </c>
      <c r="C2034" s="10" t="s">
        <v>31</v>
      </c>
      <c r="D2034" s="10">
        <v>360</v>
      </c>
      <c r="E2034" s="10" t="s">
        <v>1536</v>
      </c>
      <c r="F2034" s="163">
        <v>13</v>
      </c>
      <c r="G2034" s="11">
        <f>F2034*5</f>
        <v>65</v>
      </c>
    </row>
    <row r="2035" spans="1:7">
      <c r="A2035" s="84" t="s">
        <v>1660</v>
      </c>
      <c r="B2035" s="10" t="s">
        <v>1539</v>
      </c>
      <c r="C2035" s="10" t="s">
        <v>24</v>
      </c>
      <c r="D2035" s="10">
        <v>918</v>
      </c>
      <c r="E2035" s="10" t="s">
        <v>1536</v>
      </c>
      <c r="F2035" s="163">
        <v>15</v>
      </c>
      <c r="G2035" s="11">
        <f>F2035*45</f>
        <v>675</v>
      </c>
    </row>
    <row r="2036" spans="1:7">
      <c r="A2036" s="84" t="s">
        <v>1660</v>
      </c>
      <c r="B2036" s="10" t="s">
        <v>22</v>
      </c>
      <c r="C2036" s="76" t="s">
        <v>27</v>
      </c>
      <c r="D2036" s="10">
        <v>13584</v>
      </c>
      <c r="E2036" s="10" t="s">
        <v>1550</v>
      </c>
      <c r="F2036" s="163">
        <v>0</v>
      </c>
      <c r="G2036" s="11">
        <f>F2036*34</f>
        <v>0</v>
      </c>
    </row>
    <row r="2037" spans="1:7">
      <c r="A2037" s="84" t="s">
        <v>1660</v>
      </c>
      <c r="B2037" s="10" t="s">
        <v>22</v>
      </c>
      <c r="C2037" s="10" t="s">
        <v>24</v>
      </c>
      <c r="D2037" s="10">
        <v>8180</v>
      </c>
      <c r="E2037" s="10" t="s">
        <v>1550</v>
      </c>
      <c r="F2037" s="163">
        <v>0</v>
      </c>
      <c r="G2037" s="11">
        <f t="shared" ref="G2037:G2038" si="90">F2037*45</f>
        <v>0</v>
      </c>
    </row>
    <row r="2038" spans="1:7">
      <c r="A2038" s="84" t="s">
        <v>1660</v>
      </c>
      <c r="B2038" s="10" t="s">
        <v>22</v>
      </c>
      <c r="C2038" s="10" t="s">
        <v>24</v>
      </c>
      <c r="D2038" s="10">
        <v>5874</v>
      </c>
      <c r="E2038" s="10" t="s">
        <v>1611</v>
      </c>
      <c r="F2038" s="163">
        <v>0</v>
      </c>
      <c r="G2038" s="11">
        <f t="shared" si="90"/>
        <v>0</v>
      </c>
    </row>
    <row r="2039" spans="1:7">
      <c r="A2039" s="84" t="s">
        <v>1660</v>
      </c>
      <c r="B2039" s="10" t="s">
        <v>22</v>
      </c>
      <c r="C2039" s="10" t="s">
        <v>31</v>
      </c>
      <c r="D2039" s="10">
        <v>12043</v>
      </c>
      <c r="E2039" s="10" t="s">
        <v>1536</v>
      </c>
      <c r="F2039" s="163">
        <v>3081</v>
      </c>
      <c r="G2039" s="11">
        <f>F2039*5</f>
        <v>15405</v>
      </c>
    </row>
    <row r="2040" spans="1:7">
      <c r="A2040" s="84" t="s">
        <v>1661</v>
      </c>
      <c r="B2040" s="10" t="s">
        <v>22</v>
      </c>
      <c r="C2040" s="10" t="s">
        <v>24</v>
      </c>
      <c r="D2040" s="10">
        <v>3366</v>
      </c>
      <c r="E2040" s="10" t="s">
        <v>1550</v>
      </c>
      <c r="F2040" s="163">
        <v>25</v>
      </c>
      <c r="G2040" s="11">
        <f>F2040*45</f>
        <v>1125</v>
      </c>
    </row>
    <row r="2041" spans="1:7">
      <c r="A2041" s="84" t="s">
        <v>1661</v>
      </c>
      <c r="B2041" s="10" t="s">
        <v>22</v>
      </c>
      <c r="C2041" s="76" t="s">
        <v>29</v>
      </c>
      <c r="D2041" s="10">
        <v>1810</v>
      </c>
      <c r="E2041" s="10" t="s">
        <v>1536</v>
      </c>
      <c r="F2041" s="163">
        <v>99</v>
      </c>
      <c r="G2041" s="11">
        <f>F2041*21</f>
        <v>2079</v>
      </c>
    </row>
    <row r="2042" spans="1:7">
      <c r="A2042" s="84" t="s">
        <v>1661</v>
      </c>
      <c r="B2042" s="10" t="s">
        <v>1539</v>
      </c>
      <c r="C2042" s="10" t="s">
        <v>24</v>
      </c>
      <c r="D2042" s="10">
        <v>4587</v>
      </c>
      <c r="E2042" s="10" t="s">
        <v>1611</v>
      </c>
      <c r="F2042" s="163">
        <v>0</v>
      </c>
      <c r="G2042" s="11">
        <f>F2042*45</f>
        <v>0</v>
      </c>
    </row>
    <row r="2043" spans="1:7">
      <c r="A2043" s="84" t="s">
        <v>1661</v>
      </c>
      <c r="B2043" s="10" t="s">
        <v>22</v>
      </c>
      <c r="C2043" s="76" t="s">
        <v>27</v>
      </c>
      <c r="D2043" s="10">
        <v>3486</v>
      </c>
      <c r="E2043" s="10" t="s">
        <v>1550</v>
      </c>
      <c r="F2043" s="163">
        <v>0</v>
      </c>
      <c r="G2043" s="11">
        <f>F2043*34</f>
        <v>0</v>
      </c>
    </row>
    <row r="2044" spans="1:7">
      <c r="A2044" s="84" t="s">
        <v>1661</v>
      </c>
      <c r="B2044" s="10" t="s">
        <v>22</v>
      </c>
      <c r="C2044" s="10" t="s">
        <v>24</v>
      </c>
      <c r="D2044" s="10">
        <v>9300</v>
      </c>
      <c r="E2044" s="10" t="s">
        <v>1550</v>
      </c>
      <c r="F2044" s="163">
        <v>0</v>
      </c>
      <c r="G2044" s="11">
        <f t="shared" ref="G2044:G2045" si="91">F2044*45</f>
        <v>0</v>
      </c>
    </row>
    <row r="2045" spans="1:7">
      <c r="A2045" s="84" t="s">
        <v>1661</v>
      </c>
      <c r="B2045" s="10" t="s">
        <v>22</v>
      </c>
      <c r="C2045" s="10" t="s">
        <v>24</v>
      </c>
      <c r="D2045" s="10">
        <v>4839</v>
      </c>
      <c r="E2045" s="10" t="s">
        <v>1534</v>
      </c>
      <c r="F2045" s="163">
        <v>128</v>
      </c>
      <c r="G2045" s="11">
        <f t="shared" si="91"/>
        <v>5760</v>
      </c>
    </row>
    <row r="2046" spans="1:7">
      <c r="A2046" s="84" t="s">
        <v>1661</v>
      </c>
      <c r="B2046" s="10" t="s">
        <v>22</v>
      </c>
      <c r="C2046" s="10" t="s">
        <v>1562</v>
      </c>
      <c r="D2046" s="10">
        <v>1293</v>
      </c>
      <c r="E2046" s="68" t="s">
        <v>1559</v>
      </c>
      <c r="F2046" s="163">
        <v>0</v>
      </c>
      <c r="G2046" s="11"/>
    </row>
    <row r="2047" spans="1:7">
      <c r="A2047" s="84" t="s">
        <v>1661</v>
      </c>
      <c r="B2047" s="10" t="s">
        <v>1539</v>
      </c>
      <c r="C2047" s="10" t="s">
        <v>31</v>
      </c>
      <c r="D2047" s="10">
        <v>3060</v>
      </c>
      <c r="E2047" s="10" t="s">
        <v>1536</v>
      </c>
      <c r="F2047" s="163">
        <v>123</v>
      </c>
      <c r="G2047" s="11">
        <f t="shared" ref="G2047:G2048" si="92">F2047*5</f>
        <v>615</v>
      </c>
    </row>
    <row r="2048" spans="1:7">
      <c r="A2048" s="84" t="s">
        <v>1661</v>
      </c>
      <c r="B2048" s="10" t="s">
        <v>22</v>
      </c>
      <c r="C2048" s="10" t="s">
        <v>31</v>
      </c>
      <c r="D2048" s="10">
        <v>2455</v>
      </c>
      <c r="E2048" s="10" t="s">
        <v>1536</v>
      </c>
      <c r="F2048" s="163">
        <v>545</v>
      </c>
      <c r="G2048" s="11">
        <f t="shared" si="92"/>
        <v>2725</v>
      </c>
    </row>
    <row r="2049" spans="1:7">
      <c r="A2049" s="84" t="s">
        <v>1661</v>
      </c>
      <c r="B2049" s="5" t="s">
        <v>1663</v>
      </c>
      <c r="C2049" s="68" t="s">
        <v>1533</v>
      </c>
      <c r="D2049" s="10">
        <v>2250</v>
      </c>
      <c r="E2049" s="68" t="s">
        <v>1559</v>
      </c>
      <c r="F2049" s="163">
        <v>0</v>
      </c>
      <c r="G2049" s="11"/>
    </row>
    <row r="2050" spans="1:7">
      <c r="A2050" s="84" t="s">
        <v>1664</v>
      </c>
      <c r="B2050" s="10" t="s">
        <v>22</v>
      </c>
      <c r="C2050" s="10" t="s">
        <v>31</v>
      </c>
      <c r="D2050" s="10">
        <v>7327</v>
      </c>
      <c r="E2050" s="10" t="s">
        <v>1536</v>
      </c>
      <c r="F2050" s="163">
        <v>886</v>
      </c>
      <c r="G2050" s="11">
        <f>F2050*5</f>
        <v>4430</v>
      </c>
    </row>
    <row r="2051" spans="1:7">
      <c r="A2051" s="84" t="s">
        <v>1664</v>
      </c>
      <c r="B2051" s="10" t="s">
        <v>1539</v>
      </c>
      <c r="C2051" s="10" t="s">
        <v>24</v>
      </c>
      <c r="D2051" s="10">
        <v>7005</v>
      </c>
      <c r="E2051" s="10" t="s">
        <v>1611</v>
      </c>
      <c r="F2051" s="163">
        <v>20</v>
      </c>
      <c r="G2051" s="11">
        <f t="shared" ref="G2051:G2052" si="93">F2051*45</f>
        <v>900</v>
      </c>
    </row>
    <row r="2052" spans="1:7">
      <c r="A2052" s="84" t="s">
        <v>1664</v>
      </c>
      <c r="B2052" s="10" t="s">
        <v>22</v>
      </c>
      <c r="C2052" s="10" t="s">
        <v>24</v>
      </c>
      <c r="D2052" s="10">
        <v>8378</v>
      </c>
      <c r="E2052" s="10" t="s">
        <v>1534</v>
      </c>
      <c r="F2052" s="163">
        <v>135</v>
      </c>
      <c r="G2052" s="11">
        <f t="shared" si="93"/>
        <v>6075</v>
      </c>
    </row>
    <row r="2053" spans="1:7">
      <c r="A2053" s="84" t="s">
        <v>1664</v>
      </c>
      <c r="B2053" s="10" t="s">
        <v>1539</v>
      </c>
      <c r="C2053" s="10" t="s">
        <v>31</v>
      </c>
      <c r="D2053" s="10">
        <v>9900</v>
      </c>
      <c r="E2053" s="10" t="s">
        <v>1536</v>
      </c>
      <c r="F2053" s="164">
        <v>970</v>
      </c>
      <c r="G2053" s="11">
        <f>F2053*5</f>
        <v>4850</v>
      </c>
    </row>
    <row r="2054" spans="1:7">
      <c r="A2054" s="84" t="s">
        <v>1664</v>
      </c>
      <c r="B2054" s="5" t="s">
        <v>1663</v>
      </c>
      <c r="C2054" s="68" t="s">
        <v>1533</v>
      </c>
      <c r="D2054" s="10">
        <v>11460</v>
      </c>
      <c r="E2054" s="68" t="s">
        <v>1559</v>
      </c>
      <c r="F2054" s="163">
        <v>0</v>
      </c>
      <c r="G2054" s="11"/>
    </row>
    <row r="2055" spans="1:7">
      <c r="A2055" s="84" t="s">
        <v>1665</v>
      </c>
      <c r="B2055" s="10" t="s">
        <v>22</v>
      </c>
      <c r="C2055" s="10" t="s">
        <v>24</v>
      </c>
      <c r="D2055" s="10">
        <v>8637</v>
      </c>
      <c r="E2055" s="10" t="s">
        <v>1536</v>
      </c>
      <c r="F2055" s="163">
        <v>115</v>
      </c>
      <c r="G2055" s="11">
        <f>F2055*45</f>
        <v>5175</v>
      </c>
    </row>
    <row r="2056" spans="1:7">
      <c r="A2056" s="84" t="s">
        <v>1665</v>
      </c>
      <c r="B2056" s="10" t="s">
        <v>22</v>
      </c>
      <c r="C2056" s="10" t="s">
        <v>31</v>
      </c>
      <c r="D2056" s="10">
        <v>2790</v>
      </c>
      <c r="E2056" s="10" t="s">
        <v>1536</v>
      </c>
      <c r="F2056" s="163">
        <v>306</v>
      </c>
      <c r="G2056" s="11">
        <f>F2056*5</f>
        <v>1530</v>
      </c>
    </row>
    <row r="2057" spans="1:7">
      <c r="A2057" s="84" t="s">
        <v>1665</v>
      </c>
      <c r="B2057" s="10" t="s">
        <v>1666</v>
      </c>
      <c r="C2057" s="76" t="s">
        <v>29</v>
      </c>
      <c r="D2057" s="10">
        <v>8030</v>
      </c>
      <c r="E2057" s="10" t="s">
        <v>1611</v>
      </c>
      <c r="F2057" s="163">
        <v>57</v>
      </c>
      <c r="G2057" s="11">
        <f>F2057*21</f>
        <v>1197</v>
      </c>
    </row>
    <row r="2058" spans="1:7">
      <c r="A2058" s="84" t="s">
        <v>1665</v>
      </c>
      <c r="B2058" s="10" t="s">
        <v>1663</v>
      </c>
      <c r="C2058" s="68" t="s">
        <v>1533</v>
      </c>
      <c r="D2058" s="10">
        <v>11460</v>
      </c>
      <c r="E2058" s="68" t="s">
        <v>1559</v>
      </c>
      <c r="F2058" s="163">
        <v>11</v>
      </c>
      <c r="G2058" s="11"/>
    </row>
    <row r="2059" spans="1:7">
      <c r="A2059" s="84" t="s">
        <v>1665</v>
      </c>
      <c r="B2059" s="10" t="s">
        <v>1539</v>
      </c>
      <c r="C2059" s="10" t="s">
        <v>31</v>
      </c>
      <c r="D2059" s="10">
        <v>7740</v>
      </c>
      <c r="E2059" s="10" t="s">
        <v>1536</v>
      </c>
      <c r="F2059" s="163">
        <v>523</v>
      </c>
      <c r="G2059" s="11">
        <f t="shared" ref="G2059:G2060" si="94">F2059*5</f>
        <v>2615</v>
      </c>
    </row>
    <row r="2060" spans="1:7">
      <c r="A2060" s="84" t="s">
        <v>1665</v>
      </c>
      <c r="B2060" s="10" t="s">
        <v>22</v>
      </c>
      <c r="C2060" s="10" t="s">
        <v>31</v>
      </c>
      <c r="D2060" s="10">
        <v>630</v>
      </c>
      <c r="E2060" s="10" t="s">
        <v>1536</v>
      </c>
      <c r="F2060" s="163">
        <v>154</v>
      </c>
      <c r="G2060" s="11">
        <f t="shared" si="94"/>
        <v>770</v>
      </c>
    </row>
    <row r="2061" spans="1:7">
      <c r="A2061" s="84" t="s">
        <v>1665</v>
      </c>
      <c r="B2061" s="10" t="s">
        <v>1539</v>
      </c>
      <c r="C2061" s="76" t="s">
        <v>27</v>
      </c>
      <c r="D2061" s="10">
        <v>3600</v>
      </c>
      <c r="E2061" s="10" t="s">
        <v>1536</v>
      </c>
      <c r="F2061" s="163">
        <v>43</v>
      </c>
      <c r="G2061" s="11">
        <f>F2061*34</f>
        <v>1462</v>
      </c>
    </row>
    <row r="2062" spans="1:7">
      <c r="A2062" s="84" t="s">
        <v>1667</v>
      </c>
      <c r="B2062" s="10" t="s">
        <v>1666</v>
      </c>
      <c r="C2062" s="76" t="s">
        <v>29</v>
      </c>
      <c r="D2062" s="10">
        <v>16760</v>
      </c>
      <c r="E2062" s="10" t="s">
        <v>1611</v>
      </c>
      <c r="F2062" s="163">
        <v>50</v>
      </c>
      <c r="G2062" s="11">
        <f t="shared" ref="G2062:G2063" si="95">F2062*21</f>
        <v>1050</v>
      </c>
    </row>
    <row r="2063" spans="1:7">
      <c r="A2063" s="84" t="s">
        <v>1667</v>
      </c>
      <c r="B2063" s="10" t="s">
        <v>1666</v>
      </c>
      <c r="C2063" s="76" t="s">
        <v>29</v>
      </c>
      <c r="D2063" s="10">
        <v>8460</v>
      </c>
      <c r="E2063" s="10" t="s">
        <v>1534</v>
      </c>
      <c r="F2063" s="163">
        <v>95</v>
      </c>
      <c r="G2063" s="11">
        <f t="shared" si="95"/>
        <v>1995</v>
      </c>
    </row>
    <row r="2064" spans="1:7">
      <c r="A2064" s="84" t="s">
        <v>1667</v>
      </c>
      <c r="B2064" s="10" t="s">
        <v>22</v>
      </c>
      <c r="C2064" s="10" t="s">
        <v>24</v>
      </c>
      <c r="D2064" s="10">
        <v>4880</v>
      </c>
      <c r="E2064" s="10" t="s">
        <v>1534</v>
      </c>
      <c r="F2064" s="163">
        <v>35</v>
      </c>
      <c r="G2064" s="11">
        <f t="shared" ref="G2064:G2065" si="96">F2064*45</f>
        <v>1575</v>
      </c>
    </row>
    <row r="2065" spans="1:7">
      <c r="A2065" s="84" t="s">
        <v>1667</v>
      </c>
      <c r="B2065" s="10" t="s">
        <v>1539</v>
      </c>
      <c r="C2065" s="10" t="s">
        <v>24</v>
      </c>
      <c r="D2065" s="10">
        <v>3366</v>
      </c>
      <c r="E2065" s="10" t="s">
        <v>1534</v>
      </c>
      <c r="F2065" s="163">
        <v>25</v>
      </c>
      <c r="G2065" s="11">
        <f t="shared" si="96"/>
        <v>1125</v>
      </c>
    </row>
    <row r="2066" spans="1:7">
      <c r="A2066" s="84" t="s">
        <v>1667</v>
      </c>
      <c r="B2066" s="10" t="s">
        <v>1539</v>
      </c>
      <c r="C2066" s="10" t="s">
        <v>31</v>
      </c>
      <c r="D2066" s="10">
        <v>1620</v>
      </c>
      <c r="E2066" s="10" t="s">
        <v>1536</v>
      </c>
      <c r="F2066" s="163">
        <v>115</v>
      </c>
      <c r="G2066" s="11">
        <f t="shared" ref="G2066:G2067" si="97">F2066*5</f>
        <v>575</v>
      </c>
    </row>
    <row r="2067" spans="1:7">
      <c r="A2067" s="84" t="s">
        <v>1667</v>
      </c>
      <c r="B2067" s="10" t="s">
        <v>22</v>
      </c>
      <c r="C2067" s="10" t="s">
        <v>31</v>
      </c>
      <c r="D2067" s="10">
        <v>4238</v>
      </c>
      <c r="E2067" s="10" t="s">
        <v>1536</v>
      </c>
      <c r="F2067" s="163">
        <v>909</v>
      </c>
      <c r="G2067" s="11">
        <f t="shared" si="97"/>
        <v>4545</v>
      </c>
    </row>
    <row r="2068" spans="1:7">
      <c r="A2068" s="84" t="s">
        <v>1667</v>
      </c>
      <c r="B2068" s="10" t="s">
        <v>22</v>
      </c>
      <c r="C2068" s="76" t="s">
        <v>29</v>
      </c>
      <c r="D2068" s="10">
        <v>4844</v>
      </c>
      <c r="E2068" s="10" t="s">
        <v>1536</v>
      </c>
      <c r="F2068" s="163">
        <v>87</v>
      </c>
      <c r="G2068" s="11">
        <f t="shared" ref="G2068:G2070" si="98">F2068*21</f>
        <v>1827</v>
      </c>
    </row>
    <row r="2069" spans="1:7">
      <c r="A2069" s="84" t="s">
        <v>1668</v>
      </c>
      <c r="B2069" s="10" t="s">
        <v>1666</v>
      </c>
      <c r="C2069" s="76" t="s">
        <v>29</v>
      </c>
      <c r="D2069" s="10">
        <v>16530</v>
      </c>
      <c r="E2069" s="10" t="s">
        <v>1534</v>
      </c>
      <c r="F2069" s="163">
        <v>361</v>
      </c>
      <c r="G2069" s="11">
        <f t="shared" si="98"/>
        <v>7581</v>
      </c>
    </row>
    <row r="2070" spans="1:7">
      <c r="A2070" s="84" t="s">
        <v>1668</v>
      </c>
      <c r="B2070" s="10" t="s">
        <v>1666</v>
      </c>
      <c r="C2070" s="76" t="s">
        <v>29</v>
      </c>
      <c r="D2070" s="10">
        <v>9930</v>
      </c>
      <c r="E2070" s="10" t="s">
        <v>1611</v>
      </c>
      <c r="F2070" s="163">
        <v>72</v>
      </c>
      <c r="G2070" s="11">
        <f t="shared" si="98"/>
        <v>1512</v>
      </c>
    </row>
    <row r="2071" spans="1:7">
      <c r="A2071" s="84" t="s">
        <v>1668</v>
      </c>
      <c r="B2071" s="10" t="s">
        <v>22</v>
      </c>
      <c r="C2071" s="10" t="s">
        <v>24</v>
      </c>
      <c r="D2071" s="10">
        <v>540</v>
      </c>
      <c r="E2071" s="10" t="s">
        <v>1534</v>
      </c>
      <c r="F2071" s="163">
        <v>31</v>
      </c>
      <c r="G2071" s="11">
        <f t="shared" ref="G2071:G2072" si="99">F2071*45</f>
        <v>1395</v>
      </c>
    </row>
    <row r="2072" spans="1:7">
      <c r="A2072" s="84" t="s">
        <v>1668</v>
      </c>
      <c r="B2072" s="10" t="s">
        <v>1539</v>
      </c>
      <c r="C2072" s="10" t="s">
        <v>24</v>
      </c>
      <c r="D2072" s="10">
        <v>570</v>
      </c>
      <c r="E2072" s="10" t="s">
        <v>1534</v>
      </c>
      <c r="F2072" s="163">
        <v>25</v>
      </c>
      <c r="G2072" s="11">
        <f t="shared" si="99"/>
        <v>1125</v>
      </c>
    </row>
    <row r="2073" spans="1:7">
      <c r="A2073" s="84" t="s">
        <v>1668</v>
      </c>
      <c r="B2073" s="10" t="s">
        <v>1539</v>
      </c>
      <c r="C2073" s="68" t="s">
        <v>1533</v>
      </c>
      <c r="D2073" s="10">
        <v>7790</v>
      </c>
      <c r="E2073" s="68" t="s">
        <v>1559</v>
      </c>
      <c r="F2073" s="163">
        <v>0</v>
      </c>
      <c r="G2073" s="11"/>
    </row>
    <row r="2074" spans="1:7">
      <c r="A2074" s="84" t="s">
        <v>1668</v>
      </c>
      <c r="B2074" s="10" t="s">
        <v>1666</v>
      </c>
      <c r="C2074" s="76" t="s">
        <v>29</v>
      </c>
      <c r="D2074" s="5">
        <v>1260</v>
      </c>
      <c r="E2074" s="10" t="s">
        <v>1536</v>
      </c>
      <c r="F2074" s="164">
        <v>10</v>
      </c>
      <c r="G2074" s="11">
        <f t="shared" ref="G2074:G2075" si="100">F2074*21</f>
        <v>210</v>
      </c>
    </row>
    <row r="2075" spans="1:7">
      <c r="A2075" s="84" t="s">
        <v>1668</v>
      </c>
      <c r="B2075" s="5" t="s">
        <v>22</v>
      </c>
      <c r="C2075" s="76" t="s">
        <v>29</v>
      </c>
      <c r="D2075" s="5">
        <v>1676</v>
      </c>
      <c r="E2075" s="10" t="s">
        <v>1536</v>
      </c>
      <c r="F2075" s="164">
        <v>28</v>
      </c>
      <c r="G2075" s="11">
        <f t="shared" si="100"/>
        <v>588</v>
      </c>
    </row>
    <row r="2076" spans="1:7">
      <c r="A2076" s="84" t="s">
        <v>1669</v>
      </c>
      <c r="B2076" s="10" t="s">
        <v>22</v>
      </c>
      <c r="C2076" s="76" t="s">
        <v>27</v>
      </c>
      <c r="D2076" s="10">
        <v>4507</v>
      </c>
      <c r="E2076" s="10" t="s">
        <v>1536</v>
      </c>
      <c r="F2076" s="163">
        <v>116</v>
      </c>
      <c r="G2076" s="11">
        <f>F2076*34</f>
        <v>3944</v>
      </c>
    </row>
    <row r="2077" spans="1:7">
      <c r="A2077" s="84" t="s">
        <v>1669</v>
      </c>
      <c r="B2077" s="10" t="s">
        <v>22</v>
      </c>
      <c r="C2077" s="68" t="s">
        <v>1533</v>
      </c>
      <c r="D2077" s="10">
        <v>13860</v>
      </c>
      <c r="E2077" s="10" t="s">
        <v>1534</v>
      </c>
      <c r="F2077" s="163">
        <v>185</v>
      </c>
      <c r="G2077" s="11"/>
    </row>
    <row r="2078" spans="1:7">
      <c r="A2078" s="84" t="s">
        <v>1669</v>
      </c>
      <c r="B2078" s="10" t="s">
        <v>22</v>
      </c>
      <c r="C2078" s="76" t="s">
        <v>27</v>
      </c>
      <c r="D2078" s="10">
        <v>1980</v>
      </c>
      <c r="E2078" s="10" t="s">
        <v>1534</v>
      </c>
      <c r="F2078" s="163">
        <v>3</v>
      </c>
      <c r="G2078" s="11">
        <f>F2078*34</f>
        <v>102</v>
      </c>
    </row>
    <row r="2079" spans="1:7">
      <c r="A2079" s="84" t="s">
        <v>1669</v>
      </c>
      <c r="B2079" s="10" t="s">
        <v>22</v>
      </c>
      <c r="C2079" s="76" t="s">
        <v>29</v>
      </c>
      <c r="D2079" s="10">
        <v>2440</v>
      </c>
      <c r="E2079" s="10" t="s">
        <v>1536</v>
      </c>
      <c r="F2079" s="163">
        <v>106</v>
      </c>
      <c r="G2079" s="11">
        <f>F2079*21</f>
        <v>2226</v>
      </c>
    </row>
    <row r="2080" spans="1:7">
      <c r="A2080" s="84" t="s">
        <v>1669</v>
      </c>
      <c r="B2080" s="10" t="s">
        <v>22</v>
      </c>
      <c r="C2080" s="10" t="s">
        <v>31</v>
      </c>
      <c r="D2080" s="10">
        <v>11600</v>
      </c>
      <c r="E2080" s="10" t="s">
        <v>1536</v>
      </c>
      <c r="F2080" s="163">
        <v>257</v>
      </c>
      <c r="G2080" s="11">
        <f>F2080*5</f>
        <v>1285</v>
      </c>
    </row>
    <row r="2081" spans="1:7">
      <c r="A2081" s="84" t="s">
        <v>1669</v>
      </c>
      <c r="B2081" s="10" t="s">
        <v>1539</v>
      </c>
      <c r="C2081" s="76" t="s">
        <v>27</v>
      </c>
      <c r="D2081" s="10">
        <v>720</v>
      </c>
      <c r="E2081" s="10" t="s">
        <v>1536</v>
      </c>
      <c r="F2081" s="163">
        <v>7</v>
      </c>
      <c r="G2081" s="11">
        <f>F2081*34</f>
        <v>238</v>
      </c>
    </row>
    <row r="2082" spans="1:7">
      <c r="A2082" s="84" t="s">
        <v>1669</v>
      </c>
      <c r="B2082" s="10" t="s">
        <v>1666</v>
      </c>
      <c r="C2082" s="68" t="s">
        <v>1533</v>
      </c>
      <c r="D2082" s="10">
        <v>20140</v>
      </c>
      <c r="E2082" s="68" t="s">
        <v>1559</v>
      </c>
      <c r="F2082" s="163">
        <v>0</v>
      </c>
      <c r="G2082" s="11"/>
    </row>
    <row r="2083" spans="1:7">
      <c r="A2083" s="84" t="s">
        <v>1670</v>
      </c>
      <c r="B2083" s="10" t="s">
        <v>1539</v>
      </c>
      <c r="C2083" s="76" t="s">
        <v>27</v>
      </c>
      <c r="D2083" s="10">
        <v>720</v>
      </c>
      <c r="E2083" s="10" t="s">
        <v>1534</v>
      </c>
      <c r="F2083" s="163">
        <v>2</v>
      </c>
      <c r="G2083" s="11">
        <f>F2083*34</f>
        <v>68</v>
      </c>
    </row>
    <row r="2084" spans="1:7">
      <c r="A2084" s="84" t="s">
        <v>1670</v>
      </c>
      <c r="B2084" s="10" t="s">
        <v>22</v>
      </c>
      <c r="C2084" s="68" t="s">
        <v>1533</v>
      </c>
      <c r="D2084" s="10">
        <v>7058</v>
      </c>
      <c r="E2084" s="10" t="s">
        <v>1534</v>
      </c>
      <c r="F2084" s="163">
        <v>130</v>
      </c>
      <c r="G2084" s="11"/>
    </row>
    <row r="2085" spans="1:7">
      <c r="A2085" s="84" t="s">
        <v>1670</v>
      </c>
      <c r="B2085" s="10" t="s">
        <v>22</v>
      </c>
      <c r="C2085" s="76" t="s">
        <v>29</v>
      </c>
      <c r="D2085" s="10">
        <v>9360</v>
      </c>
      <c r="E2085" s="10" t="s">
        <v>1536</v>
      </c>
      <c r="F2085" s="163">
        <v>1484</v>
      </c>
      <c r="G2085" s="11">
        <f t="shared" ref="G2085:G2086" si="101">F2085*21</f>
        <v>31164</v>
      </c>
    </row>
    <row r="2086" spans="1:7">
      <c r="A2086" s="84" t="s">
        <v>1670</v>
      </c>
      <c r="B2086" s="10" t="s">
        <v>22</v>
      </c>
      <c r="C2086" s="76" t="s">
        <v>29</v>
      </c>
      <c r="D2086" s="10">
        <v>1370</v>
      </c>
      <c r="E2086" s="10" t="s">
        <v>1536</v>
      </c>
      <c r="F2086" s="163">
        <v>25</v>
      </c>
      <c r="G2086" s="11">
        <f t="shared" si="101"/>
        <v>525</v>
      </c>
    </row>
    <row r="2087" spans="1:7">
      <c r="A2087" s="84" t="s">
        <v>1670</v>
      </c>
      <c r="B2087" s="10" t="s">
        <v>1539</v>
      </c>
      <c r="C2087" s="76" t="s">
        <v>27</v>
      </c>
      <c r="D2087" s="10">
        <v>4927</v>
      </c>
      <c r="E2087" s="10" t="s">
        <v>1536</v>
      </c>
      <c r="F2087" s="163">
        <v>67</v>
      </c>
      <c r="G2087" s="11">
        <f>F2087*34</f>
        <v>2278</v>
      </c>
    </row>
    <row r="2088" spans="1:7">
      <c r="A2088" s="84" t="s">
        <v>1670</v>
      </c>
      <c r="B2088" s="10" t="s">
        <v>1666</v>
      </c>
      <c r="C2088" s="68" t="s">
        <v>1533</v>
      </c>
      <c r="D2088" s="10">
        <v>9310</v>
      </c>
      <c r="E2088" s="68" t="s">
        <v>1559</v>
      </c>
      <c r="F2088" s="163">
        <v>0</v>
      </c>
      <c r="G2088" s="11"/>
    </row>
    <row r="2089" spans="1:7">
      <c r="A2089" s="84" t="s">
        <v>1670</v>
      </c>
      <c r="B2089" s="10" t="s">
        <v>22</v>
      </c>
      <c r="C2089" s="68" t="s">
        <v>1533</v>
      </c>
      <c r="D2089" s="10">
        <v>4560</v>
      </c>
      <c r="E2089" s="10" t="s">
        <v>1611</v>
      </c>
      <c r="F2089" s="163">
        <v>190</v>
      </c>
      <c r="G2089" s="11"/>
    </row>
    <row r="2090" spans="1:7">
      <c r="A2090" s="67" t="s">
        <v>1671</v>
      </c>
      <c r="B2090" s="10" t="s">
        <v>22</v>
      </c>
      <c r="C2090" s="76" t="s">
        <v>29</v>
      </c>
      <c r="D2090" s="10">
        <v>8750</v>
      </c>
      <c r="E2090" s="10" t="s">
        <v>1536</v>
      </c>
      <c r="F2090" s="164">
        <v>1383</v>
      </c>
      <c r="G2090" s="11">
        <f>F2090*21</f>
        <v>29043</v>
      </c>
    </row>
    <row r="2091" spans="1:7">
      <c r="A2091" s="67" t="s">
        <v>1672</v>
      </c>
      <c r="B2091" s="5" t="s">
        <v>22</v>
      </c>
      <c r="C2091" s="68" t="s">
        <v>1533</v>
      </c>
      <c r="D2091" s="10">
        <v>5003</v>
      </c>
      <c r="E2091" s="5" t="s">
        <v>1534</v>
      </c>
      <c r="F2091" s="164">
        <f>160+12</f>
        <v>172</v>
      </c>
      <c r="G2091" s="11"/>
    </row>
    <row r="2092" spans="1:7">
      <c r="A2092" s="67" t="s">
        <v>1672</v>
      </c>
      <c r="B2092" s="5" t="s">
        <v>1539</v>
      </c>
      <c r="C2092" s="68" t="s">
        <v>1533</v>
      </c>
      <c r="D2092" s="10">
        <v>1260</v>
      </c>
      <c r="E2092" s="5" t="s">
        <v>1534</v>
      </c>
      <c r="F2092" s="164">
        <v>10</v>
      </c>
      <c r="G2092" s="11"/>
    </row>
    <row r="2093" spans="1:7">
      <c r="A2093" s="67" t="s">
        <v>1672</v>
      </c>
      <c r="B2093" s="5" t="s">
        <v>22</v>
      </c>
      <c r="C2093" s="76" t="s">
        <v>29</v>
      </c>
      <c r="D2093" s="10">
        <v>9010</v>
      </c>
      <c r="E2093" s="5" t="s">
        <v>1536</v>
      </c>
      <c r="F2093" s="164">
        <v>2152</v>
      </c>
      <c r="G2093" s="11">
        <f>F2093*21</f>
        <v>45192</v>
      </c>
    </row>
    <row r="2094" spans="1:7">
      <c r="A2094" s="67" t="s">
        <v>1673</v>
      </c>
      <c r="B2094" s="10" t="s">
        <v>22</v>
      </c>
      <c r="C2094" s="10" t="s">
        <v>24</v>
      </c>
      <c r="D2094" s="10">
        <v>8262</v>
      </c>
      <c r="E2094" s="10" t="s">
        <v>1531</v>
      </c>
      <c r="F2094" s="163">
        <v>62</v>
      </c>
      <c r="G2094" s="11">
        <f>F2094*45</f>
        <v>2790</v>
      </c>
    </row>
    <row r="2095" spans="1:7">
      <c r="A2095" s="67" t="s">
        <v>1673</v>
      </c>
      <c r="B2095" s="10" t="s">
        <v>1539</v>
      </c>
      <c r="C2095" s="68" t="s">
        <v>1533</v>
      </c>
      <c r="D2095" s="10">
        <v>2317</v>
      </c>
      <c r="E2095" s="10" t="s">
        <v>1534</v>
      </c>
      <c r="F2095" s="163">
        <v>38</v>
      </c>
      <c r="G2095" s="11"/>
    </row>
    <row r="2096" spans="1:7">
      <c r="A2096" s="67" t="s">
        <v>1673</v>
      </c>
      <c r="B2096" s="10" t="s">
        <v>22</v>
      </c>
      <c r="C2096" s="68" t="s">
        <v>1533</v>
      </c>
      <c r="D2096" s="10">
        <v>12146</v>
      </c>
      <c r="E2096" s="10" t="s">
        <v>1534</v>
      </c>
      <c r="F2096" s="163">
        <v>185</v>
      </c>
      <c r="G2096" s="11"/>
    </row>
    <row r="2097" spans="1:7">
      <c r="A2097" s="67" t="s">
        <v>1673</v>
      </c>
      <c r="B2097" s="10" t="s">
        <v>22</v>
      </c>
      <c r="C2097" s="76" t="s">
        <v>27</v>
      </c>
      <c r="D2097" s="10">
        <v>4851</v>
      </c>
      <c r="E2097" s="10" t="s">
        <v>1536</v>
      </c>
      <c r="F2097" s="163">
        <v>106</v>
      </c>
      <c r="G2097" s="11">
        <f>F2097*34</f>
        <v>3604</v>
      </c>
    </row>
    <row r="2098" spans="1:7">
      <c r="A2098" s="67" t="s">
        <v>1673</v>
      </c>
      <c r="B2098" s="10" t="s">
        <v>22</v>
      </c>
      <c r="C2098" s="76" t="s">
        <v>29</v>
      </c>
      <c r="D2098" s="10">
        <v>10210</v>
      </c>
      <c r="E2098" s="10" t="s">
        <v>1550</v>
      </c>
      <c r="F2098" s="163">
        <v>0</v>
      </c>
      <c r="G2098" s="11">
        <f>F2098*21</f>
        <v>0</v>
      </c>
    </row>
    <row r="2099" spans="1:7">
      <c r="A2099" s="67" t="s">
        <v>1673</v>
      </c>
      <c r="B2099" s="10" t="s">
        <v>22</v>
      </c>
      <c r="C2099" s="68" t="s">
        <v>1533</v>
      </c>
      <c r="D2099" s="10">
        <v>8990</v>
      </c>
      <c r="E2099" s="10" t="s">
        <v>1536</v>
      </c>
      <c r="F2099" s="163">
        <v>753</v>
      </c>
      <c r="G2099" s="11"/>
    </row>
    <row r="2100" spans="1:7">
      <c r="A2100" s="67" t="s">
        <v>1674</v>
      </c>
      <c r="B2100" s="10" t="s">
        <v>22</v>
      </c>
      <c r="C2100" s="76" t="s">
        <v>27</v>
      </c>
      <c r="D2100" s="10">
        <v>4005</v>
      </c>
      <c r="E2100" s="10" t="s">
        <v>1536</v>
      </c>
      <c r="F2100" s="163">
        <v>88</v>
      </c>
      <c r="G2100" s="11">
        <f>F2100*34</f>
        <v>2992</v>
      </c>
    </row>
    <row r="2101" spans="1:7">
      <c r="A2101" s="67" t="s">
        <v>1674</v>
      </c>
      <c r="B2101" s="10" t="s">
        <v>22</v>
      </c>
      <c r="C2101" s="68" t="s">
        <v>1533</v>
      </c>
      <c r="D2101" s="10">
        <v>13610</v>
      </c>
      <c r="E2101" s="10" t="s">
        <v>1531</v>
      </c>
      <c r="F2101" s="163">
        <v>35</v>
      </c>
      <c r="G2101" s="11"/>
    </row>
    <row r="2102" spans="1:7">
      <c r="A2102" s="67" t="s">
        <v>1674</v>
      </c>
      <c r="B2102" s="10" t="s">
        <v>22</v>
      </c>
      <c r="C2102" s="76" t="s">
        <v>29</v>
      </c>
      <c r="D2102" s="10">
        <v>9940</v>
      </c>
      <c r="E2102" s="10" t="s">
        <v>1550</v>
      </c>
      <c r="F2102" s="163">
        <v>0</v>
      </c>
      <c r="G2102" s="11">
        <f>F2102*21</f>
        <v>0</v>
      </c>
    </row>
    <row r="2103" spans="1:7">
      <c r="A2103" s="67" t="s">
        <v>1674</v>
      </c>
      <c r="B2103" s="10" t="s">
        <v>22</v>
      </c>
      <c r="C2103" s="68" t="s">
        <v>1533</v>
      </c>
      <c r="D2103" s="10">
        <v>8932</v>
      </c>
      <c r="E2103" s="10" t="s">
        <v>1536</v>
      </c>
      <c r="F2103" s="163">
        <v>1583</v>
      </c>
      <c r="G2103" s="11"/>
    </row>
    <row r="2104" spans="1:7">
      <c r="A2104" s="67" t="s">
        <v>1675</v>
      </c>
      <c r="B2104" s="10" t="s">
        <v>22</v>
      </c>
      <c r="C2104" s="68" t="s">
        <v>1533</v>
      </c>
      <c r="D2104" s="10">
        <v>10800</v>
      </c>
      <c r="E2104" s="10" t="s">
        <v>1531</v>
      </c>
      <c r="F2104" s="163">
        <v>48</v>
      </c>
      <c r="G2104" s="11"/>
    </row>
    <row r="2105" spans="1:7">
      <c r="A2105" s="67" t="s">
        <v>1675</v>
      </c>
      <c r="B2105" s="10" t="s">
        <v>22</v>
      </c>
      <c r="C2105" s="76" t="s">
        <v>27</v>
      </c>
      <c r="D2105" s="10">
        <v>3092</v>
      </c>
      <c r="E2105" s="10" t="s">
        <v>1536</v>
      </c>
      <c r="F2105" s="163">
        <v>173</v>
      </c>
      <c r="G2105" s="11">
        <f t="shared" ref="G2105:G2106" si="102">F2105*34</f>
        <v>5882</v>
      </c>
    </row>
    <row r="2106" spans="1:7">
      <c r="A2106" s="67" t="s">
        <v>1675</v>
      </c>
      <c r="B2106" s="10" t="s">
        <v>22</v>
      </c>
      <c r="C2106" s="76" t="s">
        <v>27</v>
      </c>
      <c r="D2106" s="10">
        <v>11689</v>
      </c>
      <c r="E2106" s="10" t="s">
        <v>1534</v>
      </c>
      <c r="F2106" s="163">
        <v>235</v>
      </c>
      <c r="G2106" s="11">
        <f t="shared" si="102"/>
        <v>7990</v>
      </c>
    </row>
    <row r="2107" spans="1:7">
      <c r="A2107" s="67" t="s">
        <v>1675</v>
      </c>
      <c r="B2107" s="10" t="s">
        <v>22</v>
      </c>
      <c r="C2107" s="76" t="s">
        <v>29</v>
      </c>
      <c r="D2107" s="10">
        <v>11102</v>
      </c>
      <c r="E2107" s="10" t="s">
        <v>1550</v>
      </c>
      <c r="F2107" s="163">
        <v>0</v>
      </c>
      <c r="G2107" s="11">
        <f>F2107*21</f>
        <v>0</v>
      </c>
    </row>
    <row r="2108" spans="1:7">
      <c r="A2108" s="67" t="s">
        <v>1675</v>
      </c>
      <c r="B2108" s="10" t="s">
        <v>22</v>
      </c>
      <c r="C2108" s="68" t="s">
        <v>1533</v>
      </c>
      <c r="D2108" s="10">
        <v>9000</v>
      </c>
      <c r="E2108" s="10" t="s">
        <v>1536</v>
      </c>
      <c r="F2108" s="163">
        <v>1006</v>
      </c>
      <c r="G2108" s="11"/>
    </row>
    <row r="2109" spans="1:7">
      <c r="A2109" s="67" t="s">
        <v>1676</v>
      </c>
      <c r="B2109" s="10" t="s">
        <v>22</v>
      </c>
      <c r="C2109" s="68" t="s">
        <v>1533</v>
      </c>
      <c r="D2109" s="10">
        <v>2751</v>
      </c>
      <c r="E2109" s="10" t="s">
        <v>1531</v>
      </c>
      <c r="F2109" s="163">
        <v>28</v>
      </c>
      <c r="G2109" s="11"/>
    </row>
    <row r="2110" spans="1:7">
      <c r="A2110" s="67" t="s">
        <v>1676</v>
      </c>
      <c r="B2110" s="10" t="s">
        <v>22</v>
      </c>
      <c r="C2110" s="10" t="s">
        <v>31</v>
      </c>
      <c r="D2110" s="10">
        <v>5060</v>
      </c>
      <c r="E2110" s="10" t="s">
        <v>1611</v>
      </c>
      <c r="F2110" s="163">
        <v>163</v>
      </c>
      <c r="G2110" s="11">
        <f>F2110*5</f>
        <v>815</v>
      </c>
    </row>
    <row r="2111" spans="1:7">
      <c r="A2111" s="67" t="s">
        <v>1676</v>
      </c>
      <c r="B2111" s="10" t="s">
        <v>22</v>
      </c>
      <c r="C2111" s="76" t="s">
        <v>27</v>
      </c>
      <c r="D2111" s="10">
        <v>5884</v>
      </c>
      <c r="E2111" s="10" t="s">
        <v>1534</v>
      </c>
      <c r="F2111" s="163">
        <v>42</v>
      </c>
      <c r="G2111" s="11">
        <f t="shared" ref="G2111:G2112" si="103">F2111*34</f>
        <v>1428</v>
      </c>
    </row>
    <row r="2112" spans="1:7">
      <c r="A2112" s="67" t="s">
        <v>1676</v>
      </c>
      <c r="B2112" s="10" t="s">
        <v>22</v>
      </c>
      <c r="C2112" s="76" t="s">
        <v>27</v>
      </c>
      <c r="D2112" s="10">
        <v>3001</v>
      </c>
      <c r="E2112" s="10" t="s">
        <v>1536</v>
      </c>
      <c r="F2112" s="163">
        <v>176</v>
      </c>
      <c r="G2112" s="11">
        <f t="shared" si="103"/>
        <v>5984</v>
      </c>
    </row>
    <row r="2113" spans="1:7">
      <c r="A2113" s="67" t="s">
        <v>1676</v>
      </c>
      <c r="B2113" s="10" t="s">
        <v>22</v>
      </c>
      <c r="C2113" s="76" t="s">
        <v>29</v>
      </c>
      <c r="D2113" s="10">
        <v>10377</v>
      </c>
      <c r="E2113" s="10" t="s">
        <v>1550</v>
      </c>
      <c r="F2113" s="163">
        <v>0</v>
      </c>
      <c r="G2113" s="11">
        <f>F2113*21</f>
        <v>0</v>
      </c>
    </row>
    <row r="2114" spans="1:7">
      <c r="A2114" s="67" t="s">
        <v>1676</v>
      </c>
      <c r="B2114" s="10" t="s">
        <v>22</v>
      </c>
      <c r="C2114" s="68" t="s">
        <v>1533</v>
      </c>
      <c r="D2114" s="10">
        <v>4430</v>
      </c>
      <c r="E2114" s="10" t="s">
        <v>1536</v>
      </c>
      <c r="F2114" s="163">
        <v>716</v>
      </c>
      <c r="G2114" s="11"/>
    </row>
    <row r="2115" spans="1:7">
      <c r="A2115" s="67" t="s">
        <v>1676</v>
      </c>
      <c r="B2115" s="10" t="s">
        <v>22</v>
      </c>
      <c r="C2115" s="68" t="s">
        <v>1533</v>
      </c>
      <c r="D2115" s="10">
        <v>2090</v>
      </c>
      <c r="E2115" s="68" t="s">
        <v>1559</v>
      </c>
      <c r="F2115" s="163">
        <v>0</v>
      </c>
      <c r="G2115" s="11"/>
    </row>
    <row r="2116" spans="1:7">
      <c r="A2116" s="67" t="s">
        <v>1677</v>
      </c>
      <c r="B2116" s="10" t="s">
        <v>22</v>
      </c>
      <c r="C2116" s="76" t="s">
        <v>27</v>
      </c>
      <c r="D2116" s="10">
        <v>3482</v>
      </c>
      <c r="E2116" s="10" t="s">
        <v>1536</v>
      </c>
      <c r="F2116" s="163">
        <v>111</v>
      </c>
      <c r="G2116" s="11">
        <f t="shared" ref="G2116:G2117" si="104">F2116*34</f>
        <v>3774</v>
      </c>
    </row>
    <row r="2117" spans="1:7">
      <c r="A2117" s="67" t="s">
        <v>1677</v>
      </c>
      <c r="B2117" s="10" t="s">
        <v>22</v>
      </c>
      <c r="C2117" s="76" t="s">
        <v>27</v>
      </c>
      <c r="D2117" s="10">
        <v>5744</v>
      </c>
      <c r="E2117" s="10" t="s">
        <v>1534</v>
      </c>
      <c r="F2117" s="163">
        <v>128</v>
      </c>
      <c r="G2117" s="11">
        <f t="shared" si="104"/>
        <v>4352</v>
      </c>
    </row>
    <row r="2118" spans="1:7">
      <c r="A2118" s="67" t="s">
        <v>1677</v>
      </c>
      <c r="B2118" s="10" t="s">
        <v>22</v>
      </c>
      <c r="C2118" s="10" t="s">
        <v>31</v>
      </c>
      <c r="D2118" s="10">
        <v>3060</v>
      </c>
      <c r="E2118" s="10" t="s">
        <v>1611</v>
      </c>
      <c r="F2118" s="163">
        <v>144</v>
      </c>
      <c r="G2118" s="11">
        <f>F2118*5</f>
        <v>720</v>
      </c>
    </row>
    <row r="2119" spans="1:7">
      <c r="A2119" s="67" t="s">
        <v>1677</v>
      </c>
      <c r="B2119" s="10" t="s">
        <v>22</v>
      </c>
      <c r="C2119" s="76" t="s">
        <v>29</v>
      </c>
      <c r="D2119" s="10">
        <v>3492</v>
      </c>
      <c r="E2119" s="10" t="s">
        <v>1550</v>
      </c>
      <c r="F2119" s="163">
        <v>0</v>
      </c>
      <c r="G2119" s="11">
        <f>F2119*21</f>
        <v>0</v>
      </c>
    </row>
    <row r="2120" spans="1:7">
      <c r="A2120" s="67" t="s">
        <v>1677</v>
      </c>
      <c r="B2120" s="10" t="s">
        <v>22</v>
      </c>
      <c r="C2120" s="76" t="s">
        <v>27</v>
      </c>
      <c r="D2120" s="10">
        <v>2240</v>
      </c>
      <c r="E2120" s="10" t="s">
        <v>1550</v>
      </c>
      <c r="F2120" s="163">
        <v>0</v>
      </c>
      <c r="G2120" s="11">
        <f>F2120*34</f>
        <v>0</v>
      </c>
    </row>
    <row r="2121" spans="1:7">
      <c r="A2121" s="67" t="s">
        <v>1677</v>
      </c>
      <c r="B2121" s="10" t="s">
        <v>22</v>
      </c>
      <c r="C2121" s="68" t="s">
        <v>1533</v>
      </c>
      <c r="D2121" s="10">
        <v>755</v>
      </c>
      <c r="E2121" s="10" t="s">
        <v>1536</v>
      </c>
      <c r="F2121" s="163">
        <f>86-11</f>
        <v>75</v>
      </c>
      <c r="G2121" s="11"/>
    </row>
    <row r="2122" spans="1:7">
      <c r="A2122" s="67" t="s">
        <v>1677</v>
      </c>
      <c r="B2122" s="10" t="s">
        <v>1539</v>
      </c>
      <c r="C2122" s="68" t="s">
        <v>1533</v>
      </c>
      <c r="D2122" s="10">
        <v>3420</v>
      </c>
      <c r="E2122" s="10" t="s">
        <v>1536</v>
      </c>
      <c r="F2122" s="163">
        <v>611</v>
      </c>
      <c r="G2122" s="11"/>
    </row>
    <row r="2123" spans="1:7">
      <c r="A2123" s="67" t="s">
        <v>1678</v>
      </c>
      <c r="B2123" s="10" t="s">
        <v>22</v>
      </c>
      <c r="C2123" s="76" t="s">
        <v>27</v>
      </c>
      <c r="D2123" s="10">
        <v>3366</v>
      </c>
      <c r="E2123" s="10" t="s">
        <v>1536</v>
      </c>
      <c r="F2123" s="163">
        <v>128</v>
      </c>
      <c r="G2123" s="11">
        <f t="shared" ref="G2123:G2125" si="105">F2123*34</f>
        <v>4352</v>
      </c>
    </row>
    <row r="2124" spans="1:7">
      <c r="A2124" s="67" t="s">
        <v>1678</v>
      </c>
      <c r="B2124" s="10" t="s">
        <v>22</v>
      </c>
      <c r="C2124" s="76" t="s">
        <v>27</v>
      </c>
      <c r="D2124" s="10">
        <v>4873</v>
      </c>
      <c r="E2124" s="10" t="s">
        <v>1534</v>
      </c>
      <c r="F2124" s="163">
        <v>253</v>
      </c>
      <c r="G2124" s="11">
        <f t="shared" si="105"/>
        <v>8602</v>
      </c>
    </row>
    <row r="2125" spans="1:7">
      <c r="A2125" s="67" t="s">
        <v>1678</v>
      </c>
      <c r="B2125" s="10" t="s">
        <v>22</v>
      </c>
      <c r="C2125" s="76" t="s">
        <v>27</v>
      </c>
      <c r="D2125" s="10">
        <v>14626</v>
      </c>
      <c r="E2125" s="10" t="s">
        <v>1550</v>
      </c>
      <c r="F2125" s="163">
        <v>0</v>
      </c>
      <c r="G2125" s="11">
        <f t="shared" si="105"/>
        <v>0</v>
      </c>
    </row>
    <row r="2126" spans="1:7">
      <c r="A2126" s="67" t="s">
        <v>1678</v>
      </c>
      <c r="B2126" s="10" t="s">
        <v>22</v>
      </c>
      <c r="C2126" s="76" t="s">
        <v>29</v>
      </c>
      <c r="D2126" s="10">
        <v>6073</v>
      </c>
      <c r="E2126" s="10" t="s">
        <v>1550</v>
      </c>
      <c r="F2126" s="163">
        <v>0</v>
      </c>
      <c r="G2126" s="11">
        <f>F2126*21</f>
        <v>0</v>
      </c>
    </row>
    <row r="2127" spans="1:7">
      <c r="A2127" s="67" t="s">
        <v>1679</v>
      </c>
      <c r="B2127" s="10" t="s">
        <v>22</v>
      </c>
      <c r="C2127" s="68" t="s">
        <v>1533</v>
      </c>
      <c r="D2127" s="10">
        <v>1943</v>
      </c>
      <c r="E2127" s="10" t="s">
        <v>1536</v>
      </c>
      <c r="F2127" s="163">
        <v>93</v>
      </c>
      <c r="G2127" s="11"/>
    </row>
    <row r="2128" spans="1:7">
      <c r="A2128" s="67" t="s">
        <v>1679</v>
      </c>
      <c r="B2128" s="10" t="s">
        <v>22</v>
      </c>
      <c r="C2128" s="76" t="s">
        <v>27</v>
      </c>
      <c r="D2128" s="10">
        <v>1224</v>
      </c>
      <c r="E2128" s="10" t="s">
        <v>1536</v>
      </c>
      <c r="F2128" s="163">
        <v>79</v>
      </c>
      <c r="G2128" s="11">
        <f t="shared" ref="G2128:G2130" si="106">F2128*34</f>
        <v>2686</v>
      </c>
    </row>
    <row r="2129" spans="1:7">
      <c r="A2129" s="67" t="s">
        <v>1679</v>
      </c>
      <c r="B2129" s="10" t="s">
        <v>22</v>
      </c>
      <c r="C2129" s="76" t="s">
        <v>27</v>
      </c>
      <c r="D2129" s="10">
        <v>4545</v>
      </c>
      <c r="E2129" s="10" t="s">
        <v>1534</v>
      </c>
      <c r="F2129" s="163">
        <v>118</v>
      </c>
      <c r="G2129" s="11">
        <f t="shared" si="106"/>
        <v>4012</v>
      </c>
    </row>
    <row r="2130" spans="1:7">
      <c r="A2130" s="67" t="s">
        <v>1679</v>
      </c>
      <c r="B2130" s="10" t="s">
        <v>1539</v>
      </c>
      <c r="C2130" s="76" t="s">
        <v>27</v>
      </c>
      <c r="D2130" s="10">
        <v>900</v>
      </c>
      <c r="E2130" s="10" t="s">
        <v>1534</v>
      </c>
      <c r="F2130" s="163">
        <v>40</v>
      </c>
      <c r="G2130" s="11">
        <f t="shared" si="106"/>
        <v>1360</v>
      </c>
    </row>
    <row r="2131" spans="1:7">
      <c r="A2131" s="67" t="s">
        <v>1679</v>
      </c>
      <c r="B2131" s="10" t="s">
        <v>22</v>
      </c>
      <c r="C2131" s="76" t="s">
        <v>29</v>
      </c>
      <c r="D2131" s="10">
        <v>4900</v>
      </c>
      <c r="E2131" s="10" t="s">
        <v>1550</v>
      </c>
      <c r="F2131" s="163">
        <v>0</v>
      </c>
      <c r="G2131" s="11">
        <f>F2131*21</f>
        <v>0</v>
      </c>
    </row>
    <row r="2132" spans="1:7">
      <c r="A2132" s="67" t="s">
        <v>1679</v>
      </c>
      <c r="B2132" s="10" t="s">
        <v>1539</v>
      </c>
      <c r="C2132" s="68" t="s">
        <v>1533</v>
      </c>
      <c r="D2132" s="10">
        <v>2880</v>
      </c>
      <c r="E2132" s="10" t="s">
        <v>1536</v>
      </c>
      <c r="F2132" s="163">
        <v>70</v>
      </c>
      <c r="G2132" s="11"/>
    </row>
    <row r="2133" spans="1:7">
      <c r="A2133" s="67" t="s">
        <v>1679</v>
      </c>
      <c r="B2133" s="10" t="s">
        <v>22</v>
      </c>
      <c r="C2133" s="68" t="s">
        <v>1533</v>
      </c>
      <c r="D2133" s="10">
        <v>740</v>
      </c>
      <c r="E2133" s="10" t="s">
        <v>1536</v>
      </c>
      <c r="F2133" s="163">
        <v>28</v>
      </c>
      <c r="G2133" s="11"/>
    </row>
    <row r="2134" spans="1:7">
      <c r="A2134" s="67" t="s">
        <v>1680</v>
      </c>
      <c r="B2134" s="10" t="s">
        <v>22</v>
      </c>
      <c r="C2134" s="76" t="s">
        <v>27</v>
      </c>
      <c r="D2134" s="10">
        <v>7876</v>
      </c>
      <c r="E2134" s="10" t="s">
        <v>1536</v>
      </c>
      <c r="F2134" s="163">
        <v>105</v>
      </c>
      <c r="G2134" s="11">
        <f t="shared" ref="G2134:G2136" si="107">F2134*34</f>
        <v>3570</v>
      </c>
    </row>
    <row r="2135" spans="1:7">
      <c r="A2135" s="67" t="s">
        <v>1680</v>
      </c>
      <c r="B2135" s="10" t="s">
        <v>22</v>
      </c>
      <c r="C2135" s="76" t="s">
        <v>27</v>
      </c>
      <c r="D2135" s="10">
        <v>3432</v>
      </c>
      <c r="E2135" s="10" t="s">
        <v>1536</v>
      </c>
      <c r="F2135" s="163">
        <v>120</v>
      </c>
      <c r="G2135" s="11">
        <f t="shared" si="107"/>
        <v>4080</v>
      </c>
    </row>
    <row r="2136" spans="1:7">
      <c r="A2136" s="67" t="s">
        <v>1680</v>
      </c>
      <c r="B2136" s="10" t="s">
        <v>22</v>
      </c>
      <c r="C2136" s="76" t="s">
        <v>27</v>
      </c>
      <c r="D2136" s="10">
        <v>12090</v>
      </c>
      <c r="E2136" s="10" t="s">
        <v>1534</v>
      </c>
      <c r="F2136" s="163">
        <v>214</v>
      </c>
      <c r="G2136" s="11">
        <f t="shared" si="107"/>
        <v>7276</v>
      </c>
    </row>
    <row r="2137" spans="1:7">
      <c r="A2137" s="67" t="s">
        <v>1680</v>
      </c>
      <c r="B2137" s="10" t="s">
        <v>1539</v>
      </c>
      <c r="C2137" s="10" t="s">
        <v>24</v>
      </c>
      <c r="D2137" s="10">
        <v>6273</v>
      </c>
      <c r="E2137" s="10" t="s">
        <v>1611</v>
      </c>
      <c r="F2137" s="163">
        <v>13</v>
      </c>
      <c r="G2137" s="11">
        <f t="shared" ref="G2137:G2138" si="108">F2137*45</f>
        <v>585</v>
      </c>
    </row>
    <row r="2138" spans="1:7">
      <c r="A2138" s="67" t="s">
        <v>1681</v>
      </c>
      <c r="B2138" s="10" t="s">
        <v>1539</v>
      </c>
      <c r="C2138" s="10" t="s">
        <v>24</v>
      </c>
      <c r="D2138" s="10">
        <v>3140</v>
      </c>
      <c r="E2138" s="10" t="s">
        <v>1611</v>
      </c>
      <c r="F2138" s="163">
        <v>20</v>
      </c>
      <c r="G2138" s="11">
        <f t="shared" si="108"/>
        <v>900</v>
      </c>
    </row>
    <row r="2139" spans="1:7">
      <c r="A2139" s="67" t="s">
        <v>1681</v>
      </c>
      <c r="B2139" s="10" t="s">
        <v>22</v>
      </c>
      <c r="C2139" s="76" t="s">
        <v>27</v>
      </c>
      <c r="D2139" s="10">
        <v>9418</v>
      </c>
      <c r="E2139" s="10" t="s">
        <v>1534</v>
      </c>
      <c r="F2139" s="163">
        <v>175</v>
      </c>
      <c r="G2139" s="11">
        <f t="shared" ref="G2139:G2142" si="109">F2139*34</f>
        <v>5950</v>
      </c>
    </row>
    <row r="2140" spans="1:7">
      <c r="A2140" s="67" t="s">
        <v>1681</v>
      </c>
      <c r="B2140" s="10" t="s">
        <v>22</v>
      </c>
      <c r="C2140" s="76" t="s">
        <v>27</v>
      </c>
      <c r="D2140" s="10">
        <v>3058</v>
      </c>
      <c r="E2140" s="10" t="s">
        <v>1536</v>
      </c>
      <c r="F2140" s="163">
        <v>0</v>
      </c>
      <c r="G2140" s="11">
        <f t="shared" si="109"/>
        <v>0</v>
      </c>
    </row>
    <row r="2141" spans="1:7">
      <c r="A2141" s="38" t="s">
        <v>1682</v>
      </c>
      <c r="B2141" s="10" t="s">
        <v>22</v>
      </c>
      <c r="C2141" s="76" t="s">
        <v>27</v>
      </c>
      <c r="D2141" s="10">
        <v>8226</v>
      </c>
      <c r="E2141" s="10" t="s">
        <v>1536</v>
      </c>
      <c r="F2141" s="163">
        <v>197</v>
      </c>
      <c r="G2141" s="11">
        <f t="shared" si="109"/>
        <v>6698</v>
      </c>
    </row>
    <row r="2142" spans="1:7">
      <c r="A2142" s="38" t="s">
        <v>1682</v>
      </c>
      <c r="B2142" s="10" t="s">
        <v>22</v>
      </c>
      <c r="C2142" s="76" t="s">
        <v>27</v>
      </c>
      <c r="D2142" s="10">
        <v>15879</v>
      </c>
      <c r="E2142" s="10" t="s">
        <v>1534</v>
      </c>
      <c r="F2142" s="163">
        <f>81+281</f>
        <v>362</v>
      </c>
      <c r="G2142" s="11">
        <f t="shared" si="109"/>
        <v>12308</v>
      </c>
    </row>
    <row r="2143" spans="1:7">
      <c r="A2143" s="38" t="s">
        <v>1682</v>
      </c>
      <c r="B2143" s="10" t="s">
        <v>1539</v>
      </c>
      <c r="C2143" s="10" t="s">
        <v>24</v>
      </c>
      <c r="D2143" s="10">
        <v>5508</v>
      </c>
      <c r="E2143" s="10" t="s">
        <v>1611</v>
      </c>
      <c r="F2143" s="163">
        <v>20</v>
      </c>
      <c r="G2143" s="11">
        <f t="shared" ref="G2143:G2144" si="110">F2143*45</f>
        <v>900</v>
      </c>
    </row>
    <row r="2144" spans="1:7">
      <c r="A2144" s="38" t="s">
        <v>1682</v>
      </c>
      <c r="B2144" s="10" t="s">
        <v>22</v>
      </c>
      <c r="C2144" s="10" t="s">
        <v>24</v>
      </c>
      <c r="D2144" s="10">
        <v>549</v>
      </c>
      <c r="E2144" s="10" t="s">
        <v>1611</v>
      </c>
      <c r="F2144" s="163">
        <v>0</v>
      </c>
      <c r="G2144" s="11">
        <f t="shared" si="110"/>
        <v>0</v>
      </c>
    </row>
    <row r="2145" spans="1:7">
      <c r="A2145" s="77" t="s">
        <v>1683</v>
      </c>
      <c r="B2145" s="10" t="s">
        <v>22</v>
      </c>
      <c r="C2145" s="76" t="s">
        <v>27</v>
      </c>
      <c r="D2145" s="10">
        <v>2929</v>
      </c>
      <c r="E2145" s="10" t="s">
        <v>1536</v>
      </c>
      <c r="F2145" s="163">
        <v>50</v>
      </c>
      <c r="G2145" s="11">
        <f>F2145*34</f>
        <v>1700</v>
      </c>
    </row>
    <row r="2146" spans="1:7">
      <c r="A2146" s="77" t="s">
        <v>1683</v>
      </c>
      <c r="B2146" s="10" t="s">
        <v>1539</v>
      </c>
      <c r="C2146" s="68" t="s">
        <v>1533</v>
      </c>
      <c r="D2146" s="10">
        <v>4330</v>
      </c>
      <c r="E2146" s="10" t="s">
        <v>1536</v>
      </c>
      <c r="F2146" s="163">
        <v>109</v>
      </c>
      <c r="G2146" s="11"/>
    </row>
    <row r="2147" spans="1:7">
      <c r="A2147" s="77" t="s">
        <v>1683</v>
      </c>
      <c r="B2147" s="10" t="s">
        <v>22</v>
      </c>
      <c r="C2147" s="76" t="s">
        <v>27</v>
      </c>
      <c r="D2147" s="10">
        <v>3290</v>
      </c>
      <c r="E2147" s="10" t="s">
        <v>1534</v>
      </c>
      <c r="F2147" s="163">
        <f>100-82</f>
        <v>18</v>
      </c>
      <c r="G2147" s="11">
        <f>F2147*34</f>
        <v>612</v>
      </c>
    </row>
    <row r="2148" spans="1:7">
      <c r="A2148" s="77" t="s">
        <v>1683</v>
      </c>
      <c r="B2148" s="10" t="s">
        <v>1539</v>
      </c>
      <c r="C2148" s="68" t="s">
        <v>1533</v>
      </c>
      <c r="D2148" s="10">
        <v>5130</v>
      </c>
      <c r="E2148" s="10" t="s">
        <v>1534</v>
      </c>
      <c r="F2148" s="163">
        <f>167+82</f>
        <v>249</v>
      </c>
      <c r="G2148" s="11"/>
    </row>
    <row r="2149" spans="1:7">
      <c r="A2149" s="77" t="s">
        <v>1683</v>
      </c>
      <c r="B2149" s="10" t="s">
        <v>22</v>
      </c>
      <c r="C2149" s="76" t="s">
        <v>27</v>
      </c>
      <c r="D2149" s="10">
        <v>1871</v>
      </c>
      <c r="E2149" s="10" t="s">
        <v>1534</v>
      </c>
      <c r="F2149" s="163">
        <v>69</v>
      </c>
      <c r="G2149" s="11">
        <f t="shared" ref="G2149:G2150" si="111">F2149*34</f>
        <v>2346</v>
      </c>
    </row>
    <row r="2150" spans="1:7">
      <c r="A2150" s="77" t="s">
        <v>1683</v>
      </c>
      <c r="B2150" s="10" t="s">
        <v>22</v>
      </c>
      <c r="C2150" s="76" t="s">
        <v>27</v>
      </c>
      <c r="D2150" s="10">
        <v>6300</v>
      </c>
      <c r="E2150" s="10" t="s">
        <v>1611</v>
      </c>
      <c r="F2150" s="163">
        <v>20</v>
      </c>
      <c r="G2150" s="11">
        <f t="shared" si="111"/>
        <v>680</v>
      </c>
    </row>
    <row r="2151" spans="1:7">
      <c r="A2151" s="77" t="s">
        <v>1684</v>
      </c>
      <c r="B2151" s="10" t="s">
        <v>22</v>
      </c>
      <c r="C2151" s="10" t="s">
        <v>24</v>
      </c>
      <c r="D2151" s="10">
        <v>1869</v>
      </c>
      <c r="E2151" s="10" t="s">
        <v>1536</v>
      </c>
      <c r="F2151" s="163">
        <v>91</v>
      </c>
      <c r="G2151" s="11">
        <f>F2151*45</f>
        <v>4095</v>
      </c>
    </row>
    <row r="2152" spans="1:7">
      <c r="A2152" s="77" t="s">
        <v>1684</v>
      </c>
      <c r="B2152" s="10" t="s">
        <v>1539</v>
      </c>
      <c r="C2152" s="76" t="s">
        <v>27</v>
      </c>
      <c r="D2152" s="10">
        <v>6120</v>
      </c>
      <c r="E2152" s="10" t="s">
        <v>1534</v>
      </c>
      <c r="F2152" s="163">
        <v>92</v>
      </c>
      <c r="G2152" s="11">
        <f t="shared" ref="G2152:G2153" si="112">F2152*34</f>
        <v>3128</v>
      </c>
    </row>
    <row r="2153" spans="1:7">
      <c r="A2153" s="77" t="s">
        <v>1684</v>
      </c>
      <c r="B2153" s="10" t="s">
        <v>22</v>
      </c>
      <c r="C2153" s="76" t="s">
        <v>27</v>
      </c>
      <c r="D2153" s="10">
        <v>4661</v>
      </c>
      <c r="E2153" s="10" t="s">
        <v>1534</v>
      </c>
      <c r="F2153" s="163">
        <v>80</v>
      </c>
      <c r="G2153" s="11">
        <f t="shared" si="112"/>
        <v>2720</v>
      </c>
    </row>
    <row r="2154" spans="1:7">
      <c r="A2154" s="77" t="s">
        <v>1684</v>
      </c>
      <c r="B2154" s="10" t="s">
        <v>1685</v>
      </c>
      <c r="C2154" s="68" t="s">
        <v>1533</v>
      </c>
      <c r="D2154" s="10">
        <v>7030</v>
      </c>
      <c r="E2154" s="68" t="s">
        <v>1559</v>
      </c>
      <c r="F2154" s="163">
        <v>0</v>
      </c>
      <c r="G2154" s="11"/>
    </row>
    <row r="2155" spans="1:7">
      <c r="A2155" s="77" t="s">
        <v>1684</v>
      </c>
      <c r="B2155" s="10" t="s">
        <v>22</v>
      </c>
      <c r="C2155" s="10" t="s">
        <v>1605</v>
      </c>
      <c r="D2155" s="10">
        <v>4000</v>
      </c>
      <c r="E2155" s="10" t="s">
        <v>1536</v>
      </c>
      <c r="F2155" s="163">
        <v>250</v>
      </c>
      <c r="G2155" s="11"/>
    </row>
    <row r="2156" spans="1:7">
      <c r="A2156" s="77" t="s">
        <v>1686</v>
      </c>
      <c r="B2156" s="10" t="s">
        <v>22</v>
      </c>
      <c r="C2156" s="10" t="s">
        <v>24</v>
      </c>
      <c r="D2156" s="10">
        <v>940</v>
      </c>
      <c r="E2156" s="10" t="s">
        <v>1536</v>
      </c>
      <c r="F2156" s="163">
        <v>3</v>
      </c>
      <c r="G2156" s="11">
        <f>F2156*45</f>
        <v>135</v>
      </c>
    </row>
    <row r="2157" spans="1:7">
      <c r="A2157" s="77" t="s">
        <v>1686</v>
      </c>
      <c r="B2157" s="10" t="s">
        <v>22</v>
      </c>
      <c r="C2157" s="68" t="s">
        <v>1533</v>
      </c>
      <c r="D2157" s="10">
        <v>2841</v>
      </c>
      <c r="E2157" s="10" t="s">
        <v>1534</v>
      </c>
      <c r="F2157" s="163">
        <v>124</v>
      </c>
      <c r="G2157" s="11"/>
    </row>
    <row r="2158" spans="1:7">
      <c r="A2158" s="77" t="s">
        <v>1686</v>
      </c>
      <c r="B2158" s="10" t="s">
        <v>22</v>
      </c>
      <c r="C2158" s="10" t="s">
        <v>24</v>
      </c>
      <c r="D2158" s="10">
        <v>612</v>
      </c>
      <c r="E2158" s="10" t="s">
        <v>1536</v>
      </c>
      <c r="F2158" s="163">
        <v>0</v>
      </c>
      <c r="G2158" s="11">
        <f>F2158*45</f>
        <v>0</v>
      </c>
    </row>
    <row r="2159" spans="1:7">
      <c r="A2159" s="77" t="s">
        <v>1686</v>
      </c>
      <c r="B2159" s="10" t="s">
        <v>22</v>
      </c>
      <c r="C2159" s="68" t="s">
        <v>1533</v>
      </c>
      <c r="D2159" s="10">
        <v>3420</v>
      </c>
      <c r="E2159" s="10" t="s">
        <v>1536</v>
      </c>
      <c r="F2159" s="163">
        <f>87+146</f>
        <v>233</v>
      </c>
      <c r="G2159" s="11"/>
    </row>
    <row r="2160" spans="1:7">
      <c r="A2160" s="77" t="s">
        <v>1686</v>
      </c>
      <c r="B2160" s="10" t="s">
        <v>22</v>
      </c>
      <c r="C2160" s="68" t="s">
        <v>1533</v>
      </c>
      <c r="D2160" s="10">
        <v>3450</v>
      </c>
      <c r="E2160" s="10" t="s">
        <v>1536</v>
      </c>
      <c r="F2160" s="163">
        <v>184</v>
      </c>
      <c r="G2160" s="11"/>
    </row>
    <row r="2161" spans="1:7">
      <c r="A2161" s="77" t="s">
        <v>1686</v>
      </c>
      <c r="B2161" s="10" t="s">
        <v>22</v>
      </c>
      <c r="C2161" s="68" t="s">
        <v>1533</v>
      </c>
      <c r="D2161" s="10">
        <v>360</v>
      </c>
      <c r="E2161" s="10" t="s">
        <v>1534</v>
      </c>
      <c r="F2161" s="163">
        <v>23</v>
      </c>
      <c r="G2161" s="11"/>
    </row>
    <row r="2162" spans="1:7">
      <c r="A2162" s="77" t="s">
        <v>1686</v>
      </c>
      <c r="B2162" s="10" t="s">
        <v>1539</v>
      </c>
      <c r="C2162" s="68" t="s">
        <v>1533</v>
      </c>
      <c r="D2162" s="10">
        <v>7980</v>
      </c>
      <c r="E2162" s="68" t="s">
        <v>1559</v>
      </c>
      <c r="F2162" s="163">
        <v>0</v>
      </c>
      <c r="G2162" s="11"/>
    </row>
    <row r="2163" spans="1:7">
      <c r="A2163" s="77" t="s">
        <v>1686</v>
      </c>
      <c r="B2163" s="10" t="s">
        <v>22</v>
      </c>
      <c r="C2163" s="10" t="s">
        <v>1605</v>
      </c>
      <c r="D2163" s="10">
        <v>4480</v>
      </c>
      <c r="E2163" s="10" t="s">
        <v>1536</v>
      </c>
      <c r="F2163" s="163">
        <v>105</v>
      </c>
      <c r="G2163" s="11"/>
    </row>
    <row r="2164" spans="1:7">
      <c r="A2164" s="77" t="s">
        <v>1687</v>
      </c>
      <c r="B2164" s="10" t="s">
        <v>22</v>
      </c>
      <c r="C2164" s="68" t="s">
        <v>1533</v>
      </c>
      <c r="D2164" s="10">
        <v>2700</v>
      </c>
      <c r="E2164" s="10" t="s">
        <v>1536</v>
      </c>
      <c r="F2164" s="163">
        <v>182</v>
      </c>
      <c r="G2164" s="11"/>
    </row>
    <row r="2165" spans="1:7">
      <c r="A2165" s="77" t="s">
        <v>1687</v>
      </c>
      <c r="B2165" s="10" t="s">
        <v>22</v>
      </c>
      <c r="C2165" s="68" t="s">
        <v>1533</v>
      </c>
      <c r="D2165" s="10">
        <v>5089</v>
      </c>
      <c r="E2165" s="10" t="s">
        <v>1536</v>
      </c>
      <c r="F2165" s="163">
        <v>378</v>
      </c>
      <c r="G2165" s="11"/>
    </row>
    <row r="2166" spans="1:7">
      <c r="A2166" s="77" t="s">
        <v>1687</v>
      </c>
      <c r="B2166" s="10" t="s">
        <v>22</v>
      </c>
      <c r="C2166" s="68" t="s">
        <v>1533</v>
      </c>
      <c r="D2166" s="10">
        <v>4780</v>
      </c>
      <c r="E2166" s="10" t="s">
        <v>1536</v>
      </c>
      <c r="F2166" s="163">
        <v>320</v>
      </c>
      <c r="G2166" s="11"/>
    </row>
    <row r="2167" spans="1:7">
      <c r="A2167" s="77" t="s">
        <v>1687</v>
      </c>
      <c r="B2167" s="10" t="s">
        <v>22</v>
      </c>
      <c r="C2167" s="10" t="s">
        <v>31</v>
      </c>
      <c r="D2167" s="10">
        <v>2940</v>
      </c>
      <c r="E2167" s="10" t="s">
        <v>1611</v>
      </c>
      <c r="F2167" s="163">
        <v>109</v>
      </c>
      <c r="G2167" s="11">
        <f>F2167*5</f>
        <v>545</v>
      </c>
    </row>
    <row r="2168" spans="1:7">
      <c r="A2168" s="77" t="s">
        <v>1687</v>
      </c>
      <c r="B2168" s="10" t="s">
        <v>22</v>
      </c>
      <c r="C2168" s="68" t="s">
        <v>1533</v>
      </c>
      <c r="D2168" s="10">
        <v>540</v>
      </c>
      <c r="E2168" s="10" t="s">
        <v>1534</v>
      </c>
      <c r="F2168" s="163">
        <v>85</v>
      </c>
      <c r="G2168" s="11"/>
    </row>
    <row r="2169" spans="1:7">
      <c r="A2169" s="77" t="s">
        <v>1689</v>
      </c>
      <c r="B2169" s="10" t="s">
        <v>22</v>
      </c>
      <c r="C2169" s="68" t="s">
        <v>1533</v>
      </c>
      <c r="D2169" s="10">
        <v>6833</v>
      </c>
      <c r="E2169" s="10" t="s">
        <v>1531</v>
      </c>
      <c r="F2169" s="163">
        <v>258</v>
      </c>
      <c r="G2169" s="11"/>
    </row>
    <row r="2170" spans="1:7">
      <c r="A2170" s="77" t="s">
        <v>1689</v>
      </c>
      <c r="B2170" s="10" t="s">
        <v>22</v>
      </c>
      <c r="C2170" s="68" t="s">
        <v>1533</v>
      </c>
      <c r="D2170" s="10">
        <v>3880</v>
      </c>
      <c r="E2170" s="10" t="s">
        <v>1536</v>
      </c>
      <c r="F2170" s="163">
        <v>158</v>
      </c>
      <c r="G2170" s="11"/>
    </row>
    <row r="2171" spans="1:7">
      <c r="A2171" s="77" t="s">
        <v>1689</v>
      </c>
      <c r="B2171" s="10" t="s">
        <v>22</v>
      </c>
      <c r="C2171" s="68" t="s">
        <v>1533</v>
      </c>
      <c r="D2171" s="10">
        <v>1260</v>
      </c>
      <c r="E2171" s="10" t="s">
        <v>1536</v>
      </c>
      <c r="F2171" s="163">
        <v>78</v>
      </c>
      <c r="G2171" s="11"/>
    </row>
    <row r="2172" spans="1:7">
      <c r="A2172" s="77" t="s">
        <v>1689</v>
      </c>
      <c r="B2172" s="10" t="s">
        <v>22</v>
      </c>
      <c r="C2172" s="10" t="s">
        <v>31</v>
      </c>
      <c r="D2172" s="10">
        <v>2360</v>
      </c>
      <c r="E2172" s="10" t="s">
        <v>1611</v>
      </c>
      <c r="F2172" s="163">
        <v>250</v>
      </c>
      <c r="G2172" s="11">
        <f>F2172*5</f>
        <v>1250</v>
      </c>
    </row>
    <row r="2173" spans="1:7">
      <c r="A2173" s="77" t="s">
        <v>1690</v>
      </c>
      <c r="B2173" s="10" t="s">
        <v>22</v>
      </c>
      <c r="C2173" s="68" t="s">
        <v>1533</v>
      </c>
      <c r="D2173" s="10">
        <v>6335</v>
      </c>
      <c r="E2173" s="10" t="s">
        <v>1531</v>
      </c>
      <c r="F2173" s="163">
        <v>45</v>
      </c>
      <c r="G2173" s="11"/>
    </row>
    <row r="2174" spans="1:7">
      <c r="A2174" s="77" t="s">
        <v>1690</v>
      </c>
      <c r="B2174" s="10" t="s">
        <v>22</v>
      </c>
      <c r="C2174" s="68" t="s">
        <v>1533</v>
      </c>
      <c r="D2174" s="10">
        <v>3780</v>
      </c>
      <c r="E2174" s="10" t="s">
        <v>1534</v>
      </c>
      <c r="F2174" s="163">
        <v>126</v>
      </c>
      <c r="G2174" s="11"/>
    </row>
    <row r="2175" spans="1:7">
      <c r="A2175" s="77" t="s">
        <v>1690</v>
      </c>
      <c r="B2175" s="10" t="s">
        <v>22</v>
      </c>
      <c r="C2175" s="68" t="s">
        <v>1533</v>
      </c>
      <c r="D2175" s="10">
        <v>509</v>
      </c>
      <c r="E2175" s="10" t="s">
        <v>1536</v>
      </c>
      <c r="F2175" s="163">
        <v>59</v>
      </c>
      <c r="G2175" s="11"/>
    </row>
    <row r="2176" spans="1:7">
      <c r="A2176" s="77" t="s">
        <v>1691</v>
      </c>
      <c r="B2176" s="10" t="s">
        <v>22</v>
      </c>
      <c r="C2176" s="68" t="s">
        <v>1533</v>
      </c>
      <c r="D2176" s="10">
        <v>5992</v>
      </c>
      <c r="E2176" s="10" t="s">
        <v>1531</v>
      </c>
      <c r="F2176" s="163">
        <v>105</v>
      </c>
      <c r="G2176" s="11"/>
    </row>
    <row r="2177" spans="1:7">
      <c r="A2177" s="77" t="s">
        <v>1691</v>
      </c>
      <c r="B2177" s="10" t="s">
        <v>22</v>
      </c>
      <c r="C2177" s="68" t="s">
        <v>1533</v>
      </c>
      <c r="D2177" s="10">
        <v>2650</v>
      </c>
      <c r="E2177" s="10" t="s">
        <v>1536</v>
      </c>
      <c r="F2177" s="163">
        <v>95</v>
      </c>
      <c r="G2177" s="11"/>
    </row>
    <row r="2178" spans="1:7">
      <c r="A2178" s="77" t="s">
        <v>1691</v>
      </c>
      <c r="B2178" s="10" t="s">
        <v>22</v>
      </c>
      <c r="C2178" s="68" t="s">
        <v>1533</v>
      </c>
      <c r="D2178" s="10">
        <v>7252</v>
      </c>
      <c r="E2178" s="10" t="s">
        <v>1534</v>
      </c>
      <c r="F2178" s="163">
        <v>333</v>
      </c>
      <c r="G2178" s="11"/>
    </row>
    <row r="2179" spans="1:7">
      <c r="A2179" s="77" t="s">
        <v>1691</v>
      </c>
      <c r="B2179" s="10" t="s">
        <v>22</v>
      </c>
      <c r="C2179" s="10" t="s">
        <v>24</v>
      </c>
      <c r="D2179" s="10">
        <v>6880</v>
      </c>
      <c r="E2179" s="10" t="s">
        <v>1550</v>
      </c>
      <c r="F2179" s="163">
        <v>0</v>
      </c>
      <c r="G2179" s="11">
        <f>F2179*45</f>
        <v>0</v>
      </c>
    </row>
    <row r="2180" spans="1:7">
      <c r="A2180" s="99" t="s">
        <v>1692</v>
      </c>
      <c r="B2180" s="10" t="s">
        <v>22</v>
      </c>
      <c r="C2180" s="68" t="s">
        <v>1533</v>
      </c>
      <c r="D2180" s="10">
        <v>5386</v>
      </c>
      <c r="E2180" s="10" t="s">
        <v>1531</v>
      </c>
      <c r="F2180" s="163">
        <v>13</v>
      </c>
      <c r="G2180" s="11"/>
    </row>
    <row r="2181" spans="1:7">
      <c r="A2181" s="99" t="s">
        <v>1692</v>
      </c>
      <c r="B2181" s="10" t="s">
        <v>22</v>
      </c>
      <c r="C2181" s="68" t="s">
        <v>1533</v>
      </c>
      <c r="D2181" s="10">
        <v>6107</v>
      </c>
      <c r="E2181" s="10" t="s">
        <v>1534</v>
      </c>
      <c r="F2181" s="163">
        <v>228</v>
      </c>
      <c r="G2181" s="11"/>
    </row>
    <row r="2182" spans="1:7">
      <c r="A2182" s="99" t="s">
        <v>1692</v>
      </c>
      <c r="B2182" s="10" t="s">
        <v>22</v>
      </c>
      <c r="C2182" s="68" t="s">
        <v>1533</v>
      </c>
      <c r="D2182" s="10">
        <v>4318</v>
      </c>
      <c r="E2182" s="10" t="s">
        <v>1536</v>
      </c>
      <c r="F2182" s="163">
        <v>130</v>
      </c>
      <c r="G2182" s="11"/>
    </row>
    <row r="2183" spans="1:7">
      <c r="A2183" s="99" t="s">
        <v>1692</v>
      </c>
      <c r="B2183" s="10" t="s">
        <v>22</v>
      </c>
      <c r="C2183" s="10" t="s">
        <v>24</v>
      </c>
      <c r="D2183" s="10">
        <v>14320</v>
      </c>
      <c r="E2183" s="10" t="s">
        <v>1550</v>
      </c>
      <c r="F2183" s="163">
        <v>0</v>
      </c>
      <c r="G2183" s="11">
        <f>F2183*45</f>
        <v>0</v>
      </c>
    </row>
    <row r="2184" spans="1:7">
      <c r="A2184" s="99" t="s">
        <v>1693</v>
      </c>
      <c r="B2184" s="10" t="s">
        <v>22</v>
      </c>
      <c r="C2184" s="68" t="s">
        <v>1533</v>
      </c>
      <c r="D2184" s="10">
        <v>5757</v>
      </c>
      <c r="E2184" s="10" t="s">
        <v>1531</v>
      </c>
      <c r="F2184" s="163">
        <v>80</v>
      </c>
      <c r="G2184" s="11"/>
    </row>
    <row r="2185" spans="1:7">
      <c r="A2185" s="99" t="s">
        <v>1693</v>
      </c>
      <c r="B2185" s="10" t="s">
        <v>22</v>
      </c>
      <c r="C2185" s="10" t="s">
        <v>31</v>
      </c>
      <c r="D2185" s="10">
        <v>3988</v>
      </c>
      <c r="E2185" s="10" t="s">
        <v>1536</v>
      </c>
      <c r="F2185" s="163">
        <v>560</v>
      </c>
      <c r="G2185" s="11">
        <f t="shared" ref="G2185:G2186" si="113">F2185*5</f>
        <v>2800</v>
      </c>
    </row>
    <row r="2186" spans="1:7">
      <c r="A2186" s="99" t="s">
        <v>1693</v>
      </c>
      <c r="B2186" s="10" t="s">
        <v>22</v>
      </c>
      <c r="C2186" s="10" t="s">
        <v>31</v>
      </c>
      <c r="D2186" s="10">
        <v>1000</v>
      </c>
      <c r="E2186" s="10" t="s">
        <v>1536</v>
      </c>
      <c r="F2186" s="163">
        <v>100</v>
      </c>
      <c r="G2186" s="11">
        <f t="shared" si="113"/>
        <v>500</v>
      </c>
    </row>
    <row r="2187" spans="1:7">
      <c r="A2187" s="99" t="s">
        <v>1693</v>
      </c>
      <c r="B2187" s="10" t="s">
        <v>22</v>
      </c>
      <c r="C2187" s="76" t="s">
        <v>27</v>
      </c>
      <c r="D2187" s="10">
        <v>3120</v>
      </c>
      <c r="E2187" s="10" t="s">
        <v>1534</v>
      </c>
      <c r="F2187" s="163">
        <v>175</v>
      </c>
      <c r="G2187" s="11">
        <f>F2187*34</f>
        <v>5950</v>
      </c>
    </row>
    <row r="2188" spans="1:7">
      <c r="A2188" s="99" t="s">
        <v>1693</v>
      </c>
      <c r="B2188" s="10" t="s">
        <v>1539</v>
      </c>
      <c r="C2188" s="10" t="s">
        <v>31</v>
      </c>
      <c r="D2188" s="10">
        <v>1080</v>
      </c>
      <c r="E2188" s="68" t="s">
        <v>1559</v>
      </c>
      <c r="F2188" s="163">
        <v>0</v>
      </c>
      <c r="G2188" s="11">
        <f>F2188*5</f>
        <v>0</v>
      </c>
    </row>
    <row r="2189" spans="1:7">
      <c r="A2189" s="99" t="s">
        <v>1693</v>
      </c>
      <c r="B2189" s="10" t="s">
        <v>22</v>
      </c>
      <c r="C2189" s="10" t="s">
        <v>24</v>
      </c>
      <c r="D2189" s="10">
        <v>7065</v>
      </c>
      <c r="E2189" s="10" t="s">
        <v>1550</v>
      </c>
      <c r="F2189" s="163">
        <v>0</v>
      </c>
      <c r="G2189" s="11">
        <f t="shared" ref="G2189:G2190" si="114">F2189*45</f>
        <v>0</v>
      </c>
    </row>
    <row r="2190" spans="1:7">
      <c r="A2190" s="100" t="s">
        <v>1694</v>
      </c>
      <c r="B2190" s="10" t="s">
        <v>22</v>
      </c>
      <c r="C2190" s="10" t="s">
        <v>24</v>
      </c>
      <c r="D2190" s="10">
        <v>19530</v>
      </c>
      <c r="E2190" s="10" t="s">
        <v>1550</v>
      </c>
      <c r="F2190" s="163">
        <v>0</v>
      </c>
      <c r="G2190" s="11">
        <f t="shared" si="114"/>
        <v>0</v>
      </c>
    </row>
    <row r="2191" spans="1:7">
      <c r="A2191" s="100" t="s">
        <v>1694</v>
      </c>
      <c r="B2191" s="10" t="s">
        <v>1539</v>
      </c>
      <c r="C2191" s="68" t="s">
        <v>1533</v>
      </c>
      <c r="D2191" s="10">
        <v>4186</v>
      </c>
      <c r="E2191" s="10" t="s">
        <v>1536</v>
      </c>
      <c r="F2191" s="163">
        <f>123+54</f>
        <v>177</v>
      </c>
      <c r="G2191" s="11"/>
    </row>
    <row r="2192" spans="1:7">
      <c r="A2192" s="100" t="s">
        <v>1694</v>
      </c>
      <c r="B2192" s="10" t="s">
        <v>22</v>
      </c>
      <c r="C2192" s="76" t="s">
        <v>27</v>
      </c>
      <c r="D2192" s="10">
        <v>2788</v>
      </c>
      <c r="E2192" s="10" t="s">
        <v>1536</v>
      </c>
      <c r="F2192" s="163">
        <f>100+50</f>
        <v>150</v>
      </c>
      <c r="G2192" s="11">
        <f>F2192*34</f>
        <v>5100</v>
      </c>
    </row>
    <row r="2193" spans="1:7">
      <c r="A2193" s="100" t="s">
        <v>1695</v>
      </c>
      <c r="B2193" s="10" t="s">
        <v>22</v>
      </c>
      <c r="C2193" s="76" t="s">
        <v>29</v>
      </c>
      <c r="D2193" s="10">
        <v>3158</v>
      </c>
      <c r="E2193" s="10" t="s">
        <v>1536</v>
      </c>
      <c r="F2193" s="163">
        <f>85+83</f>
        <v>168</v>
      </c>
      <c r="G2193" s="11">
        <f>F2193*21</f>
        <v>3528</v>
      </c>
    </row>
    <row r="2194" spans="1:7">
      <c r="A2194" s="100" t="s">
        <v>1695</v>
      </c>
      <c r="B2194" s="5" t="s">
        <v>1539</v>
      </c>
      <c r="C2194" s="68" t="s">
        <v>1533</v>
      </c>
      <c r="D2194" s="10">
        <v>2754</v>
      </c>
      <c r="E2194" s="10" t="s">
        <v>1536</v>
      </c>
      <c r="F2194" s="165">
        <v>55</v>
      </c>
      <c r="G2194" s="11"/>
    </row>
    <row r="2195" spans="1:7">
      <c r="A2195" s="100" t="s">
        <v>1695</v>
      </c>
      <c r="B2195" s="10" t="s">
        <v>22</v>
      </c>
      <c r="C2195" s="76" t="s">
        <v>27</v>
      </c>
      <c r="D2195" s="10">
        <v>1683</v>
      </c>
      <c r="E2195" s="10" t="s">
        <v>1536</v>
      </c>
      <c r="F2195" s="165">
        <v>53</v>
      </c>
      <c r="G2195" s="11">
        <f>F2195*34</f>
        <v>1802</v>
      </c>
    </row>
    <row r="2196" spans="1:7">
      <c r="A2196" s="100" t="s">
        <v>1695</v>
      </c>
      <c r="B2196" s="10" t="s">
        <v>22</v>
      </c>
      <c r="C2196" s="10" t="s">
        <v>24</v>
      </c>
      <c r="D2196" s="10">
        <v>15250</v>
      </c>
      <c r="E2196" s="10" t="s">
        <v>1550</v>
      </c>
      <c r="F2196" s="165">
        <v>0</v>
      </c>
      <c r="G2196" s="11">
        <f>F2196*45</f>
        <v>0</v>
      </c>
    </row>
    <row r="2197" spans="1:7">
      <c r="A2197" s="100" t="s">
        <v>1696</v>
      </c>
      <c r="B2197" s="10" t="s">
        <v>22</v>
      </c>
      <c r="C2197" s="76" t="s">
        <v>29</v>
      </c>
      <c r="D2197" s="10">
        <v>9692</v>
      </c>
      <c r="E2197" s="10" t="s">
        <v>1536</v>
      </c>
      <c r="F2197" s="165">
        <f>273+260</f>
        <v>533</v>
      </c>
      <c r="G2197" s="11">
        <f>F2197*21</f>
        <v>11193</v>
      </c>
    </row>
    <row r="2198" spans="1:7">
      <c r="A2198" s="100" t="s">
        <v>1696</v>
      </c>
      <c r="B2198" s="10" t="s">
        <v>22</v>
      </c>
      <c r="C2198" s="10" t="s">
        <v>24</v>
      </c>
      <c r="D2198" s="10">
        <v>6510</v>
      </c>
      <c r="E2198" s="10" t="s">
        <v>1550</v>
      </c>
      <c r="F2198" s="165">
        <v>0</v>
      </c>
      <c r="G2198" s="11">
        <f>F2198*45</f>
        <v>0</v>
      </c>
    </row>
    <row r="2199" spans="1:7">
      <c r="A2199" s="99" t="s">
        <v>1697</v>
      </c>
      <c r="B2199" s="10" t="s">
        <v>22</v>
      </c>
      <c r="C2199" s="10" t="s">
        <v>31</v>
      </c>
      <c r="D2199" s="10">
        <v>6067</v>
      </c>
      <c r="E2199" s="10" t="s">
        <v>1536</v>
      </c>
      <c r="F2199" s="166">
        <v>200</v>
      </c>
      <c r="G2199" s="11">
        <f>F2199*5</f>
        <v>1000</v>
      </c>
    </row>
    <row r="2200" spans="1:7">
      <c r="A2200" s="99" t="s">
        <v>1697</v>
      </c>
      <c r="B2200" s="10" t="s">
        <v>22</v>
      </c>
      <c r="C2200" s="76" t="s">
        <v>29</v>
      </c>
      <c r="D2200" s="10">
        <v>3396</v>
      </c>
      <c r="E2200" s="10" t="s">
        <v>1536</v>
      </c>
      <c r="F2200" s="166">
        <v>243</v>
      </c>
      <c r="G2200" s="11">
        <f t="shared" ref="G2200:G2201" si="115">F2200*21</f>
        <v>5103</v>
      </c>
    </row>
    <row r="2201" spans="1:7">
      <c r="A2201" s="99" t="s">
        <v>1697</v>
      </c>
      <c r="B2201" s="10" t="s">
        <v>22</v>
      </c>
      <c r="C2201" s="76" t="s">
        <v>29</v>
      </c>
      <c r="D2201" s="10">
        <v>1836</v>
      </c>
      <c r="E2201" s="10" t="s">
        <v>1536</v>
      </c>
      <c r="F2201" s="166">
        <v>36</v>
      </c>
      <c r="G2201" s="11">
        <f t="shared" si="115"/>
        <v>756</v>
      </c>
    </row>
    <row r="2202" spans="1:7">
      <c r="A2202" s="99" t="s">
        <v>1697</v>
      </c>
      <c r="B2202" s="10" t="s">
        <v>22</v>
      </c>
      <c r="C2202" s="10" t="s">
        <v>24</v>
      </c>
      <c r="D2202" s="10">
        <v>1486</v>
      </c>
      <c r="E2202" s="10" t="s">
        <v>1611</v>
      </c>
      <c r="F2202" s="166">
        <v>10</v>
      </c>
      <c r="G2202" s="11">
        <f>F2202*45</f>
        <v>450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Field Details</vt:lpstr>
      <vt:lpstr>RECEVING FEED BACK DETAILS </vt:lpstr>
      <vt:lpstr>PACKING QTY</vt:lpstr>
      <vt:lpstr>CONSUMPTION</vt:lpstr>
      <vt:lpstr>PROCESS LOSS</vt:lpstr>
      <vt:lpstr>Container Details</vt:lpstr>
      <vt:lpstr>WASTE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</dc:creator>
  <cp:lastModifiedBy>karthi keyan</cp:lastModifiedBy>
  <dcterms:created xsi:type="dcterms:W3CDTF">2015-06-05T18:17:00Z</dcterms:created>
  <dcterms:modified xsi:type="dcterms:W3CDTF">2025-11-16T14:11:32Z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50F657EC02454FA2B02A582A2FDD3815_12</vt:lpwstr>
  </property>
  <property fmtid="{D5CDD505-2E9C-101B-9397-08002B2CF9AE}" pid="3" name="KSOProductBuildVer">
    <vt:lpwstr>1033-12.2.0.22549</vt:lpwstr>
  </property>
</Properties>
</file>